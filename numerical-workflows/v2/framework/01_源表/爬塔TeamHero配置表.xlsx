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数值文档\数值文档\框架v2\01_源表\"/>
    </mc:Choice>
  </mc:AlternateContent>
  <bookViews>
    <workbookView windowWidth="27945" windowHeight="12375" activeTab="6"/>
  </bookViews>
  <sheets>
    <sheet name="使用说明" sheetId="1" r:id="rId1"/>
    <sheet name="参数" sheetId="2" r:id="rId2"/>
    <sheet name="楼层配置" sheetId="3" r:id="rId3"/>
    <sheet name="_怪物基线" sheetId="4" state="veryHidden" r:id="rId4"/>
    <sheet name="_角色基线" sheetId="5" state="veryHidden" r:id="rId5"/>
    <sheet name="TeamHero生成" sheetId="6" r:id="rId6"/>
    <sheet name="落表结果" sheetId="7" r:id="rId7"/>
  </sheets>
  <definedNames>
    <definedName name="_xlnm._FilterDatabase" localSheetId="2" hidden="1">楼层配置!$A$4:$P$104</definedName>
    <definedName name="_xlnm._FilterDatabase" localSheetId="5" hidden="1">TeamHero生成!$A$4:$AG$504</definedName>
    <definedName name="_xlnm._FilterDatabase" localSheetId="6" hidden="1">落表结果!$A$4:$J$504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<sst xmlns="http://schemas.openxmlformats.org/spreadsheetml/2006/main" count="1421" uniqueCount="736">
  <si>
    <t>爬塔 TeamHero 属性配置表</t>
  </si>
  <si>
    <t>黄色单元格为可配置输入；其余区域由公式自动生成。</t>
  </si>
  <si>
    <t>使用步骤</t>
  </si>
  <si>
    <t>1. 在“楼层配置”黄色D列填写每层难度等级（1-500）；当前已带入“全玩法难度填写表”修正版V4的100层数值。</t>
  </si>
  <si>
    <t>2. 如需整体或局部微调，可修改“参数”职业系数、精英怪系数、玩法全局倍率，或楼层E～G三项倍率。</t>
  </si>
  <si>
    <t>3. “TeamHero生成”按 TeamHero.CfgId → Hero.HeroClass 自动识别 Tank / DPS / Support，并生成 Hp、Attack、Armor。</t>
  </si>
  <si>
    <t>4. “落表结果”按 TeamHero.Id 升序整理；将D～F列以“粘贴值”方式覆盖 TeamHero.xlsx 的 Hp、Attack、Armor。</t>
  </si>
  <si>
    <t>5. TeamHero.Level仅作核对，不参与怪物模型等级查找；实际查找使用“楼层配置”的难度等级。</t>
  </si>
  <si>
    <t>生成公式</t>
  </si>
  <si>
    <t>精英基准 = 普通怪基准 × MonsterAttributeType(200101)：生命×4、攻击×1.2、防御×1。</t>
  </si>
  <si>
    <t>TeamHero.Hp = 精英生命 × 职业生命系数 × 楼层生命倍率 × 玩法全局生命倍率。</t>
  </si>
  <si>
    <t>TeamHero.Attack = 精英攻击 × 职业攻击系数 × 楼层攻击倍率 × 玩法全局攻击倍率。</t>
  </si>
  <si>
    <t>TeamHero.Armor = 精英防御 × 职业防御系数 × 楼层防御倍率 × 玩法全局防御倍率。</t>
  </si>
  <si>
    <t>数据来源</t>
  </si>
  <si>
    <t>怪物基线：D:\Vgame\策划\数值组\2026-06三日版本\Vgame基本战斗框架.xlsx｜怪物标准模型-可视版</t>
  </si>
  <si>
    <t>精英系数：D:\Vgame\Config\GameConfig\Datas\Monster\MonsterAttributeType.xlsx｜AttributeTypeID=200101</t>
  </si>
  <si>
    <t>爬塔映射：D:\Vgame\Config\GameConfig\Datas\TowerTrial\TowerEnemyFormation.xlsx → D:\Vgame\Config\GameConfig\Datas\Team\Team.xlsx → D:\Vgame\Config\GameConfig\Datas\Team\TeamHero.xlsx</t>
  </si>
  <si>
    <t>职业映射：D:\Vgame\Config\GameConfig\Datas\Hero\Hero.xlsx｜HeroClass；生成日期：2026-08-10</t>
  </si>
  <si>
    <t>爬塔 TeamHero 生成参数</t>
  </si>
  <si>
    <t>黄色参数可调；当前职业偏移沿用 TeamHero 现有口径。</t>
  </si>
  <si>
    <t>职业</t>
  </si>
  <si>
    <t>生命系数</t>
  </si>
  <si>
    <t>攻击系数</t>
  </si>
  <si>
    <t>防御系数</t>
  </si>
  <si>
    <t>说明</t>
  </si>
  <si>
    <t>来源</t>
  </si>
  <si>
    <t>Tank</t>
  </si>
  <si>
    <t>高生命、高防御</t>
  </si>
  <si>
    <t>当前TeamHero职业偏移</t>
  </si>
  <si>
    <t>DPS</t>
  </si>
  <si>
    <t>高攻击</t>
  </si>
  <si>
    <t>Support</t>
  </si>
  <si>
    <t>中等生存</t>
  </si>
  <si>
    <t>怪物类型</t>
  </si>
  <si>
    <t>AttributeTypeID</t>
  </si>
  <si>
    <t>精英怪</t>
  </si>
  <si>
    <t>D:\Vgame\Config\GameConfig\Datas\Monster\MonsterAttributeType.xlsx</t>
  </si>
  <si>
    <t>玩法全局倍率</t>
  </si>
  <si>
    <t>生命</t>
  </si>
  <si>
    <t>攻击</t>
  </si>
  <si>
    <t>防御</t>
  </si>
  <si>
    <t>爬塔</t>
  </si>
  <si>
    <t>默认1；用于整条曲线统一微调</t>
  </si>
  <si>
    <t>爬塔楼层难度配置</t>
  </si>
  <si>
    <t>主要输入：黄色D列难度等级；当前已同步全玩法难度修正版V4。E-G为可选单层二次倍率。</t>
  </si>
  <si>
    <t>状态</t>
  </si>
  <si>
    <t>层数</t>
  </si>
  <si>
    <t>TeamId</t>
  </si>
  <si>
    <t>难度等级</t>
  </si>
  <si>
    <t>生命倍率</t>
  </si>
  <si>
    <t>攻击倍率</t>
  </si>
  <si>
    <t>防御倍率</t>
  </si>
  <si>
    <t>Pack1 LevelId</t>
  </si>
  <si>
    <t>Pack2 LevelId</t>
  </si>
  <si>
    <t>Pack3 LevelId</t>
  </si>
  <si>
    <t>Pack4 LevelId</t>
  </si>
  <si>
    <t>全部LevelId</t>
  </si>
  <si>
    <t>TeamHero数量</t>
  </si>
  <si>
    <t>等级检查</t>
  </si>
  <si>
    <t>等级趋势</t>
  </si>
  <si>
    <t>备注</t>
  </si>
  <si>
    <t>当前配置</t>
  </si>
  <si>
    <t>300001</t>
  </si>
  <si>
    <t>300102</t>
  </si>
  <si>
    <t>300202</t>
  </si>
  <si>
    <t>300302</t>
  </si>
  <si>
    <t>300001;300102;300202;300302</t>
  </si>
  <si>
    <t/>
  </si>
  <si>
    <t>｜V4同步全玩法难度：Lv45→Lv37</t>
  </si>
  <si>
    <t>300002</t>
  </si>
  <si>
    <t>300103</t>
  </si>
  <si>
    <t>300203</t>
  </si>
  <si>
    <t>300303</t>
  </si>
  <si>
    <t>300002;300103;300203;300303</t>
  </si>
  <si>
    <t>｜V4同步全玩法难度：Lv52→Lv44</t>
  </si>
  <si>
    <t>300003</t>
  </si>
  <si>
    <t>300104</t>
  </si>
  <si>
    <t>300204</t>
  </si>
  <si>
    <t>300304</t>
  </si>
  <si>
    <t>300003;300104;300204;300304</t>
  </si>
  <si>
    <t>｜V4同步全玩法难度：Lv59→Lv51</t>
  </si>
  <si>
    <t>300004</t>
  </si>
  <si>
    <t>300105</t>
  </si>
  <si>
    <t>300205</t>
  </si>
  <si>
    <t>300305</t>
  </si>
  <si>
    <t>300004;300105;300205;300305</t>
  </si>
  <si>
    <t>｜V4同步全玩法难度：Lv66→Lv59</t>
  </si>
  <si>
    <t>300005</t>
  </si>
  <si>
    <t>300106</t>
  </si>
  <si>
    <t>300206</t>
  </si>
  <si>
    <t>300306</t>
  </si>
  <si>
    <t>300005;300106;300206;300306</t>
  </si>
  <si>
    <t>｜V4同步全玩法难度：Lv73→Lv65</t>
  </si>
  <si>
    <t>300006</t>
  </si>
  <si>
    <t>300107</t>
  </si>
  <si>
    <t>300207</t>
  </si>
  <si>
    <t>300307</t>
  </si>
  <si>
    <t>300006;300107;300207;300307</t>
  </si>
  <si>
    <t>｜V4同步全玩法难度：Lv81→Lv73</t>
  </si>
  <si>
    <t>300007</t>
  </si>
  <si>
    <t>300108</t>
  </si>
  <si>
    <t>300208</t>
  </si>
  <si>
    <t>300308</t>
  </si>
  <si>
    <t>300007;300108;300208;300308</t>
  </si>
  <si>
    <t>｜V4同步全玩法难度：Lv88→Lv79</t>
  </si>
  <si>
    <t>300008</t>
  </si>
  <si>
    <t>300109</t>
  </si>
  <si>
    <t>300209</t>
  </si>
  <si>
    <t>300309</t>
  </si>
  <si>
    <t>300008;300109;300209;300309</t>
  </si>
  <si>
    <t>｜V4同步全玩法难度：Lv95→Lv86</t>
  </si>
  <si>
    <t>300009</t>
  </si>
  <si>
    <t>300110</t>
  </si>
  <si>
    <t>300210</t>
  </si>
  <si>
    <t>300310</t>
  </si>
  <si>
    <t>300009;300110;300210;300310</t>
  </si>
  <si>
    <t>｜V4同步全玩法难度：Lv102→Lv93</t>
  </si>
  <si>
    <t>300010;300011</t>
  </si>
  <si>
    <t>300111</t>
  </si>
  <si>
    <t>300211</t>
  </si>
  <si>
    <t>300311</t>
  </si>
  <si>
    <t>300010;300011;300111;300211;300311</t>
  </si>
  <si>
    <t>Pack1存在同层多条LevelId，均共用TeamId=10｜V4同步全玩法难度：Lv109→Lv100</t>
  </si>
  <si>
    <t>300012</t>
  </si>
  <si>
    <t>300112</t>
  </si>
  <si>
    <t>300212</t>
  </si>
  <si>
    <t>300312</t>
  </si>
  <si>
    <t>300012;300112;300212;300312</t>
  </si>
  <si>
    <t>｜V4同步全玩法难度：Lv116→Lv106</t>
  </si>
  <si>
    <t>300013</t>
  </si>
  <si>
    <t>300113</t>
  </si>
  <si>
    <t>300213</t>
  </si>
  <si>
    <t>300313</t>
  </si>
  <si>
    <t>300013;300113;300213;300313</t>
  </si>
  <si>
    <t>｜V4同步全玩法难度：Lv123→Lv113</t>
  </si>
  <si>
    <t>300014</t>
  </si>
  <si>
    <t>300114</t>
  </si>
  <si>
    <t>300214</t>
  </si>
  <si>
    <t>300314</t>
  </si>
  <si>
    <t>300014;300114;300214;300314</t>
  </si>
  <si>
    <t>｜V4同步全玩法难度：Lv130→Lv120</t>
  </si>
  <si>
    <t>300015</t>
  </si>
  <si>
    <t>300115</t>
  </si>
  <si>
    <t>300215</t>
  </si>
  <si>
    <t>300315</t>
  </si>
  <si>
    <t>300015;300115;300215;300315</t>
  </si>
  <si>
    <t>｜V4同步全玩法难度：Lv137→Lv126</t>
  </si>
  <si>
    <t>300016</t>
  </si>
  <si>
    <t>300116</t>
  </si>
  <si>
    <t>300216</t>
  </si>
  <si>
    <t>300316</t>
  </si>
  <si>
    <t>300016;300116;300216;300316</t>
  </si>
  <si>
    <t>｜V4同步全玩法难度：Lv144→Lv133</t>
  </si>
  <si>
    <t>300017</t>
  </si>
  <si>
    <t>300117</t>
  </si>
  <si>
    <t>300217</t>
  </si>
  <si>
    <t>300317</t>
  </si>
  <si>
    <t>300017;300117;300217;300317</t>
  </si>
  <si>
    <t>｜V4同步全玩法难度：Lv152→Lv141</t>
  </si>
  <si>
    <t>300018</t>
  </si>
  <si>
    <t>300118</t>
  </si>
  <si>
    <t>300218</t>
  </si>
  <si>
    <t>300318</t>
  </si>
  <si>
    <t>300018;300118;300218;300318</t>
  </si>
  <si>
    <t>｜V4同步全玩法难度：Lv159→Lv148</t>
  </si>
  <si>
    <t>300019</t>
  </si>
  <si>
    <t>300119</t>
  </si>
  <si>
    <t>300219</t>
  </si>
  <si>
    <t>300319</t>
  </si>
  <si>
    <t>300019;300119;300219;300319</t>
  </si>
  <si>
    <t>｜V4同步全玩法难度：Lv166→Lv155</t>
  </si>
  <si>
    <t>300020</t>
  </si>
  <si>
    <t>300120</t>
  </si>
  <si>
    <t>300220</t>
  </si>
  <si>
    <t>300320</t>
  </si>
  <si>
    <t>300020;300120;300220;300320</t>
  </si>
  <si>
    <t>｜V4同步全玩法难度：Lv173→Lv162</t>
  </si>
  <si>
    <t>300021</t>
  </si>
  <si>
    <t>300121</t>
  </si>
  <si>
    <t>300221</t>
  </si>
  <si>
    <t>300321</t>
  </si>
  <si>
    <t>300021;300121;300221;300321</t>
  </si>
  <si>
    <t>｜V4同步全玩法难度：Lv180→Lv169</t>
  </si>
  <si>
    <t>300022</t>
  </si>
  <si>
    <t>300122</t>
  </si>
  <si>
    <t>300222</t>
  </si>
  <si>
    <t>300322</t>
  </si>
  <si>
    <t>300022;300122;300222;300322</t>
  </si>
  <si>
    <t>｜V4同步全玩法难度：Lv188→Lv176</t>
  </si>
  <si>
    <t>300023</t>
  </si>
  <si>
    <t>300123</t>
  </si>
  <si>
    <t>300223</t>
  </si>
  <si>
    <t>300323</t>
  </si>
  <si>
    <t>300023;300123;300223;300323</t>
  </si>
  <si>
    <t>｜V4同步全玩法难度：Lv194→Lv182</t>
  </si>
  <si>
    <t>300024</t>
  </si>
  <si>
    <t>300124</t>
  </si>
  <si>
    <t>300224</t>
  </si>
  <si>
    <t>300324</t>
  </si>
  <si>
    <t>300024;300124;300224;300324</t>
  </si>
  <si>
    <t>｜V4同步全玩法难度：Lv199→Lv186</t>
  </si>
  <si>
    <t>300025</t>
  </si>
  <si>
    <t>300125</t>
  </si>
  <si>
    <t>300225</t>
  </si>
  <si>
    <t>300325</t>
  </si>
  <si>
    <t>300025;300125;300225;300325</t>
  </si>
  <si>
    <t>｜V4同步全玩法难度：Lv206→Lv193</t>
  </si>
  <si>
    <t>300026</t>
  </si>
  <si>
    <t>300126</t>
  </si>
  <si>
    <t>300226</t>
  </si>
  <si>
    <t>300326</t>
  </si>
  <si>
    <t>300026;300126;300226;300326</t>
  </si>
  <si>
    <t>｜V4同步全玩法难度：Lv211→Lv198</t>
  </si>
  <si>
    <t>300027</t>
  </si>
  <si>
    <t>300127</t>
  </si>
  <si>
    <t>300227</t>
  </si>
  <si>
    <t>300327</t>
  </si>
  <si>
    <t>300027;300127;300227;300327</t>
  </si>
  <si>
    <t>｜V4同步全玩法难度：Lv215→Lv201</t>
  </si>
  <si>
    <t>300028</t>
  </si>
  <si>
    <t>300128</t>
  </si>
  <si>
    <t>300228</t>
  </si>
  <si>
    <t>300328</t>
  </si>
  <si>
    <t>300028;300128;300228;300328</t>
  </si>
  <si>
    <t>｜V4同步全玩法难度：Lv221→Lv207</t>
  </si>
  <si>
    <t>300029</t>
  </si>
  <si>
    <t>300129</t>
  </si>
  <si>
    <t>300229</t>
  </si>
  <si>
    <t>300329</t>
  </si>
  <si>
    <t>300029;300129;300229;300329</t>
  </si>
  <si>
    <t>｜V4同步全玩法难度：Lv225→Lv211</t>
  </si>
  <si>
    <t>300030</t>
  </si>
  <si>
    <t>300130</t>
  </si>
  <si>
    <t>300230</t>
  </si>
  <si>
    <t>300330</t>
  </si>
  <si>
    <t>300030;300130;300230;300330</t>
  </si>
  <si>
    <t>｜V4同步全玩法难度：Lv230→Lv216</t>
  </si>
  <si>
    <t>300031</t>
  </si>
  <si>
    <t>300131</t>
  </si>
  <si>
    <t>300231</t>
  </si>
  <si>
    <t>300331</t>
  </si>
  <si>
    <t>300031;300131;300231;300331</t>
  </si>
  <si>
    <t>｜V4同步全玩法难度：Lv233→Lv220</t>
  </si>
  <si>
    <t>300032</t>
  </si>
  <si>
    <t>300132</t>
  </si>
  <si>
    <t>300232</t>
  </si>
  <si>
    <t>300332</t>
  </si>
  <si>
    <t>300032;300132;300232;300332</t>
  </si>
  <si>
    <t>｜V4同步全玩法难度：Lv238→Lv224</t>
  </si>
  <si>
    <t>300033</t>
  </si>
  <si>
    <t>300133</t>
  </si>
  <si>
    <t>300233</t>
  </si>
  <si>
    <t>300333</t>
  </si>
  <si>
    <t>300033;300133;300233;300333</t>
  </si>
  <si>
    <t>｜V4同步全玩法难度：Lv241→Lv227</t>
  </si>
  <si>
    <t>300034</t>
  </si>
  <si>
    <t>300134</t>
  </si>
  <si>
    <t>300234</t>
  </si>
  <si>
    <t>300334</t>
  </si>
  <si>
    <t>300034;300134;300234;300334</t>
  </si>
  <si>
    <t>｜V4同步全玩法难度：Lv245→Lv231</t>
  </si>
  <si>
    <t>300035</t>
  </si>
  <si>
    <t>300135</t>
  </si>
  <si>
    <t>300235</t>
  </si>
  <si>
    <t>300335</t>
  </si>
  <si>
    <t>300035;300135;300235;300335</t>
  </si>
  <si>
    <t>｜V4同步全玩法难度：Lv248→Lv234</t>
  </si>
  <si>
    <t>300036</t>
  </si>
  <si>
    <t>300136</t>
  </si>
  <si>
    <t>300236</t>
  </si>
  <si>
    <t>300336</t>
  </si>
  <si>
    <t>300036;300136;300236;300336</t>
  </si>
  <si>
    <t>｜V4同步全玩法难度：Lv252→Lv238</t>
  </si>
  <si>
    <t>300037</t>
  </si>
  <si>
    <t>300137</t>
  </si>
  <si>
    <t>300237</t>
  </si>
  <si>
    <t>300337</t>
  </si>
  <si>
    <t>300037;300137;300237;300337</t>
  </si>
  <si>
    <t>｜V4同步全玩法难度：Lv257→Lv243</t>
  </si>
  <si>
    <t>300038</t>
  </si>
  <si>
    <t>300138</t>
  </si>
  <si>
    <t>300238</t>
  </si>
  <si>
    <t>300338</t>
  </si>
  <si>
    <t>300038;300138;300238;300338</t>
  </si>
  <si>
    <t>｜V4同步全玩法难度：Lv263→Lv249</t>
  </si>
  <si>
    <t>300039</t>
  </si>
  <si>
    <t>300139</t>
  </si>
  <si>
    <t>300239</t>
  </si>
  <si>
    <t>300339</t>
  </si>
  <si>
    <t>300039;300139;300239;300339</t>
  </si>
  <si>
    <t>｜V4同步全玩法难度：Lv267→Lv253</t>
  </si>
  <si>
    <t>300040</t>
  </si>
  <si>
    <t>300140</t>
  </si>
  <si>
    <t>300240</t>
  </si>
  <si>
    <t>300340</t>
  </si>
  <si>
    <t>300040;300140;300240;300340</t>
  </si>
  <si>
    <t>｜V4同步全玩法难度：Lv272→Lv258</t>
  </si>
  <si>
    <t>300041</t>
  </si>
  <si>
    <t>300141</t>
  </si>
  <si>
    <t>300241</t>
  </si>
  <si>
    <t>300341</t>
  </si>
  <si>
    <t>300041;300141;300241;300341</t>
  </si>
  <si>
    <t>｜V4同步全玩法难度：Lv276→Lv263</t>
  </si>
  <si>
    <t>300042</t>
  </si>
  <si>
    <t>300142</t>
  </si>
  <si>
    <t>300242</t>
  </si>
  <si>
    <t>300342</t>
  </si>
  <si>
    <t>300042;300142;300242;300342</t>
  </si>
  <si>
    <t>｜V4同步全玩法难度：Lv280→Lv266</t>
  </si>
  <si>
    <t>300043</t>
  </si>
  <si>
    <t>300143</t>
  </si>
  <si>
    <t>300243</t>
  </si>
  <si>
    <t>300343</t>
  </si>
  <si>
    <t>300043;300143;300243;300343</t>
  </si>
  <si>
    <t>｜V4同步全玩法难度：Lv285→Lv272</t>
  </si>
  <si>
    <t>300044</t>
  </si>
  <si>
    <t>300144</t>
  </si>
  <si>
    <t>300244</t>
  </si>
  <si>
    <t>300344</t>
  </si>
  <si>
    <t>300044;300144;300244;300344</t>
  </si>
  <si>
    <t>｜V4同步全玩法难度：Lv288→Lv275</t>
  </si>
  <si>
    <t>300045</t>
  </si>
  <si>
    <t>300145</t>
  </si>
  <si>
    <t>300245</t>
  </si>
  <si>
    <t>300345</t>
  </si>
  <si>
    <t>300045;300145;300245;300345</t>
  </si>
  <si>
    <t>｜V4同步全玩法难度：Lv292→Lv279</t>
  </si>
  <si>
    <t>300046</t>
  </si>
  <si>
    <t>300146</t>
  </si>
  <si>
    <t>300246</t>
  </si>
  <si>
    <t>300346</t>
  </si>
  <si>
    <t>300046;300146;300246;300346</t>
  </si>
  <si>
    <t>｜V4同步全玩法难度：Lv295→Lv282</t>
  </si>
  <si>
    <t>300047</t>
  </si>
  <si>
    <t>300147</t>
  </si>
  <si>
    <t>300247</t>
  </si>
  <si>
    <t>300347</t>
  </si>
  <si>
    <t>300047;300147;300247;300347</t>
  </si>
  <si>
    <t>｜V4同步全玩法难度：Lv299→Lv286</t>
  </si>
  <si>
    <t>300048</t>
  </si>
  <si>
    <t>300148</t>
  </si>
  <si>
    <t>300248</t>
  </si>
  <si>
    <t>300348</t>
  </si>
  <si>
    <t>300048;300148;300248;300348</t>
  </si>
  <si>
    <t>｜V4同步全玩法难度：Lv302→Lv289</t>
  </si>
  <si>
    <t>300049</t>
  </si>
  <si>
    <t>300149</t>
  </si>
  <si>
    <t>300249</t>
  </si>
  <si>
    <t>300349</t>
  </si>
  <si>
    <t>300049;300149;300249;300349</t>
  </si>
  <si>
    <t>｜V4同步全玩法难度：Lv304→Lv291</t>
  </si>
  <si>
    <t>300050</t>
  </si>
  <si>
    <t>300150</t>
  </si>
  <si>
    <t>300250</t>
  </si>
  <si>
    <t>300350</t>
  </si>
  <si>
    <t>300050;300150;300250;300350</t>
  </si>
  <si>
    <t>｜V4同步全玩法难度：Lv308→Lv295</t>
  </si>
  <si>
    <t>300051</t>
  </si>
  <si>
    <t>300151</t>
  </si>
  <si>
    <t>300251</t>
  </si>
  <si>
    <t>300351</t>
  </si>
  <si>
    <t>300051;300151;300251;300351</t>
  </si>
  <si>
    <t>｜V4同步全玩法难度：Lv311→Lv299</t>
  </si>
  <si>
    <t>300052</t>
  </si>
  <si>
    <t>300152</t>
  </si>
  <si>
    <t>300252</t>
  </si>
  <si>
    <t>300352</t>
  </si>
  <si>
    <t>300052;300152;300252;300352</t>
  </si>
  <si>
    <t>｜V4同步全玩法难度：Lv313→Lv301</t>
  </si>
  <si>
    <t>300053</t>
  </si>
  <si>
    <t>300153</t>
  </si>
  <si>
    <t>300253</t>
  </si>
  <si>
    <t>300353</t>
  </si>
  <si>
    <t>300053;300153;300253;300353</t>
  </si>
  <si>
    <t>｜V4同步全玩法难度：Lv315→Lv303</t>
  </si>
  <si>
    <t>300054</t>
  </si>
  <si>
    <t>300154</t>
  </si>
  <si>
    <t>300254</t>
  </si>
  <si>
    <t>300354</t>
  </si>
  <si>
    <t>300054;300154;300254;300354</t>
  </si>
  <si>
    <t>｜V4同步全玩法难度：Lv318→Lv306</t>
  </si>
  <si>
    <t>300055</t>
  </si>
  <si>
    <t>300155</t>
  </si>
  <si>
    <t>300255</t>
  </si>
  <si>
    <t>300355</t>
  </si>
  <si>
    <t>300055;300155;300255;300355</t>
  </si>
  <si>
    <t>｜V4同步全玩法难度：Lv320→Lv308</t>
  </si>
  <si>
    <t>300056</t>
  </si>
  <si>
    <t>300156</t>
  </si>
  <si>
    <t>300256</t>
  </si>
  <si>
    <t>300356</t>
  </si>
  <si>
    <t>300056;300156;300256;300356</t>
  </si>
  <si>
    <t>｜V4同步全玩法难度：Lv322→Lv310</t>
  </si>
  <si>
    <t>300057</t>
  </si>
  <si>
    <t>300157</t>
  </si>
  <si>
    <t>300257</t>
  </si>
  <si>
    <t>300357</t>
  </si>
  <si>
    <t>300057;300157;300257;300357</t>
  </si>
  <si>
    <t>｜V4同步全玩法难度：Lv324→Lv312</t>
  </si>
  <si>
    <t>300058</t>
  </si>
  <si>
    <t>300158</t>
  </si>
  <si>
    <t>300258</t>
  </si>
  <si>
    <t>300358</t>
  </si>
  <si>
    <t>300058;300158;300258;300358</t>
  </si>
  <si>
    <t>｜V4同步全玩法难度：Lv326→Lv314</t>
  </si>
  <si>
    <t>300059</t>
  </si>
  <si>
    <t>300159</t>
  </si>
  <si>
    <t>300259</t>
  </si>
  <si>
    <t>300359</t>
  </si>
  <si>
    <t>300059;300159;300259;300359</t>
  </si>
  <si>
    <t>｜V4同步全玩法难度：Lv328→Lv316</t>
  </si>
  <si>
    <t>300060</t>
  </si>
  <si>
    <t>300160</t>
  </si>
  <si>
    <t>300260</t>
  </si>
  <si>
    <t>300360</t>
  </si>
  <si>
    <t>300060;300160;300260;300360</t>
  </si>
  <si>
    <t>｜V4同步全玩法难度：Lv330→Lv318</t>
  </si>
  <si>
    <t>300061</t>
  </si>
  <si>
    <t>300161</t>
  </si>
  <si>
    <t>300261</t>
  </si>
  <si>
    <t>300361</t>
  </si>
  <si>
    <t>300061;300161;300261;300361</t>
  </si>
  <si>
    <t>｜V4同步全玩法难度：Lv332→Lv321</t>
  </si>
  <si>
    <t>300062</t>
  </si>
  <si>
    <t>300162</t>
  </si>
  <si>
    <t>300262</t>
  </si>
  <si>
    <t>300362</t>
  </si>
  <si>
    <t>300062;300162;300262;300362</t>
  </si>
  <si>
    <t>｜V4同步全玩法难度：Lv333→Lv322</t>
  </si>
  <si>
    <t>300063</t>
  </si>
  <si>
    <t>300163</t>
  </si>
  <si>
    <t>300263</t>
  </si>
  <si>
    <t>300363</t>
  </si>
  <si>
    <t>300063;300163;300263;300363</t>
  </si>
  <si>
    <t>｜V4同步全玩法难度：Lv335→Lv324</t>
  </si>
  <si>
    <t>300064</t>
  </si>
  <si>
    <t>300164</t>
  </si>
  <si>
    <t>300264</t>
  </si>
  <si>
    <t>300364</t>
  </si>
  <si>
    <t>300064;300164;300264;300364</t>
  </si>
  <si>
    <t>｜V4同步全玩法难度：Lv337→Lv326</t>
  </si>
  <si>
    <t>300065</t>
  </si>
  <si>
    <t>300165</t>
  </si>
  <si>
    <t>300265</t>
  </si>
  <si>
    <t>300365</t>
  </si>
  <si>
    <t>300065;300165;300265;300365</t>
  </si>
  <si>
    <t>｜V4同步全玩法难度：Lv339→Lv328</t>
  </si>
  <si>
    <t>300066</t>
  </si>
  <si>
    <t>300166</t>
  </si>
  <si>
    <t>300266</t>
  </si>
  <si>
    <t>300366</t>
  </si>
  <si>
    <t>300066;300166;300266;300366</t>
  </si>
  <si>
    <t>｜V4同步全玩法难度：Lv340→Lv329</t>
  </si>
  <si>
    <t>300067</t>
  </si>
  <si>
    <t>300167</t>
  </si>
  <si>
    <t>300267</t>
  </si>
  <si>
    <t>300367</t>
  </si>
  <si>
    <t>300067;300167;300267;300367</t>
  </si>
  <si>
    <t>｜V4同步全玩法难度：Lv341→Lv330</t>
  </si>
  <si>
    <t>300068</t>
  </si>
  <si>
    <t>300168</t>
  </si>
  <si>
    <t>300268</t>
  </si>
  <si>
    <t>300368</t>
  </si>
  <si>
    <t>300068;300168;300268;300368</t>
  </si>
  <si>
    <t>｜V4同步全玩法难度：Lv343→Lv332</t>
  </si>
  <si>
    <t>300069</t>
  </si>
  <si>
    <t>300169</t>
  </si>
  <si>
    <t>300269</t>
  </si>
  <si>
    <t>300369</t>
  </si>
  <si>
    <t>300069;300169;300269;300369</t>
  </si>
  <si>
    <t>｜V4同步全玩法难度：Lv344→Lv333</t>
  </si>
  <si>
    <t>300070</t>
  </si>
  <si>
    <t>300170</t>
  </si>
  <si>
    <t>300270</t>
  </si>
  <si>
    <t>300370</t>
  </si>
  <si>
    <t>300070;300170;300270;300370</t>
  </si>
  <si>
    <t>｜V4同步全玩法难度：Lv346→Lv335</t>
  </si>
  <si>
    <t>300071</t>
  </si>
  <si>
    <t>300171</t>
  </si>
  <si>
    <t>300271</t>
  </si>
  <si>
    <t>300371</t>
  </si>
  <si>
    <t>300071;300171;300271;300371</t>
  </si>
  <si>
    <t>｜V4同步全玩法难度：Lv347→Lv337</t>
  </si>
  <si>
    <t>300072</t>
  </si>
  <si>
    <t>300172</t>
  </si>
  <si>
    <t>300272</t>
  </si>
  <si>
    <t>300372</t>
  </si>
  <si>
    <t>300072;300172;300272;300372</t>
  </si>
  <si>
    <t>｜V4同步全玩法难度：Lv348→Lv337</t>
  </si>
  <si>
    <t>300073</t>
  </si>
  <si>
    <t>300173</t>
  </si>
  <si>
    <t>300273</t>
  </si>
  <si>
    <t>300373</t>
  </si>
  <si>
    <t>300073;300173;300273;300373</t>
  </si>
  <si>
    <t>｜V4同步全玩法难度：Lv349→Lv338</t>
  </si>
  <si>
    <t>300074</t>
  </si>
  <si>
    <t>300174</t>
  </si>
  <si>
    <t>300274</t>
  </si>
  <si>
    <t>300374</t>
  </si>
  <si>
    <t>300074;300174;300274;300374</t>
  </si>
  <si>
    <t>｜V4同步全玩法难度：Lv351→Lv340</t>
  </si>
  <si>
    <t>300075</t>
  </si>
  <si>
    <t>300175</t>
  </si>
  <si>
    <t>300275</t>
  </si>
  <si>
    <t>300375</t>
  </si>
  <si>
    <t>300075;300175;300275;300375</t>
  </si>
  <si>
    <t>｜V4同步全玩法难度：Lv352→Lv341</t>
  </si>
  <si>
    <t>300076</t>
  </si>
  <si>
    <t>300176</t>
  </si>
  <si>
    <t>300276</t>
  </si>
  <si>
    <t>300376</t>
  </si>
  <si>
    <t>300076;300176;300276;300376</t>
  </si>
  <si>
    <t>｜V4同步全玩法难度：Lv353→Lv342</t>
  </si>
  <si>
    <t>300077</t>
  </si>
  <si>
    <t>300177</t>
  </si>
  <si>
    <t>300277</t>
  </si>
  <si>
    <t>300377</t>
  </si>
  <si>
    <t>300077;300177;300277;300377</t>
  </si>
  <si>
    <t>｜V4同步全玩法难度：Lv354→Lv343</t>
  </si>
  <si>
    <t>300078</t>
  </si>
  <si>
    <t>300178</t>
  </si>
  <si>
    <t>300278</t>
  </si>
  <si>
    <t>300378</t>
  </si>
  <si>
    <t>300078;300178;300278;300378</t>
  </si>
  <si>
    <t>｜V4同步全玩法难度：Lv355→Lv345</t>
  </si>
  <si>
    <t>300079</t>
  </si>
  <si>
    <t>300179</t>
  </si>
  <si>
    <t>300279</t>
  </si>
  <si>
    <t>300379</t>
  </si>
  <si>
    <t>300079;300179;300279;300379</t>
  </si>
  <si>
    <t>｜V4同步全玩法难度：Lv356→Lv346</t>
  </si>
  <si>
    <t>300080</t>
  </si>
  <si>
    <t>300180</t>
  </si>
  <si>
    <t>300280</t>
  </si>
  <si>
    <t>300380</t>
  </si>
  <si>
    <t>300080;300180;300280;300380</t>
  </si>
  <si>
    <t>｜V4同步全玩法难度：Lv357→Lv347</t>
  </si>
  <si>
    <t>300081</t>
  </si>
  <si>
    <t>300181</t>
  </si>
  <si>
    <t>300281</t>
  </si>
  <si>
    <t>300381</t>
  </si>
  <si>
    <t>300081;300181;300281;300381</t>
  </si>
  <si>
    <t>｜V4同步全玩法难度：Lv359→Lv349</t>
  </si>
  <si>
    <t>300082</t>
  </si>
  <si>
    <t>300182</t>
  </si>
  <si>
    <t>300282</t>
  </si>
  <si>
    <t>300382</t>
  </si>
  <si>
    <t>300082;300182;300282;300382</t>
  </si>
  <si>
    <t>｜V4同步全玩法难度：Lv360→Lv350</t>
  </si>
  <si>
    <t>300083</t>
  </si>
  <si>
    <t>300183</t>
  </si>
  <si>
    <t>300283</t>
  </si>
  <si>
    <t>300383</t>
  </si>
  <si>
    <t>300083;300183;300283;300383</t>
  </si>
  <si>
    <t>｜V4同步全玩法难度：Lv361→Lv351</t>
  </si>
  <si>
    <t>300084</t>
  </si>
  <si>
    <t>300184</t>
  </si>
  <si>
    <t>300284</t>
  </si>
  <si>
    <t>300384</t>
  </si>
  <si>
    <t>300084;300184;300284;300384</t>
  </si>
  <si>
    <t>｜V4同步全玩法难度：Lv362→Lv352</t>
  </si>
  <si>
    <t>300085</t>
  </si>
  <si>
    <t>300185</t>
  </si>
  <si>
    <t>300285</t>
  </si>
  <si>
    <t>300385</t>
  </si>
  <si>
    <t>300085;300185;300285;300385</t>
  </si>
  <si>
    <t>｜V4同步全玩法难度：Lv363→Lv353</t>
  </si>
  <si>
    <t>300086</t>
  </si>
  <si>
    <t>300186</t>
  </si>
  <si>
    <t>300286</t>
  </si>
  <si>
    <t>300386</t>
  </si>
  <si>
    <t>300086;300186;300286;300386</t>
  </si>
  <si>
    <t>｜V4同步全玩法难度：Lv364→Lv354</t>
  </si>
  <si>
    <t>300087</t>
  </si>
  <si>
    <t>300187</t>
  </si>
  <si>
    <t>300287</t>
  </si>
  <si>
    <t>300387</t>
  </si>
  <si>
    <t>300087;300187;300287;300387</t>
  </si>
  <si>
    <t>｜V4同步全玩法难度：Lv365→Lv355</t>
  </si>
  <si>
    <t>300088</t>
  </si>
  <si>
    <t>300188</t>
  </si>
  <si>
    <t>300288</t>
  </si>
  <si>
    <t>300388</t>
  </si>
  <si>
    <t>300088;300188;300288;300388</t>
  </si>
  <si>
    <t>｜V4同步全玩法难度：Lv366→Lv356</t>
  </si>
  <si>
    <t>300089</t>
  </si>
  <si>
    <t>300189</t>
  </si>
  <si>
    <t>300289</t>
  </si>
  <si>
    <t>300389</t>
  </si>
  <si>
    <t>300089;300189;300289;300389</t>
  </si>
  <si>
    <t>｜V4同步全玩法难度：Lv367→Lv357</t>
  </si>
  <si>
    <t>300090</t>
  </si>
  <si>
    <t>300190</t>
  </si>
  <si>
    <t>300290</t>
  </si>
  <si>
    <t>300390</t>
  </si>
  <si>
    <t>300090;300190;300290;300390</t>
  </si>
  <si>
    <t>｜V4同步全玩法难度：Lv368→Lv358</t>
  </si>
  <si>
    <t>300091</t>
  </si>
  <si>
    <t>300191</t>
  </si>
  <si>
    <t>300291</t>
  </si>
  <si>
    <t>300391</t>
  </si>
  <si>
    <t>300091;300191;300291;300391</t>
  </si>
  <si>
    <t>｜V4同步全玩法难度：Lv370→Lv360</t>
  </si>
  <si>
    <t>300092</t>
  </si>
  <si>
    <t>300192</t>
  </si>
  <si>
    <t>300292</t>
  </si>
  <si>
    <t>300392</t>
  </si>
  <si>
    <t>300092;300192;300292;300392</t>
  </si>
  <si>
    <t>｜V4同步全玩法难度：Lv371→Lv361</t>
  </si>
  <si>
    <t>300093</t>
  </si>
  <si>
    <t>300193</t>
  </si>
  <si>
    <t>300293</t>
  </si>
  <si>
    <t>300393</t>
  </si>
  <si>
    <t>300093;300193;300293;300393</t>
  </si>
  <si>
    <t>300094</t>
  </si>
  <si>
    <t>300194</t>
  </si>
  <si>
    <t>300294</t>
  </si>
  <si>
    <t>300394</t>
  </si>
  <si>
    <t>300094;300194;300294;300394</t>
  </si>
  <si>
    <t>｜V4同步全玩法难度：Lv373→Lv363</t>
  </si>
  <si>
    <t>300095</t>
  </si>
  <si>
    <t>300195</t>
  </si>
  <si>
    <t>300295</t>
  </si>
  <si>
    <t>300395</t>
  </si>
  <si>
    <t>300095;300195;300295;300395</t>
  </si>
  <si>
    <t>｜V4同步全玩法难度：Lv374→Lv364</t>
  </si>
  <si>
    <t>300096</t>
  </si>
  <si>
    <t>300196</t>
  </si>
  <si>
    <t>300296</t>
  </si>
  <si>
    <t>300396</t>
  </si>
  <si>
    <t>300096;300196;300296;300396</t>
  </si>
  <si>
    <t>｜V4同步全玩法难度：Lv375→Lv365</t>
  </si>
  <si>
    <t>300097</t>
  </si>
  <si>
    <t>300197</t>
  </si>
  <si>
    <t>300297</t>
  </si>
  <si>
    <t>300397</t>
  </si>
  <si>
    <t>300097;300197;300297;300397</t>
  </si>
  <si>
    <t>｜V4同步全玩法难度：Lv376→Lv366</t>
  </si>
  <si>
    <t>300098</t>
  </si>
  <si>
    <t>300198</t>
  </si>
  <si>
    <t>300298</t>
  </si>
  <si>
    <t>300398</t>
  </si>
  <si>
    <t>300098;300198;300298;300398</t>
  </si>
  <si>
    <t>｜V4同步全玩法难度：Lv377→Lv367</t>
  </si>
  <si>
    <t>300099</t>
  </si>
  <si>
    <t>300199</t>
  </si>
  <si>
    <t>300299</t>
  </si>
  <si>
    <t>300399</t>
  </si>
  <si>
    <t>300099;300199;300299;300399</t>
  </si>
  <si>
    <t>｜V4同步全玩法难度：Lv378→Lv368</t>
  </si>
  <si>
    <t>300100</t>
  </si>
  <si>
    <t>300200</t>
  </si>
  <si>
    <t>300300</t>
  </si>
  <si>
    <t>300400</t>
  </si>
  <si>
    <t>300100;300200;300300;300400</t>
  </si>
  <si>
    <t>｜V4同步全玩法难度：Lv380→Lv370</t>
  </si>
  <si>
    <t>300101</t>
  </si>
  <si>
    <t>300201</t>
  </si>
  <si>
    <t>300301</t>
  </si>
  <si>
    <t>300401</t>
  </si>
  <si>
    <t>300101;300201;300301;300401</t>
  </si>
  <si>
    <t>等级</t>
  </si>
  <si>
    <t>普通怪生命</t>
  </si>
  <si>
    <t>普通怪攻击</t>
  </si>
  <si>
    <t>普通怪防御</t>
  </si>
  <si>
    <t>Vgame基本战斗框架｜怪物标准模型-可视版 H/F/G</t>
  </si>
  <si>
    <t>HeroId</t>
  </si>
  <si>
    <t>角色名</t>
  </si>
  <si>
    <t>HeroClass</t>
  </si>
  <si>
    <t>测试</t>
  </si>
  <si>
    <t>Hero.xlsx</t>
  </si>
  <si>
    <t>星海</t>
  </si>
  <si>
    <t>大暑</t>
  </si>
  <si>
    <t>塔拉夏</t>
  </si>
  <si>
    <t>阿芭</t>
  </si>
  <si>
    <t>陈单单</t>
  </si>
  <si>
    <t>莉莉娅</t>
  </si>
  <si>
    <t>萨萨莉安</t>
  </si>
  <si>
    <t>薇</t>
  </si>
  <si>
    <t>约瑟夫</t>
  </si>
  <si>
    <t>陈双双</t>
  </si>
  <si>
    <t>艾德琳</t>
  </si>
  <si>
    <t>夏缇拉</t>
  </si>
  <si>
    <t>克莉丝汀</t>
  </si>
  <si>
    <t>阿莱克西娅</t>
  </si>
  <si>
    <t>伊戈尔</t>
  </si>
  <si>
    <t>埃莉诺</t>
  </si>
  <si>
    <t>桑尼</t>
  </si>
  <si>
    <t>卡斯帕</t>
  </si>
  <si>
    <t>梅梅</t>
  </si>
  <si>
    <t>梅林</t>
  </si>
  <si>
    <t>马克</t>
  </si>
  <si>
    <t>卡薇</t>
  </si>
  <si>
    <t>乔一</t>
  </si>
  <si>
    <t>凯兰</t>
  </si>
  <si>
    <t>莫莉</t>
  </si>
  <si>
    <t>碎冰者</t>
  </si>
  <si>
    <t>霜狼法师</t>
  </si>
  <si>
    <t>霜狼战士</t>
  </si>
  <si>
    <t>商队战斗员</t>
  </si>
  <si>
    <t>商队枪手</t>
  </si>
  <si>
    <t>小寒</t>
  </si>
  <si>
    <t>爬塔 TeamHero 属性生成</t>
  </si>
  <si>
    <t>D～F为最终生成值；公式基于楼层难度等级、精英怪基准和HeroClass职业偏移。</t>
  </si>
  <si>
    <t>TeamHero.Id</t>
  </si>
  <si>
    <t>CfgId</t>
  </si>
  <si>
    <t>Level</t>
  </si>
  <si>
    <t>Hp（生成）</t>
  </si>
  <si>
    <t>Attack（生成）</t>
  </si>
  <si>
    <t>Armor（生成）</t>
  </si>
  <si>
    <t>当前Hp</t>
  </si>
  <si>
    <t>当前Attack</t>
  </si>
  <si>
    <t>当前Armor</t>
  </si>
  <si>
    <t>精英生命系数</t>
  </si>
  <si>
    <t>精英攻击系数</t>
  </si>
  <si>
    <t>精英防御系数</t>
  </si>
  <si>
    <t>精英怪生命</t>
  </si>
  <si>
    <t>精英怪攻击</t>
  </si>
  <si>
    <t>精英怪防御</t>
  </si>
  <si>
    <t>职业生命系数</t>
  </si>
  <si>
    <t>职业攻击系数</t>
  </si>
  <si>
    <t>职业防御系数</t>
  </si>
  <si>
    <t>楼层生命倍率</t>
  </si>
  <si>
    <t>楼层攻击倍率</t>
  </si>
  <si>
    <t>楼层防御倍率</t>
  </si>
  <si>
    <t>Hp变化</t>
  </si>
  <si>
    <t>Attack变化</t>
  </si>
  <si>
    <t>Armor变化</t>
  </si>
  <si>
    <t>校验</t>
  </si>
  <si>
    <t>TeamHero 落表结果</t>
  </si>
  <si>
    <t>按TeamHero.Id升序；复制D～F列并以“值”覆盖源表Hp、Attack、Armor。</t>
  </si>
  <si>
    <t>CfgId（核对）</t>
  </si>
  <si>
    <t>Level（核对）</t>
  </si>
  <si>
    <t>Hp</t>
  </si>
  <si>
    <t>Attack</t>
  </si>
  <si>
    <t>Armor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</si>
</sst>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9">
    <font>
      <sz val="11"/>
      <color theme="1"/>
      <name val="宋体"/>
      <charset val="134"/>
      <scheme val="minor"/>
    </font>
    <font>
      <b/>
      <sz val="18"/>
      <color rgb="FFFFFFFF"/>
      <name val="Microsoft YaHei"/>
      <charset val="134"/>
    </font>
    <font>
      <sz val="10"/>
      <color rgb="FF404040"/>
      <name val="Microsoft YaHei"/>
      <charset val="134"/>
    </font>
    <font>
      <b/>
      <sz val="11"/>
      <color rgb="FFFFFFFF"/>
      <name val="Microsoft YaHei"/>
      <charset val="134"/>
    </font>
    <font>
      <sz val="9"/>
      <color rgb="FF000000"/>
      <name val="Microsoft YaHei"/>
      <charset val="134"/>
    </font>
    <font>
      <b/>
      <sz val="9"/>
      <name val="Microsoft YaHei"/>
      <charset val="134"/>
    </font>
    <font>
      <sz val="9"/>
      <color rgb="FF0000FF"/>
      <name val="Microsoft YaHei"/>
      <charset val="134"/>
    </font>
    <font>
      <b/>
      <sz val="13"/>
      <color rgb="FF1F4E78"/>
      <name val="Microsoft YaHei"/>
      <charset val="134"/>
    </font>
    <font>
      <sz val="10"/>
      <name val="Microsoft YaHei"/>
      <charset val="134"/>
    </font>
    <font>
      <sz val="9"/>
      <color rgb="FF666666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6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7" borderId="5">
      <alignment vertical="center"/>
    </xf>
    <xf numFmtId="0" fontId="19" fillId="8" borderId="6">
      <alignment vertical="center"/>
    </xf>
    <xf numFmtId="0" fontId="20" fillId="8" borderId="5">
      <alignment vertical="center"/>
    </xf>
    <xf numFmtId="0" fontId="21" fillId="9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8" fillId="34" borderId="0">
      <alignment vertical="center"/>
    </xf>
    <xf numFmtId="0" fontId="28" fillId="35" borderId="0">
      <alignment vertical="center"/>
    </xf>
    <xf numFmtId="0" fontId="27" fillId="36" borderId="0">
      <alignment vertical="center"/>
    </xf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left" vertical="center"/>
    </xf>
    <xf numFmtId="2" fontId="6" fillId="5" borderId="1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  <pageSetUpPr fitToPage="1"/>
  </sheetPr>
  <dimension ref="A1:H26"/>
  <sheetViews>
    <sheetView showGridLines="0" workbookViewId="0">
      <pane xSplit="1" ySplit="3" topLeftCell="B4" activePane="bottomRight" state="frozen"/>
      <selection/>
      <selection pane="topRight"/>
      <selection pane="bottomLeft"/>
      <selection pane="bottomRight" activeCell="A1" sqref="A1:H1"/>
    </sheetView>
  </sheetViews>
  <sheetFormatPr defaultColWidth="9" defaultRowHeight="13.5" outlineLevelCol="7"/>
  <cols>
    <col min="1" max="1" width="4" customWidth="1"/>
    <col min="2" max="8" width="18" customWidth="1"/>
  </cols>
  <sheetData>
    <row r="1" ht="30" customHeight="1" spans="1:2">
      <c r="A1" s="1" t="s">
        <v>0</v>
      </c>
    </row>
    <row r="2" ht="32" customHeight="1" spans="1:2">
      <c r="A2" s="2" t="s">
        <v>1</v>
      </c>
    </row>
    <row r="4" ht="19.5" customHeight="1" spans="1:2">
      <c r="B4" s="10" t="s">
        <v>2</v>
      </c>
    </row>
    <row r="6" ht="28" customHeight="1" spans="1:2">
      <c r="B6" s="11" t="s">
        <v>3</v>
      </c>
    </row>
    <row r="7" ht="28" customHeight="1" spans="1:2">
      <c r="B7" s="11" t="s">
        <v>4</v>
      </c>
    </row>
    <row r="8" ht="28" customHeight="1" spans="1:2">
      <c r="B8" s="11" t="s">
        <v>5</v>
      </c>
    </row>
    <row r="9" ht="28" customHeight="1" spans="1:2">
      <c r="B9" s="11" t="s">
        <v>6</v>
      </c>
    </row>
    <row r="10" ht="28" customHeight="1" spans="1:2">
      <c r="B10" s="11" t="s">
        <v>7</v>
      </c>
    </row>
    <row r="13" ht="19.5" customHeight="1" spans="1:2">
      <c r="B13" s="10" t="s">
        <v>8</v>
      </c>
    </row>
    <row r="15" ht="24" customHeight="1" spans="1:2">
      <c r="B15" s="11" t="s">
        <v>9</v>
      </c>
    </row>
    <row r="16" ht="24" customHeight="1" spans="1:2">
      <c r="B16" s="11" t="s">
        <v>10</v>
      </c>
    </row>
    <row r="17" ht="24" customHeight="1" spans="2:2">
      <c r="B17" s="11" t="s">
        <v>11</v>
      </c>
    </row>
    <row r="18" ht="24" customHeight="1" spans="2:2">
      <c r="B18" s="11" t="s">
        <v>12</v>
      </c>
    </row>
    <row r="21" ht="19.5" customHeight="1" spans="2:2">
      <c r="B21" s="10" t="s">
        <v>13</v>
      </c>
    </row>
    <row r="23" ht="24" customHeight="1" spans="2:2">
      <c r="B23" s="12" t="s">
        <v>14</v>
      </c>
    </row>
    <row r="24" ht="24" customHeight="1" spans="2:2">
      <c r="B24" s="12" t="s">
        <v>15</v>
      </c>
    </row>
    <row r="25" ht="24" customHeight="1" spans="2:2">
      <c r="B25" s="12" t="s">
        <v>16</v>
      </c>
    </row>
    <row r="26" ht="24" customHeight="1" spans="2:2">
      <c r="B26" s="12" t="s">
        <v>17</v>
      </c>
    </row>
  </sheetData>
  <mergeCells count="18">
    <mergeCell ref="A1:H1"/>
    <mergeCell ref="A2:H2"/>
    <mergeCell ref="B4:H4"/>
    <mergeCell ref="B6:H6"/>
    <mergeCell ref="B7:H7"/>
    <mergeCell ref="B8:H8"/>
    <mergeCell ref="B9:H9"/>
    <mergeCell ref="B10:H10"/>
    <mergeCell ref="B13:H13"/>
    <mergeCell ref="B15:H15"/>
    <mergeCell ref="B16:H16"/>
    <mergeCell ref="B17:H17"/>
    <mergeCell ref="B18:H18"/>
    <mergeCell ref="B21:H21"/>
    <mergeCell ref="B23:H23"/>
    <mergeCell ref="B24:H24"/>
    <mergeCell ref="B25:H25"/>
    <mergeCell ref="B26:H26"/>
  </mergeCells>
  <pageMargins left="0.25" right="0.25" top="0.5" bottom="0.5" header="0.5" footer="0.5"/>
  <pageSetup paperSize="1" fitToHeight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4B183"/>
    <pageSetUpPr fitToPage="1"/>
  </sheetPr>
  <dimension ref="A1:F1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18" customWidth="1"/>
    <col min="2" max="4" width="14" customWidth="1"/>
    <col min="5" max="5" width="28" customWidth="1"/>
    <col min="6" max="6" width="64" customWidth="1"/>
  </cols>
  <sheetData>
    <row r="1" ht="30" customHeight="1" spans="1:6">
      <c r="A1" s="1" t="s">
        <v>18</v>
      </c>
    </row>
    <row r="2" ht="32" customHeight="1" spans="1:6">
      <c r="A2" s="2" t="s">
        <v>19</v>
      </c>
    </row>
    <row r="4" ht="38" customHeight="1" spans="1:6">
      <c r="A4" s="3" t="s">
        <v>20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25</v>
      </c>
    </row>
    <row r="5" ht="14.25" customHeight="1" spans="1:6">
      <c r="A5" s="4" t="s">
        <v>26</v>
      </c>
      <c r="B5" s="9">
        <v>1.5</v>
      </c>
      <c r="C5" s="9">
        <v>1</v>
      </c>
      <c r="D5" s="9">
        <v>1.5</v>
      </c>
      <c r="E5" s="4" t="s">
        <v>27</v>
      </c>
      <c r="F5" s="4" t="s">
        <v>28</v>
      </c>
    </row>
    <row r="6" ht="14.25" customHeight="1" spans="1:6">
      <c r="A6" s="4" t="s">
        <v>29</v>
      </c>
      <c r="B6" s="9">
        <v>1</v>
      </c>
      <c r="C6" s="9">
        <v>1.2</v>
      </c>
      <c r="D6" s="9">
        <v>1</v>
      </c>
      <c r="E6" s="4" t="s">
        <v>30</v>
      </c>
      <c r="F6" s="4" t="s">
        <v>28</v>
      </c>
    </row>
    <row r="7" ht="14.25" customHeight="1" spans="1:6">
      <c r="A7" s="4" t="s">
        <v>31</v>
      </c>
      <c r="B7" s="9">
        <v>1.25</v>
      </c>
      <c r="C7" s="9">
        <v>1</v>
      </c>
      <c r="D7" s="9">
        <v>1.25</v>
      </c>
      <c r="E7" s="4" t="s">
        <v>32</v>
      </c>
      <c r="F7" s="4" t="s">
        <v>28</v>
      </c>
    </row>
    <row r="9" ht="38" customHeight="1" spans="1:6">
      <c r="A9" s="3" t="s">
        <v>33</v>
      </c>
      <c r="B9" s="3" t="s">
        <v>21</v>
      </c>
      <c r="C9" s="3" t="s">
        <v>22</v>
      </c>
      <c r="D9" s="3" t="s">
        <v>23</v>
      </c>
      <c r="E9" s="3" t="s">
        <v>34</v>
      </c>
      <c r="F9" s="3" t="s">
        <v>25</v>
      </c>
    </row>
    <row r="10" ht="14.25" customHeight="1" spans="1:6">
      <c r="A10" s="4" t="s">
        <v>35</v>
      </c>
      <c r="B10" s="9">
        <v>4</v>
      </c>
      <c r="C10" s="9">
        <v>1.2</v>
      </c>
      <c r="D10" s="9">
        <v>1</v>
      </c>
      <c r="E10" s="4">
        <v>200101</v>
      </c>
      <c r="F10" s="4" t="s">
        <v>36</v>
      </c>
    </row>
    <row r="12" ht="38" customHeight="1" spans="1:6">
      <c r="A12" s="3" t="s">
        <v>37</v>
      </c>
      <c r="B12" s="3" t="s">
        <v>38</v>
      </c>
      <c r="C12" s="3" t="s">
        <v>39</v>
      </c>
      <c r="D12" s="3" t="s">
        <v>40</v>
      </c>
      <c r="E12" s="3" t="s">
        <v>24</v>
      </c>
      <c r="F12" s="3"/>
    </row>
    <row r="13" ht="14.25" customHeight="1" spans="1:6">
      <c r="A13" s="4" t="s">
        <v>41</v>
      </c>
      <c r="B13" s="9">
        <v>1</v>
      </c>
      <c r="C13" s="9">
        <v>1</v>
      </c>
      <c r="D13" s="9">
        <v>1</v>
      </c>
      <c r="E13" s="4" t="s">
        <v>42</v>
      </c>
      <c r="F13" s="4"/>
    </row>
  </sheetData>
  <mergeCells count="2">
    <mergeCell ref="A1:F1"/>
    <mergeCell ref="A2:F2"/>
  </mergeCells>
  <pageMargins left="0.25" right="0.25" top="0.5" bottom="0.5" header="0.5" footer="0.5"/>
  <pageSetup paperSize="1" fitToHeight="0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D966"/>
    <pageSetUpPr fitToPage="1"/>
  </sheetPr>
  <dimension ref="A1:P104"/>
  <sheetViews>
    <sheetView showGridLines="0" zoomScale="85" zoomScaleNormal="85" workbookViewId="0">
      <pane xSplit="3" ySplit="4" topLeftCell="D14" activePane="bottomRight" state="frozen"/>
      <selection/>
      <selection pane="topRight"/>
      <selection pane="bottomLeft"/>
      <selection pane="bottomRight" activeCell="F13" sqref="F13"/>
    </sheetView>
  </sheetViews>
  <sheetFormatPr defaultColWidth="9" defaultRowHeight="13.5"/>
  <cols>
    <col min="1" max="1" width="12" customWidth="1"/>
    <col min="2" max="2" width="8" customWidth="1"/>
    <col min="3" max="3" width="10" customWidth="1"/>
    <col min="4" max="4" width="12" customWidth="1"/>
    <col min="5" max="7" width="11" customWidth="1"/>
    <col min="8" max="11" width="16" customWidth="1"/>
    <col min="12" max="12" width="44" customWidth="1"/>
    <col min="13" max="13" width="14" customWidth="1"/>
    <col min="14" max="15" width="12" customWidth="1"/>
    <col min="16" max="16" width="46" customWidth="1"/>
  </cols>
  <sheetData>
    <row r="1" ht="30" customHeight="1" spans="1:16">
      <c r="A1" s="1" t="s">
        <v>43</v>
      </c>
    </row>
    <row r="2" ht="32" customHeight="1" spans="1:16">
      <c r="A2" s="2" t="s">
        <v>44</v>
      </c>
    </row>
    <row r="4" ht="38" customHeight="1" spans="1:16">
      <c r="A4" s="3" t="s">
        <v>45</v>
      </c>
      <c r="B4" s="3" t="s">
        <v>46</v>
      </c>
      <c r="C4" s="3" t="s">
        <v>47</v>
      </c>
      <c r="D4" s="3" t="s">
        <v>48</v>
      </c>
      <c r="E4" s="3" t="s">
        <v>49</v>
      </c>
      <c r="F4" s="3" t="s">
        <v>50</v>
      </c>
      <c r="G4" s="3" t="s">
        <v>51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57</v>
      </c>
      <c r="N4" s="3" t="s">
        <v>58</v>
      </c>
      <c r="O4" s="3" t="s">
        <v>59</v>
      </c>
      <c r="P4" s="3" t="s">
        <v>60</v>
      </c>
    </row>
    <row r="5" ht="14.25" customHeight="1" spans="1:16">
      <c r="A5" s="4" t="s">
        <v>61</v>
      </c>
      <c r="B5" s="4">
        <v>1</v>
      </c>
      <c r="C5" s="4">
        <v>1</v>
      </c>
      <c r="D5" s="7">
        <v>37</v>
      </c>
      <c r="E5" s="7">
        <v>1</v>
      </c>
      <c r="F5" s="7">
        <v>1</v>
      </c>
      <c r="G5" s="7">
        <v>1</v>
      </c>
      <c r="H5" s="8" t="s">
        <v>62</v>
      </c>
      <c r="I5" s="8" t="s">
        <v>63</v>
      </c>
      <c r="J5" s="8" t="s">
        <v>64</v>
      </c>
      <c r="K5" s="8" t="s">
        <v>65</v>
      </c>
      <c r="L5" s="8" t="s">
        <v>66</v>
      </c>
      <c r="M5" s="4">
        <f>COUNTIF(TeamHero生成!$J$5:$J$504,$C5)</f>
        <v>5</v>
      </c>
      <c r="N5" s="4" t="str">
        <f t="shared" ref="N5:N68" si="0">IF(AND(ISNUMBER($D5),$D5&gt;=1,$D5&lt;=500,MOD($D5,1)=0),"有效","无效")</f>
        <v>有效</v>
      </c>
      <c r="O5" s="4" t="s">
        <v>67</v>
      </c>
      <c r="P5" s="4" t="s">
        <v>68</v>
      </c>
    </row>
    <row r="6" ht="14.25" customHeight="1" spans="1:16">
      <c r="A6" s="4" t="s">
        <v>61</v>
      </c>
      <c r="B6" s="4">
        <v>2</v>
      </c>
      <c r="C6" s="4">
        <v>2</v>
      </c>
      <c r="D6" s="7">
        <v>44</v>
      </c>
      <c r="E6" s="7">
        <v>1</v>
      </c>
      <c r="F6" s="7">
        <v>1</v>
      </c>
      <c r="G6" s="7">
        <v>1</v>
      </c>
      <c r="H6" s="8" t="s">
        <v>69</v>
      </c>
      <c r="I6" s="8" t="s">
        <v>70</v>
      </c>
      <c r="J6" s="8" t="s">
        <v>71</v>
      </c>
      <c r="K6" s="8" t="s">
        <v>72</v>
      </c>
      <c r="L6" s="8" t="s">
        <v>73</v>
      </c>
      <c r="M6" s="4">
        <f>COUNTIF(TeamHero生成!$J$5:$J$504,$C6)</f>
        <v>5</v>
      </c>
      <c r="N6" s="4" t="str">
        <f t="shared" si="0"/>
        <v>有效</v>
      </c>
      <c r="O6" s="4" t="str">
        <f t="shared" ref="O6:O69" si="1">IF($D6&lt;$D5,"下降","")</f>
        <v/>
      </c>
      <c r="P6" s="4" t="s">
        <v>74</v>
      </c>
    </row>
    <row r="7" ht="14.25" customHeight="1" spans="1:16">
      <c r="A7" s="4" t="s">
        <v>61</v>
      </c>
      <c r="B7" s="4">
        <v>3</v>
      </c>
      <c r="C7" s="4">
        <v>3</v>
      </c>
      <c r="D7" s="7">
        <v>51</v>
      </c>
      <c r="E7" s="7">
        <v>1</v>
      </c>
      <c r="F7" s="7">
        <v>1</v>
      </c>
      <c r="G7" s="7">
        <v>1</v>
      </c>
      <c r="H7" s="8" t="s">
        <v>75</v>
      </c>
      <c r="I7" s="8" t="s">
        <v>76</v>
      </c>
      <c r="J7" s="8" t="s">
        <v>77</v>
      </c>
      <c r="K7" s="8" t="s">
        <v>78</v>
      </c>
      <c r="L7" s="8" t="s">
        <v>79</v>
      </c>
      <c r="M7" s="4">
        <f>COUNTIF(TeamHero生成!$J$5:$J$504,$C7)</f>
        <v>5</v>
      </c>
      <c r="N7" s="4" t="str">
        <f t="shared" si="0"/>
        <v>有效</v>
      </c>
      <c r="O7" s="4" t="str">
        <f t="shared" si="1"/>
        <v/>
      </c>
      <c r="P7" s="4" t="s">
        <v>80</v>
      </c>
    </row>
    <row r="8" ht="14.25" customHeight="1" spans="1:16">
      <c r="A8" s="4" t="s">
        <v>61</v>
      </c>
      <c r="B8" s="4">
        <v>4</v>
      </c>
      <c r="C8" s="4">
        <v>4</v>
      </c>
      <c r="D8" s="7">
        <v>59</v>
      </c>
      <c r="E8" s="7">
        <v>1</v>
      </c>
      <c r="F8" s="7">
        <v>1</v>
      </c>
      <c r="G8" s="7">
        <v>1</v>
      </c>
      <c r="H8" s="8" t="s">
        <v>81</v>
      </c>
      <c r="I8" s="8" t="s">
        <v>82</v>
      </c>
      <c r="J8" s="8" t="s">
        <v>83</v>
      </c>
      <c r="K8" s="8" t="s">
        <v>84</v>
      </c>
      <c r="L8" s="8" t="s">
        <v>85</v>
      </c>
      <c r="M8" s="4">
        <f>COUNTIF(TeamHero生成!$J$5:$J$504,$C8)</f>
        <v>5</v>
      </c>
      <c r="N8" s="4" t="str">
        <f t="shared" si="0"/>
        <v>有效</v>
      </c>
      <c r="O8" s="4" t="str">
        <f t="shared" si="1"/>
        <v/>
      </c>
      <c r="P8" s="4" t="s">
        <v>86</v>
      </c>
    </row>
    <row r="9" ht="14.25" customHeight="1" spans="1:16">
      <c r="A9" s="4" t="s">
        <v>61</v>
      </c>
      <c r="B9" s="4">
        <v>5</v>
      </c>
      <c r="C9" s="4">
        <v>5</v>
      </c>
      <c r="D9" s="7">
        <v>65</v>
      </c>
      <c r="E9" s="7">
        <v>1</v>
      </c>
      <c r="F9" s="7">
        <v>1</v>
      </c>
      <c r="G9" s="7">
        <v>1</v>
      </c>
      <c r="H9" s="8" t="s">
        <v>87</v>
      </c>
      <c r="I9" s="8" t="s">
        <v>88</v>
      </c>
      <c r="J9" s="8" t="s">
        <v>89</v>
      </c>
      <c r="K9" s="8" t="s">
        <v>90</v>
      </c>
      <c r="L9" s="8" t="s">
        <v>91</v>
      </c>
      <c r="M9" s="4">
        <f>COUNTIF(TeamHero生成!$J$5:$J$504,$C9)</f>
        <v>5</v>
      </c>
      <c r="N9" s="4" t="str">
        <f t="shared" si="0"/>
        <v>有效</v>
      </c>
      <c r="O9" s="4" t="str">
        <f t="shared" si="1"/>
        <v/>
      </c>
      <c r="P9" s="4" t="s">
        <v>92</v>
      </c>
    </row>
    <row r="10" ht="14.25" customHeight="1" spans="1:16">
      <c r="A10" s="4" t="s">
        <v>61</v>
      </c>
      <c r="B10" s="4">
        <v>6</v>
      </c>
      <c r="C10" s="4">
        <v>6</v>
      </c>
      <c r="D10" s="7">
        <v>73</v>
      </c>
      <c r="E10" s="7">
        <v>1</v>
      </c>
      <c r="F10" s="7">
        <v>1</v>
      </c>
      <c r="G10" s="7">
        <v>1</v>
      </c>
      <c r="H10" s="8" t="s">
        <v>93</v>
      </c>
      <c r="I10" s="8" t="s">
        <v>94</v>
      </c>
      <c r="J10" s="8" t="s">
        <v>95</v>
      </c>
      <c r="K10" s="8" t="s">
        <v>96</v>
      </c>
      <c r="L10" s="8" t="s">
        <v>97</v>
      </c>
      <c r="M10" s="4">
        <f>COUNTIF(TeamHero生成!$J$5:$J$504,$C10)</f>
        <v>5</v>
      </c>
      <c r="N10" s="4" t="str">
        <f t="shared" si="0"/>
        <v>有效</v>
      </c>
      <c r="O10" s="4" t="str">
        <f t="shared" si="1"/>
        <v/>
      </c>
      <c r="P10" s="4" t="s">
        <v>98</v>
      </c>
    </row>
    <row r="11" ht="14.25" customHeight="1" spans="1:16">
      <c r="A11" s="4" t="s">
        <v>61</v>
      </c>
      <c r="B11" s="4">
        <v>7</v>
      </c>
      <c r="C11" s="4">
        <v>7</v>
      </c>
      <c r="D11" s="7">
        <v>79</v>
      </c>
      <c r="E11" s="7">
        <v>1</v>
      </c>
      <c r="F11" s="7">
        <v>1</v>
      </c>
      <c r="G11" s="7">
        <v>1</v>
      </c>
      <c r="H11" s="8" t="s">
        <v>99</v>
      </c>
      <c r="I11" s="8" t="s">
        <v>100</v>
      </c>
      <c r="J11" s="8" t="s">
        <v>101</v>
      </c>
      <c r="K11" s="8" t="s">
        <v>102</v>
      </c>
      <c r="L11" s="8" t="s">
        <v>103</v>
      </c>
      <c r="M11" s="4">
        <f>COUNTIF(TeamHero生成!$J$5:$J$504,$C11)</f>
        <v>5</v>
      </c>
      <c r="N11" s="4" t="str">
        <f t="shared" si="0"/>
        <v>有效</v>
      </c>
      <c r="O11" s="4" t="str">
        <f t="shared" si="1"/>
        <v/>
      </c>
      <c r="P11" s="4" t="s">
        <v>104</v>
      </c>
    </row>
    <row r="12" ht="14.25" customHeight="1" spans="1:16">
      <c r="A12" s="4" t="s">
        <v>61</v>
      </c>
      <c r="B12" s="4">
        <v>8</v>
      </c>
      <c r="C12" s="4">
        <v>8</v>
      </c>
      <c r="D12" s="7">
        <v>86</v>
      </c>
      <c r="E12" s="7">
        <v>1</v>
      </c>
      <c r="F12" s="7">
        <v>1</v>
      </c>
      <c r="G12" s="7">
        <v>1</v>
      </c>
      <c r="H12" s="8" t="s">
        <v>105</v>
      </c>
      <c r="I12" s="8" t="s">
        <v>106</v>
      </c>
      <c r="J12" s="8" t="s">
        <v>107</v>
      </c>
      <c r="K12" s="8" t="s">
        <v>108</v>
      </c>
      <c r="L12" s="8" t="s">
        <v>109</v>
      </c>
      <c r="M12" s="4">
        <f>COUNTIF(TeamHero生成!$J$5:$J$504,$C12)</f>
        <v>5</v>
      </c>
      <c r="N12" s="4" t="str">
        <f t="shared" si="0"/>
        <v>有效</v>
      </c>
      <c r="O12" s="4" t="str">
        <f t="shared" si="1"/>
        <v/>
      </c>
      <c r="P12" s="4" t="s">
        <v>110</v>
      </c>
    </row>
    <row r="13" ht="14.25" customHeight="1" spans="1:16">
      <c r="A13" s="4" t="s">
        <v>61</v>
      </c>
      <c r="B13" s="4">
        <v>9</v>
      </c>
      <c r="C13" s="4">
        <v>9</v>
      </c>
      <c r="D13" s="7">
        <v>93</v>
      </c>
      <c r="E13" s="7">
        <v>1</v>
      </c>
      <c r="F13" s="7">
        <v>1</v>
      </c>
      <c r="G13" s="7">
        <v>1</v>
      </c>
      <c r="H13" s="8" t="s">
        <v>111</v>
      </c>
      <c r="I13" s="8" t="s">
        <v>112</v>
      </c>
      <c r="J13" s="8" t="s">
        <v>113</v>
      </c>
      <c r="K13" s="8" t="s">
        <v>114</v>
      </c>
      <c r="L13" s="8" t="s">
        <v>115</v>
      </c>
      <c r="M13" s="4">
        <f>COUNTIF(TeamHero生成!$J$5:$J$504,$C13)</f>
        <v>5</v>
      </c>
      <c r="N13" s="4" t="str">
        <f t="shared" si="0"/>
        <v>有效</v>
      </c>
      <c r="O13" s="4" t="str">
        <f t="shared" si="1"/>
        <v/>
      </c>
      <c r="P13" s="4" t="s">
        <v>116</v>
      </c>
    </row>
    <row r="14" ht="14.25" customHeight="1" spans="1:16">
      <c r="A14" s="4" t="s">
        <v>61</v>
      </c>
      <c r="B14" s="4">
        <v>10</v>
      </c>
      <c r="C14" s="4">
        <v>10</v>
      </c>
      <c r="D14" s="7">
        <v>100</v>
      </c>
      <c r="E14" s="7">
        <v>1</v>
      </c>
      <c r="F14" s="7">
        <v>1</v>
      </c>
      <c r="G14" s="7">
        <v>1</v>
      </c>
      <c r="H14" s="8" t="s">
        <v>117</v>
      </c>
      <c r="I14" s="8" t="s">
        <v>118</v>
      </c>
      <c r="J14" s="8" t="s">
        <v>119</v>
      </c>
      <c r="K14" s="8" t="s">
        <v>120</v>
      </c>
      <c r="L14" s="8" t="s">
        <v>121</v>
      </c>
      <c r="M14" s="4">
        <f>COUNTIF(TeamHero生成!$J$5:$J$504,$C14)</f>
        <v>5</v>
      </c>
      <c r="N14" s="4" t="str">
        <f t="shared" si="0"/>
        <v>有效</v>
      </c>
      <c r="O14" s="4" t="str">
        <f t="shared" si="1"/>
        <v/>
      </c>
      <c r="P14" s="4" t="s">
        <v>122</v>
      </c>
    </row>
    <row r="15" ht="14.25" customHeight="1" spans="1:16">
      <c r="A15" s="4" t="s">
        <v>61</v>
      </c>
      <c r="B15" s="4">
        <v>11</v>
      </c>
      <c r="C15" s="4">
        <v>11</v>
      </c>
      <c r="D15" s="7">
        <v>106</v>
      </c>
      <c r="E15" s="7">
        <v>1</v>
      </c>
      <c r="F15" s="7">
        <v>1</v>
      </c>
      <c r="G15" s="7">
        <v>1</v>
      </c>
      <c r="H15" s="8" t="s">
        <v>123</v>
      </c>
      <c r="I15" s="8" t="s">
        <v>124</v>
      </c>
      <c r="J15" s="8" t="s">
        <v>125</v>
      </c>
      <c r="K15" s="8" t="s">
        <v>126</v>
      </c>
      <c r="L15" s="8" t="s">
        <v>127</v>
      </c>
      <c r="M15" s="4">
        <f>COUNTIF(TeamHero生成!$J$5:$J$504,$C15)</f>
        <v>5</v>
      </c>
      <c r="N15" s="4" t="str">
        <f t="shared" si="0"/>
        <v>有效</v>
      </c>
      <c r="O15" s="4" t="str">
        <f t="shared" si="1"/>
        <v/>
      </c>
      <c r="P15" s="4" t="s">
        <v>128</v>
      </c>
    </row>
    <row r="16" ht="14.25" customHeight="1" spans="1:16">
      <c r="A16" s="4" t="s">
        <v>61</v>
      </c>
      <c r="B16" s="4">
        <v>12</v>
      </c>
      <c r="C16" s="4">
        <v>12</v>
      </c>
      <c r="D16" s="7">
        <v>113</v>
      </c>
      <c r="E16" s="7">
        <v>1</v>
      </c>
      <c r="F16" s="7">
        <v>1</v>
      </c>
      <c r="G16" s="7">
        <v>1</v>
      </c>
      <c r="H16" s="8" t="s">
        <v>129</v>
      </c>
      <c r="I16" s="8" t="s">
        <v>130</v>
      </c>
      <c r="J16" s="8" t="s">
        <v>131</v>
      </c>
      <c r="K16" s="8" t="s">
        <v>132</v>
      </c>
      <c r="L16" s="8" t="s">
        <v>133</v>
      </c>
      <c r="M16" s="4">
        <f>COUNTIF(TeamHero生成!$J$5:$J$504,$C16)</f>
        <v>5</v>
      </c>
      <c r="N16" s="4" t="str">
        <f t="shared" si="0"/>
        <v>有效</v>
      </c>
      <c r="O16" s="4" t="str">
        <f t="shared" si="1"/>
        <v/>
      </c>
      <c r="P16" s="4" t="s">
        <v>134</v>
      </c>
    </row>
    <row r="17" ht="14.25" customHeight="1" spans="1:16">
      <c r="A17" s="4" t="s">
        <v>61</v>
      </c>
      <c r="B17" s="4">
        <v>13</v>
      </c>
      <c r="C17" s="4">
        <v>13</v>
      </c>
      <c r="D17" s="7">
        <v>120</v>
      </c>
      <c r="E17" s="7">
        <v>1</v>
      </c>
      <c r="F17" s="7">
        <v>1</v>
      </c>
      <c r="G17" s="7">
        <v>1</v>
      </c>
      <c r="H17" s="8" t="s">
        <v>135</v>
      </c>
      <c r="I17" s="8" t="s">
        <v>136</v>
      </c>
      <c r="J17" s="8" t="s">
        <v>137</v>
      </c>
      <c r="K17" s="8" t="s">
        <v>138</v>
      </c>
      <c r="L17" s="8" t="s">
        <v>139</v>
      </c>
      <c r="M17" s="4">
        <f>COUNTIF(TeamHero生成!$J$5:$J$504,$C17)</f>
        <v>5</v>
      </c>
      <c r="N17" s="4" t="str">
        <f t="shared" si="0"/>
        <v>有效</v>
      </c>
      <c r="O17" s="4" t="str">
        <f t="shared" si="1"/>
        <v/>
      </c>
      <c r="P17" s="4" t="s">
        <v>140</v>
      </c>
    </row>
    <row r="18" ht="14.25" customHeight="1" spans="1:16">
      <c r="A18" s="4" t="s">
        <v>61</v>
      </c>
      <c r="B18" s="4">
        <v>14</v>
      </c>
      <c r="C18" s="4">
        <v>14</v>
      </c>
      <c r="D18" s="7">
        <v>126</v>
      </c>
      <c r="E18" s="7">
        <v>1</v>
      </c>
      <c r="F18" s="7">
        <v>1</v>
      </c>
      <c r="G18" s="7">
        <v>1</v>
      </c>
      <c r="H18" s="8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4">
        <f>COUNTIF(TeamHero生成!$J$5:$J$504,$C18)</f>
        <v>5</v>
      </c>
      <c r="N18" s="4" t="str">
        <f t="shared" si="0"/>
        <v>有效</v>
      </c>
      <c r="O18" s="4" t="str">
        <f t="shared" si="1"/>
        <v/>
      </c>
      <c r="P18" s="4" t="s">
        <v>146</v>
      </c>
    </row>
    <row r="19" ht="14.25" customHeight="1" spans="1:16">
      <c r="A19" s="4" t="s">
        <v>61</v>
      </c>
      <c r="B19" s="4">
        <v>15</v>
      </c>
      <c r="C19" s="4">
        <v>15</v>
      </c>
      <c r="D19" s="7">
        <v>133</v>
      </c>
      <c r="E19" s="7">
        <v>1</v>
      </c>
      <c r="F19" s="7">
        <v>1</v>
      </c>
      <c r="G19" s="7">
        <v>1</v>
      </c>
      <c r="H19" s="8" t="s">
        <v>147</v>
      </c>
      <c r="I19" s="8" t="s">
        <v>148</v>
      </c>
      <c r="J19" s="8" t="s">
        <v>149</v>
      </c>
      <c r="K19" s="8" t="s">
        <v>150</v>
      </c>
      <c r="L19" s="8" t="s">
        <v>151</v>
      </c>
      <c r="M19" s="4">
        <f>COUNTIF(TeamHero生成!$J$5:$J$504,$C19)</f>
        <v>5</v>
      </c>
      <c r="N19" s="4" t="str">
        <f t="shared" si="0"/>
        <v>有效</v>
      </c>
      <c r="O19" s="4" t="str">
        <f t="shared" si="1"/>
        <v/>
      </c>
      <c r="P19" s="4" t="s">
        <v>152</v>
      </c>
    </row>
    <row r="20" ht="14.25" customHeight="1" spans="1:16">
      <c r="A20" s="4" t="s">
        <v>61</v>
      </c>
      <c r="B20" s="4">
        <v>16</v>
      </c>
      <c r="C20" s="4">
        <v>16</v>
      </c>
      <c r="D20" s="7">
        <v>141</v>
      </c>
      <c r="E20" s="7">
        <v>1</v>
      </c>
      <c r="F20" s="7">
        <v>1</v>
      </c>
      <c r="G20" s="7">
        <v>1</v>
      </c>
      <c r="H20" s="8" t="s">
        <v>153</v>
      </c>
      <c r="I20" s="8" t="s">
        <v>154</v>
      </c>
      <c r="J20" s="8" t="s">
        <v>155</v>
      </c>
      <c r="K20" s="8" t="s">
        <v>156</v>
      </c>
      <c r="L20" s="8" t="s">
        <v>157</v>
      </c>
      <c r="M20" s="4">
        <f>COUNTIF(TeamHero生成!$J$5:$J$504,$C20)</f>
        <v>5</v>
      </c>
      <c r="N20" s="4" t="str">
        <f t="shared" si="0"/>
        <v>有效</v>
      </c>
      <c r="O20" s="4" t="str">
        <f t="shared" si="1"/>
        <v/>
      </c>
      <c r="P20" s="4" t="s">
        <v>158</v>
      </c>
    </row>
    <row r="21" ht="14.25" customHeight="1" spans="1:16">
      <c r="A21" s="4" t="s">
        <v>61</v>
      </c>
      <c r="B21" s="4">
        <v>17</v>
      </c>
      <c r="C21" s="4">
        <v>17</v>
      </c>
      <c r="D21" s="7">
        <v>148</v>
      </c>
      <c r="E21" s="7">
        <v>1</v>
      </c>
      <c r="F21" s="7">
        <v>1</v>
      </c>
      <c r="G21" s="7">
        <v>1</v>
      </c>
      <c r="H21" s="8" t="s">
        <v>159</v>
      </c>
      <c r="I21" s="8" t="s">
        <v>160</v>
      </c>
      <c r="J21" s="8" t="s">
        <v>161</v>
      </c>
      <c r="K21" s="8" t="s">
        <v>162</v>
      </c>
      <c r="L21" s="8" t="s">
        <v>163</v>
      </c>
      <c r="M21" s="4">
        <f>COUNTIF(TeamHero生成!$J$5:$J$504,$C21)</f>
        <v>5</v>
      </c>
      <c r="N21" s="4" t="str">
        <f t="shared" si="0"/>
        <v>有效</v>
      </c>
      <c r="O21" s="4" t="str">
        <f t="shared" si="1"/>
        <v/>
      </c>
      <c r="P21" s="4" t="s">
        <v>164</v>
      </c>
    </row>
    <row r="22" ht="14.25" customHeight="1" spans="1:16">
      <c r="A22" s="4" t="s">
        <v>61</v>
      </c>
      <c r="B22" s="4">
        <v>18</v>
      </c>
      <c r="C22" s="4">
        <v>18</v>
      </c>
      <c r="D22" s="7">
        <v>155</v>
      </c>
      <c r="E22" s="7">
        <v>1</v>
      </c>
      <c r="F22" s="7">
        <v>1</v>
      </c>
      <c r="G22" s="7">
        <v>1</v>
      </c>
      <c r="H22" s="8" t="s">
        <v>165</v>
      </c>
      <c r="I22" s="8" t="s">
        <v>166</v>
      </c>
      <c r="J22" s="8" t="s">
        <v>167</v>
      </c>
      <c r="K22" s="8" t="s">
        <v>168</v>
      </c>
      <c r="L22" s="8" t="s">
        <v>169</v>
      </c>
      <c r="M22" s="4">
        <f>COUNTIF(TeamHero生成!$J$5:$J$504,$C22)</f>
        <v>5</v>
      </c>
      <c r="N22" s="4" t="str">
        <f t="shared" si="0"/>
        <v>有效</v>
      </c>
      <c r="O22" s="4" t="str">
        <f t="shared" si="1"/>
        <v/>
      </c>
      <c r="P22" s="4" t="s">
        <v>170</v>
      </c>
    </row>
    <row r="23" ht="14.25" customHeight="1" spans="1:16">
      <c r="A23" s="4" t="s">
        <v>61</v>
      </c>
      <c r="B23" s="4">
        <v>19</v>
      </c>
      <c r="C23" s="4">
        <v>19</v>
      </c>
      <c r="D23" s="7">
        <v>162</v>
      </c>
      <c r="E23" s="7">
        <v>1</v>
      </c>
      <c r="F23" s="7">
        <v>1</v>
      </c>
      <c r="G23" s="7">
        <v>1</v>
      </c>
      <c r="H23" s="8" t="s">
        <v>171</v>
      </c>
      <c r="I23" s="8" t="s">
        <v>172</v>
      </c>
      <c r="J23" s="8" t="s">
        <v>173</v>
      </c>
      <c r="K23" s="8" t="s">
        <v>174</v>
      </c>
      <c r="L23" s="8" t="s">
        <v>175</v>
      </c>
      <c r="M23" s="4">
        <f>COUNTIF(TeamHero生成!$J$5:$J$504,$C23)</f>
        <v>5</v>
      </c>
      <c r="N23" s="4" t="str">
        <f t="shared" si="0"/>
        <v>有效</v>
      </c>
      <c r="O23" s="4" t="str">
        <f t="shared" si="1"/>
        <v/>
      </c>
      <c r="P23" s="4" t="s">
        <v>176</v>
      </c>
    </row>
    <row r="24" ht="14.25" customHeight="1" spans="1:16">
      <c r="A24" s="4" t="s">
        <v>61</v>
      </c>
      <c r="B24" s="4">
        <v>20</v>
      </c>
      <c r="C24" s="4">
        <v>20</v>
      </c>
      <c r="D24" s="7">
        <v>169</v>
      </c>
      <c r="E24" s="7">
        <v>1</v>
      </c>
      <c r="F24" s="7">
        <v>1</v>
      </c>
      <c r="G24" s="7">
        <v>1</v>
      </c>
      <c r="H24" s="8" t="s">
        <v>177</v>
      </c>
      <c r="I24" s="8" t="s">
        <v>178</v>
      </c>
      <c r="J24" s="8" t="s">
        <v>179</v>
      </c>
      <c r="K24" s="8" t="s">
        <v>180</v>
      </c>
      <c r="L24" s="8" t="s">
        <v>181</v>
      </c>
      <c r="M24" s="4">
        <f>COUNTIF(TeamHero生成!$J$5:$J$504,$C24)</f>
        <v>5</v>
      </c>
      <c r="N24" s="4" t="str">
        <f t="shared" si="0"/>
        <v>有效</v>
      </c>
      <c r="O24" s="4" t="str">
        <f t="shared" si="1"/>
        <v/>
      </c>
      <c r="P24" s="4" t="s">
        <v>182</v>
      </c>
    </row>
    <row r="25" ht="14.25" customHeight="1" spans="1:16">
      <c r="A25" s="4" t="s">
        <v>61</v>
      </c>
      <c r="B25" s="4">
        <v>21</v>
      </c>
      <c r="C25" s="4">
        <v>21</v>
      </c>
      <c r="D25" s="7">
        <v>176</v>
      </c>
      <c r="E25" s="7">
        <v>1</v>
      </c>
      <c r="F25" s="7">
        <v>1</v>
      </c>
      <c r="G25" s="7">
        <v>1</v>
      </c>
      <c r="H25" s="8" t="s">
        <v>183</v>
      </c>
      <c r="I25" s="8" t="s">
        <v>184</v>
      </c>
      <c r="J25" s="8" t="s">
        <v>185</v>
      </c>
      <c r="K25" s="8" t="s">
        <v>186</v>
      </c>
      <c r="L25" s="8" t="s">
        <v>187</v>
      </c>
      <c r="M25" s="4">
        <f>COUNTIF(TeamHero生成!$J$5:$J$504,$C25)</f>
        <v>5</v>
      </c>
      <c r="N25" s="4" t="str">
        <f t="shared" si="0"/>
        <v>有效</v>
      </c>
      <c r="O25" s="4" t="str">
        <f t="shared" si="1"/>
        <v/>
      </c>
      <c r="P25" s="4" t="s">
        <v>188</v>
      </c>
    </row>
    <row r="26" ht="14.25" customHeight="1" spans="1:16">
      <c r="A26" s="4" t="s">
        <v>61</v>
      </c>
      <c r="B26" s="4">
        <v>22</v>
      </c>
      <c r="C26" s="4">
        <v>22</v>
      </c>
      <c r="D26" s="7">
        <v>182</v>
      </c>
      <c r="E26" s="7">
        <v>1</v>
      </c>
      <c r="F26" s="7">
        <v>1</v>
      </c>
      <c r="G26" s="7">
        <v>1</v>
      </c>
      <c r="H26" s="8" t="s">
        <v>189</v>
      </c>
      <c r="I26" s="8" t="s">
        <v>190</v>
      </c>
      <c r="J26" s="8" t="s">
        <v>191</v>
      </c>
      <c r="K26" s="8" t="s">
        <v>192</v>
      </c>
      <c r="L26" s="8" t="s">
        <v>193</v>
      </c>
      <c r="M26" s="4">
        <f>COUNTIF(TeamHero生成!$J$5:$J$504,$C26)</f>
        <v>5</v>
      </c>
      <c r="N26" s="4" t="str">
        <f t="shared" si="0"/>
        <v>有效</v>
      </c>
      <c r="O26" s="4" t="str">
        <f t="shared" si="1"/>
        <v/>
      </c>
      <c r="P26" s="4" t="s">
        <v>194</v>
      </c>
    </row>
    <row r="27" ht="14.25" customHeight="1" spans="1:16">
      <c r="A27" s="4" t="s">
        <v>61</v>
      </c>
      <c r="B27" s="4">
        <v>23</v>
      </c>
      <c r="C27" s="4">
        <v>23</v>
      </c>
      <c r="D27" s="7">
        <v>186</v>
      </c>
      <c r="E27" s="7">
        <v>1</v>
      </c>
      <c r="F27" s="7">
        <v>1</v>
      </c>
      <c r="G27" s="7">
        <v>1</v>
      </c>
      <c r="H27" s="8" t="s">
        <v>195</v>
      </c>
      <c r="I27" s="8" t="s">
        <v>196</v>
      </c>
      <c r="J27" s="8" t="s">
        <v>197</v>
      </c>
      <c r="K27" s="8" t="s">
        <v>198</v>
      </c>
      <c r="L27" s="8" t="s">
        <v>199</v>
      </c>
      <c r="M27" s="4">
        <f>COUNTIF(TeamHero生成!$J$5:$J$504,$C27)</f>
        <v>5</v>
      </c>
      <c r="N27" s="4" t="str">
        <f t="shared" si="0"/>
        <v>有效</v>
      </c>
      <c r="O27" s="4" t="str">
        <f t="shared" si="1"/>
        <v/>
      </c>
      <c r="P27" s="4" t="s">
        <v>200</v>
      </c>
    </row>
    <row r="28" ht="14.25" customHeight="1" spans="1:16">
      <c r="A28" s="4" t="s">
        <v>61</v>
      </c>
      <c r="B28" s="4">
        <v>24</v>
      </c>
      <c r="C28" s="4">
        <v>24</v>
      </c>
      <c r="D28" s="7">
        <v>193</v>
      </c>
      <c r="E28" s="7">
        <v>1</v>
      </c>
      <c r="F28" s="7">
        <v>1</v>
      </c>
      <c r="G28" s="7">
        <v>1</v>
      </c>
      <c r="H28" s="8" t="s">
        <v>201</v>
      </c>
      <c r="I28" s="8" t="s">
        <v>202</v>
      </c>
      <c r="J28" s="8" t="s">
        <v>203</v>
      </c>
      <c r="K28" s="8" t="s">
        <v>204</v>
      </c>
      <c r="L28" s="8" t="s">
        <v>205</v>
      </c>
      <c r="M28" s="4">
        <f>COUNTIF(TeamHero生成!$J$5:$J$504,$C28)</f>
        <v>5</v>
      </c>
      <c r="N28" s="4" t="str">
        <f t="shared" si="0"/>
        <v>有效</v>
      </c>
      <c r="O28" s="4" t="str">
        <f t="shared" si="1"/>
        <v/>
      </c>
      <c r="P28" s="4" t="s">
        <v>206</v>
      </c>
    </row>
    <row r="29" ht="14.25" customHeight="1" spans="1:16">
      <c r="A29" s="4" t="s">
        <v>61</v>
      </c>
      <c r="B29" s="4">
        <v>25</v>
      </c>
      <c r="C29" s="4">
        <v>25</v>
      </c>
      <c r="D29" s="7">
        <v>198</v>
      </c>
      <c r="E29" s="7">
        <v>1</v>
      </c>
      <c r="F29" s="7">
        <v>1</v>
      </c>
      <c r="G29" s="7">
        <v>1</v>
      </c>
      <c r="H29" s="8" t="s">
        <v>207</v>
      </c>
      <c r="I29" s="8" t="s">
        <v>208</v>
      </c>
      <c r="J29" s="8" t="s">
        <v>209</v>
      </c>
      <c r="K29" s="8" t="s">
        <v>210</v>
      </c>
      <c r="L29" s="8" t="s">
        <v>211</v>
      </c>
      <c r="M29" s="4">
        <f>COUNTIF(TeamHero生成!$J$5:$J$504,$C29)</f>
        <v>5</v>
      </c>
      <c r="N29" s="4" t="str">
        <f t="shared" si="0"/>
        <v>有效</v>
      </c>
      <c r="O29" s="4" t="str">
        <f t="shared" si="1"/>
        <v/>
      </c>
      <c r="P29" s="4" t="s">
        <v>212</v>
      </c>
    </row>
    <row r="30" ht="14.25" customHeight="1" spans="1:16">
      <c r="A30" s="4" t="s">
        <v>61</v>
      </c>
      <c r="B30" s="4">
        <v>26</v>
      </c>
      <c r="C30" s="4">
        <v>26</v>
      </c>
      <c r="D30" s="7">
        <v>201</v>
      </c>
      <c r="E30" s="7">
        <v>1</v>
      </c>
      <c r="F30" s="7">
        <v>1</v>
      </c>
      <c r="G30" s="7">
        <v>1</v>
      </c>
      <c r="H30" s="8" t="s">
        <v>213</v>
      </c>
      <c r="I30" s="8" t="s">
        <v>214</v>
      </c>
      <c r="J30" s="8" t="s">
        <v>215</v>
      </c>
      <c r="K30" s="8" t="s">
        <v>216</v>
      </c>
      <c r="L30" s="8" t="s">
        <v>217</v>
      </c>
      <c r="M30" s="4">
        <f>COUNTIF(TeamHero生成!$J$5:$J$504,$C30)</f>
        <v>5</v>
      </c>
      <c r="N30" s="4" t="str">
        <f t="shared" si="0"/>
        <v>有效</v>
      </c>
      <c r="O30" s="4" t="str">
        <f t="shared" si="1"/>
        <v/>
      </c>
      <c r="P30" s="4" t="s">
        <v>218</v>
      </c>
    </row>
    <row r="31" ht="14.25" customHeight="1" spans="1:16">
      <c r="A31" s="4" t="s">
        <v>61</v>
      </c>
      <c r="B31" s="4">
        <v>27</v>
      </c>
      <c r="C31" s="4">
        <v>27</v>
      </c>
      <c r="D31" s="7">
        <v>207</v>
      </c>
      <c r="E31" s="7">
        <v>1</v>
      </c>
      <c r="F31" s="7">
        <v>1</v>
      </c>
      <c r="G31" s="7">
        <v>1</v>
      </c>
      <c r="H31" s="8" t="s">
        <v>219</v>
      </c>
      <c r="I31" s="8" t="s">
        <v>220</v>
      </c>
      <c r="J31" s="8" t="s">
        <v>221</v>
      </c>
      <c r="K31" s="8" t="s">
        <v>222</v>
      </c>
      <c r="L31" s="8" t="s">
        <v>223</v>
      </c>
      <c r="M31" s="4">
        <f>COUNTIF(TeamHero生成!$J$5:$J$504,$C31)</f>
        <v>5</v>
      </c>
      <c r="N31" s="4" t="str">
        <f t="shared" si="0"/>
        <v>有效</v>
      </c>
      <c r="O31" s="4" t="str">
        <f t="shared" si="1"/>
        <v/>
      </c>
      <c r="P31" s="4" t="s">
        <v>224</v>
      </c>
    </row>
    <row r="32" ht="14.25" customHeight="1" spans="1:16">
      <c r="A32" s="4" t="s">
        <v>61</v>
      </c>
      <c r="B32" s="4">
        <v>28</v>
      </c>
      <c r="C32" s="4">
        <v>28</v>
      </c>
      <c r="D32" s="7">
        <v>211</v>
      </c>
      <c r="E32" s="7">
        <v>1</v>
      </c>
      <c r="F32" s="7">
        <v>1</v>
      </c>
      <c r="G32" s="7">
        <v>1</v>
      </c>
      <c r="H32" s="8" t="s">
        <v>225</v>
      </c>
      <c r="I32" s="8" t="s">
        <v>226</v>
      </c>
      <c r="J32" s="8" t="s">
        <v>227</v>
      </c>
      <c r="K32" s="8" t="s">
        <v>228</v>
      </c>
      <c r="L32" s="8" t="s">
        <v>229</v>
      </c>
      <c r="M32" s="4">
        <f>COUNTIF(TeamHero生成!$J$5:$J$504,$C32)</f>
        <v>5</v>
      </c>
      <c r="N32" s="4" t="str">
        <f t="shared" si="0"/>
        <v>有效</v>
      </c>
      <c r="O32" s="4" t="str">
        <f t="shared" si="1"/>
        <v/>
      </c>
      <c r="P32" s="4" t="s">
        <v>230</v>
      </c>
    </row>
    <row r="33" ht="14.25" customHeight="1" spans="1:16">
      <c r="A33" s="4" t="s">
        <v>61</v>
      </c>
      <c r="B33" s="4">
        <v>29</v>
      </c>
      <c r="C33" s="4">
        <v>29</v>
      </c>
      <c r="D33" s="7">
        <v>216</v>
      </c>
      <c r="E33" s="7">
        <v>1</v>
      </c>
      <c r="F33" s="7">
        <v>1</v>
      </c>
      <c r="G33" s="7">
        <v>1</v>
      </c>
      <c r="H33" s="8" t="s">
        <v>231</v>
      </c>
      <c r="I33" s="8" t="s">
        <v>232</v>
      </c>
      <c r="J33" s="8" t="s">
        <v>233</v>
      </c>
      <c r="K33" s="8" t="s">
        <v>234</v>
      </c>
      <c r="L33" s="8" t="s">
        <v>235</v>
      </c>
      <c r="M33" s="4">
        <f>COUNTIF(TeamHero生成!$J$5:$J$504,$C33)</f>
        <v>5</v>
      </c>
      <c r="N33" s="4" t="str">
        <f t="shared" si="0"/>
        <v>有效</v>
      </c>
      <c r="O33" s="4" t="str">
        <f t="shared" si="1"/>
        <v/>
      </c>
      <c r="P33" s="4" t="s">
        <v>236</v>
      </c>
    </row>
    <row r="34" ht="14.25" customHeight="1" spans="1:16">
      <c r="A34" s="4" t="s">
        <v>61</v>
      </c>
      <c r="B34" s="4">
        <v>30</v>
      </c>
      <c r="C34" s="4">
        <v>30</v>
      </c>
      <c r="D34" s="7">
        <v>220</v>
      </c>
      <c r="E34" s="7">
        <v>1</v>
      </c>
      <c r="F34" s="7">
        <v>1</v>
      </c>
      <c r="G34" s="7">
        <v>1</v>
      </c>
      <c r="H34" s="8" t="s">
        <v>237</v>
      </c>
      <c r="I34" s="8" t="s">
        <v>238</v>
      </c>
      <c r="J34" s="8" t="s">
        <v>239</v>
      </c>
      <c r="K34" s="8" t="s">
        <v>240</v>
      </c>
      <c r="L34" s="8" t="s">
        <v>241</v>
      </c>
      <c r="M34" s="4">
        <f>COUNTIF(TeamHero生成!$J$5:$J$504,$C34)</f>
        <v>5</v>
      </c>
      <c r="N34" s="4" t="str">
        <f t="shared" si="0"/>
        <v>有效</v>
      </c>
      <c r="O34" s="4" t="str">
        <f t="shared" si="1"/>
        <v/>
      </c>
      <c r="P34" s="4" t="s">
        <v>242</v>
      </c>
    </row>
    <row r="35" ht="14.25" customHeight="1" spans="1:16">
      <c r="A35" s="4" t="s">
        <v>61</v>
      </c>
      <c r="B35" s="4">
        <v>31</v>
      </c>
      <c r="C35" s="4">
        <v>31</v>
      </c>
      <c r="D35" s="7">
        <v>224</v>
      </c>
      <c r="E35" s="7">
        <v>1</v>
      </c>
      <c r="F35" s="7">
        <v>1</v>
      </c>
      <c r="G35" s="7">
        <v>1</v>
      </c>
      <c r="H35" s="8" t="s">
        <v>243</v>
      </c>
      <c r="I35" s="8" t="s">
        <v>244</v>
      </c>
      <c r="J35" s="8" t="s">
        <v>245</v>
      </c>
      <c r="K35" s="8" t="s">
        <v>246</v>
      </c>
      <c r="L35" s="8" t="s">
        <v>247</v>
      </c>
      <c r="M35" s="4">
        <f>COUNTIF(TeamHero生成!$J$5:$J$504,$C35)</f>
        <v>5</v>
      </c>
      <c r="N35" s="4" t="str">
        <f t="shared" si="0"/>
        <v>有效</v>
      </c>
      <c r="O35" s="4" t="str">
        <f t="shared" si="1"/>
        <v/>
      </c>
      <c r="P35" s="4" t="s">
        <v>248</v>
      </c>
    </row>
    <row r="36" ht="14.25" customHeight="1" spans="1:16">
      <c r="A36" s="4" t="s">
        <v>61</v>
      </c>
      <c r="B36" s="4">
        <v>32</v>
      </c>
      <c r="C36" s="4">
        <v>32</v>
      </c>
      <c r="D36" s="7">
        <v>227</v>
      </c>
      <c r="E36" s="7">
        <v>1</v>
      </c>
      <c r="F36" s="7">
        <v>1</v>
      </c>
      <c r="G36" s="7">
        <v>1</v>
      </c>
      <c r="H36" s="8" t="s">
        <v>249</v>
      </c>
      <c r="I36" s="8" t="s">
        <v>250</v>
      </c>
      <c r="J36" s="8" t="s">
        <v>251</v>
      </c>
      <c r="K36" s="8" t="s">
        <v>252</v>
      </c>
      <c r="L36" s="8" t="s">
        <v>253</v>
      </c>
      <c r="M36" s="4">
        <f>COUNTIF(TeamHero生成!$J$5:$J$504,$C36)</f>
        <v>5</v>
      </c>
      <c r="N36" s="4" t="str">
        <f t="shared" si="0"/>
        <v>有效</v>
      </c>
      <c r="O36" s="4" t="str">
        <f t="shared" si="1"/>
        <v/>
      </c>
      <c r="P36" s="4" t="s">
        <v>254</v>
      </c>
    </row>
    <row r="37" ht="14.25" customHeight="1" spans="1:16">
      <c r="A37" s="4" t="s">
        <v>61</v>
      </c>
      <c r="B37" s="4">
        <v>33</v>
      </c>
      <c r="C37" s="4">
        <v>33</v>
      </c>
      <c r="D37" s="7">
        <v>231</v>
      </c>
      <c r="E37" s="7">
        <v>1</v>
      </c>
      <c r="F37" s="7">
        <v>1</v>
      </c>
      <c r="G37" s="7">
        <v>1</v>
      </c>
      <c r="H37" s="8" t="s">
        <v>255</v>
      </c>
      <c r="I37" s="8" t="s">
        <v>256</v>
      </c>
      <c r="J37" s="8" t="s">
        <v>257</v>
      </c>
      <c r="K37" s="8" t="s">
        <v>258</v>
      </c>
      <c r="L37" s="8" t="s">
        <v>259</v>
      </c>
      <c r="M37" s="4">
        <f>COUNTIF(TeamHero生成!$J$5:$J$504,$C37)</f>
        <v>5</v>
      </c>
      <c r="N37" s="4" t="str">
        <f t="shared" si="0"/>
        <v>有效</v>
      </c>
      <c r="O37" s="4" t="str">
        <f t="shared" si="1"/>
        <v/>
      </c>
      <c r="P37" s="4" t="s">
        <v>260</v>
      </c>
    </row>
    <row r="38" ht="14.25" customHeight="1" spans="1:16">
      <c r="A38" s="4" t="s">
        <v>61</v>
      </c>
      <c r="B38" s="4">
        <v>34</v>
      </c>
      <c r="C38" s="4">
        <v>34</v>
      </c>
      <c r="D38" s="7">
        <v>234</v>
      </c>
      <c r="E38" s="7">
        <v>1</v>
      </c>
      <c r="F38" s="7">
        <v>1</v>
      </c>
      <c r="G38" s="7">
        <v>1</v>
      </c>
      <c r="H38" s="8" t="s">
        <v>261</v>
      </c>
      <c r="I38" s="8" t="s">
        <v>262</v>
      </c>
      <c r="J38" s="8" t="s">
        <v>263</v>
      </c>
      <c r="K38" s="8" t="s">
        <v>264</v>
      </c>
      <c r="L38" s="8" t="s">
        <v>265</v>
      </c>
      <c r="M38" s="4">
        <f>COUNTIF(TeamHero生成!$J$5:$J$504,$C38)</f>
        <v>5</v>
      </c>
      <c r="N38" s="4" t="str">
        <f t="shared" si="0"/>
        <v>有效</v>
      </c>
      <c r="O38" s="4" t="str">
        <f t="shared" si="1"/>
        <v/>
      </c>
      <c r="P38" s="4" t="s">
        <v>266</v>
      </c>
    </row>
    <row r="39" ht="14.25" customHeight="1" spans="1:16">
      <c r="A39" s="4" t="s">
        <v>61</v>
      </c>
      <c r="B39" s="4">
        <v>35</v>
      </c>
      <c r="C39" s="4">
        <v>35</v>
      </c>
      <c r="D39" s="7">
        <v>238</v>
      </c>
      <c r="E39" s="7">
        <v>1</v>
      </c>
      <c r="F39" s="7">
        <v>1</v>
      </c>
      <c r="G39" s="7">
        <v>1</v>
      </c>
      <c r="H39" s="8" t="s">
        <v>267</v>
      </c>
      <c r="I39" s="8" t="s">
        <v>268</v>
      </c>
      <c r="J39" s="8" t="s">
        <v>269</v>
      </c>
      <c r="K39" s="8" t="s">
        <v>270</v>
      </c>
      <c r="L39" s="8" t="s">
        <v>271</v>
      </c>
      <c r="M39" s="4">
        <f>COUNTIF(TeamHero生成!$J$5:$J$504,$C39)</f>
        <v>5</v>
      </c>
      <c r="N39" s="4" t="str">
        <f t="shared" si="0"/>
        <v>有效</v>
      </c>
      <c r="O39" s="4" t="str">
        <f t="shared" si="1"/>
        <v/>
      </c>
      <c r="P39" s="4" t="s">
        <v>272</v>
      </c>
    </row>
    <row r="40" ht="14.25" customHeight="1" spans="1:16">
      <c r="A40" s="4" t="s">
        <v>61</v>
      </c>
      <c r="B40" s="4">
        <v>36</v>
      </c>
      <c r="C40" s="4">
        <v>36</v>
      </c>
      <c r="D40" s="7">
        <v>243</v>
      </c>
      <c r="E40" s="7">
        <v>1</v>
      </c>
      <c r="F40" s="7">
        <v>1</v>
      </c>
      <c r="G40" s="7">
        <v>1</v>
      </c>
      <c r="H40" s="8" t="s">
        <v>273</v>
      </c>
      <c r="I40" s="8" t="s">
        <v>274</v>
      </c>
      <c r="J40" s="8" t="s">
        <v>275</v>
      </c>
      <c r="K40" s="8" t="s">
        <v>276</v>
      </c>
      <c r="L40" s="8" t="s">
        <v>277</v>
      </c>
      <c r="M40" s="4">
        <f>COUNTIF(TeamHero生成!$J$5:$J$504,$C40)</f>
        <v>5</v>
      </c>
      <c r="N40" s="4" t="str">
        <f t="shared" si="0"/>
        <v>有效</v>
      </c>
      <c r="O40" s="4" t="str">
        <f t="shared" si="1"/>
        <v/>
      </c>
      <c r="P40" s="4" t="s">
        <v>278</v>
      </c>
    </row>
    <row r="41" ht="14.25" customHeight="1" spans="1:16">
      <c r="A41" s="4" t="s">
        <v>61</v>
      </c>
      <c r="B41" s="4">
        <v>37</v>
      </c>
      <c r="C41" s="4">
        <v>37</v>
      </c>
      <c r="D41" s="7">
        <v>249</v>
      </c>
      <c r="E41" s="7">
        <v>1</v>
      </c>
      <c r="F41" s="7">
        <v>1</v>
      </c>
      <c r="G41" s="7">
        <v>1</v>
      </c>
      <c r="H41" s="8" t="s">
        <v>279</v>
      </c>
      <c r="I41" s="8" t="s">
        <v>280</v>
      </c>
      <c r="J41" s="8" t="s">
        <v>281</v>
      </c>
      <c r="K41" s="8" t="s">
        <v>282</v>
      </c>
      <c r="L41" s="8" t="s">
        <v>283</v>
      </c>
      <c r="M41" s="4">
        <f>COUNTIF(TeamHero生成!$J$5:$J$504,$C41)</f>
        <v>5</v>
      </c>
      <c r="N41" s="4" t="str">
        <f t="shared" si="0"/>
        <v>有效</v>
      </c>
      <c r="O41" s="4" t="str">
        <f t="shared" si="1"/>
        <v/>
      </c>
      <c r="P41" s="4" t="s">
        <v>284</v>
      </c>
    </row>
    <row r="42" ht="14.25" customHeight="1" spans="1:16">
      <c r="A42" s="4" t="s">
        <v>61</v>
      </c>
      <c r="B42" s="4">
        <v>38</v>
      </c>
      <c r="C42" s="4">
        <v>38</v>
      </c>
      <c r="D42" s="7">
        <v>253</v>
      </c>
      <c r="E42" s="7">
        <v>1</v>
      </c>
      <c r="F42" s="7">
        <v>1</v>
      </c>
      <c r="G42" s="7">
        <v>1</v>
      </c>
      <c r="H42" s="8" t="s">
        <v>285</v>
      </c>
      <c r="I42" s="8" t="s">
        <v>286</v>
      </c>
      <c r="J42" s="8" t="s">
        <v>287</v>
      </c>
      <c r="K42" s="8" t="s">
        <v>288</v>
      </c>
      <c r="L42" s="8" t="s">
        <v>289</v>
      </c>
      <c r="M42" s="4">
        <f>COUNTIF(TeamHero生成!$J$5:$J$504,$C42)</f>
        <v>5</v>
      </c>
      <c r="N42" s="4" t="str">
        <f t="shared" si="0"/>
        <v>有效</v>
      </c>
      <c r="O42" s="4" t="str">
        <f t="shared" si="1"/>
        <v/>
      </c>
      <c r="P42" s="4" t="s">
        <v>290</v>
      </c>
    </row>
    <row r="43" ht="14.25" customHeight="1" spans="1:16">
      <c r="A43" s="4" t="s">
        <v>61</v>
      </c>
      <c r="B43" s="4">
        <v>39</v>
      </c>
      <c r="C43" s="4">
        <v>39</v>
      </c>
      <c r="D43" s="7">
        <v>258</v>
      </c>
      <c r="E43" s="7">
        <v>1</v>
      </c>
      <c r="F43" s="7">
        <v>1</v>
      </c>
      <c r="G43" s="7">
        <v>1</v>
      </c>
      <c r="H43" s="8" t="s">
        <v>291</v>
      </c>
      <c r="I43" s="8" t="s">
        <v>292</v>
      </c>
      <c r="J43" s="8" t="s">
        <v>293</v>
      </c>
      <c r="K43" s="8" t="s">
        <v>294</v>
      </c>
      <c r="L43" s="8" t="s">
        <v>295</v>
      </c>
      <c r="M43" s="4">
        <f>COUNTIF(TeamHero生成!$J$5:$J$504,$C43)</f>
        <v>5</v>
      </c>
      <c r="N43" s="4" t="str">
        <f t="shared" si="0"/>
        <v>有效</v>
      </c>
      <c r="O43" s="4" t="str">
        <f t="shared" si="1"/>
        <v/>
      </c>
      <c r="P43" s="4" t="s">
        <v>296</v>
      </c>
    </row>
    <row r="44" ht="14.25" customHeight="1" spans="1:16">
      <c r="A44" s="4" t="s">
        <v>61</v>
      </c>
      <c r="B44" s="4">
        <v>40</v>
      </c>
      <c r="C44" s="4">
        <v>40</v>
      </c>
      <c r="D44" s="7">
        <v>263</v>
      </c>
      <c r="E44" s="7">
        <v>1</v>
      </c>
      <c r="F44" s="7">
        <v>1</v>
      </c>
      <c r="G44" s="7">
        <v>1</v>
      </c>
      <c r="H44" s="8" t="s">
        <v>297</v>
      </c>
      <c r="I44" s="8" t="s">
        <v>298</v>
      </c>
      <c r="J44" s="8" t="s">
        <v>299</v>
      </c>
      <c r="K44" s="8" t="s">
        <v>300</v>
      </c>
      <c r="L44" s="8" t="s">
        <v>301</v>
      </c>
      <c r="M44" s="4">
        <f>COUNTIF(TeamHero生成!$J$5:$J$504,$C44)</f>
        <v>5</v>
      </c>
      <c r="N44" s="4" t="str">
        <f t="shared" si="0"/>
        <v>有效</v>
      </c>
      <c r="O44" s="4" t="str">
        <f t="shared" si="1"/>
        <v/>
      </c>
      <c r="P44" s="4" t="s">
        <v>302</v>
      </c>
    </row>
    <row r="45" ht="14.25" customHeight="1" spans="1:16">
      <c r="A45" s="4" t="s">
        <v>61</v>
      </c>
      <c r="B45" s="4">
        <v>41</v>
      </c>
      <c r="C45" s="4">
        <v>41</v>
      </c>
      <c r="D45" s="7">
        <v>266</v>
      </c>
      <c r="E45" s="7">
        <v>1</v>
      </c>
      <c r="F45" s="7">
        <v>1</v>
      </c>
      <c r="G45" s="7">
        <v>1</v>
      </c>
      <c r="H45" s="8" t="s">
        <v>303</v>
      </c>
      <c r="I45" s="8" t="s">
        <v>304</v>
      </c>
      <c r="J45" s="8" t="s">
        <v>305</v>
      </c>
      <c r="K45" s="8" t="s">
        <v>306</v>
      </c>
      <c r="L45" s="8" t="s">
        <v>307</v>
      </c>
      <c r="M45" s="4">
        <f>COUNTIF(TeamHero生成!$J$5:$J$504,$C45)</f>
        <v>5</v>
      </c>
      <c r="N45" s="4" t="str">
        <f t="shared" si="0"/>
        <v>有效</v>
      </c>
      <c r="O45" s="4" t="str">
        <f t="shared" si="1"/>
        <v/>
      </c>
      <c r="P45" s="4" t="s">
        <v>308</v>
      </c>
    </row>
    <row r="46" ht="14.25" customHeight="1" spans="1:16">
      <c r="A46" s="4" t="s">
        <v>61</v>
      </c>
      <c r="B46" s="4">
        <v>42</v>
      </c>
      <c r="C46" s="4">
        <v>42</v>
      </c>
      <c r="D46" s="7">
        <v>272</v>
      </c>
      <c r="E46" s="7">
        <v>1</v>
      </c>
      <c r="F46" s="7">
        <v>1</v>
      </c>
      <c r="G46" s="7">
        <v>1</v>
      </c>
      <c r="H46" s="8" t="s">
        <v>309</v>
      </c>
      <c r="I46" s="8" t="s">
        <v>310</v>
      </c>
      <c r="J46" s="8" t="s">
        <v>311</v>
      </c>
      <c r="K46" s="8" t="s">
        <v>312</v>
      </c>
      <c r="L46" s="8" t="s">
        <v>313</v>
      </c>
      <c r="M46" s="4">
        <f>COUNTIF(TeamHero生成!$J$5:$J$504,$C46)</f>
        <v>5</v>
      </c>
      <c r="N46" s="4" t="str">
        <f t="shared" si="0"/>
        <v>有效</v>
      </c>
      <c r="O46" s="4" t="str">
        <f t="shared" si="1"/>
        <v/>
      </c>
      <c r="P46" s="4" t="s">
        <v>314</v>
      </c>
    </row>
    <row r="47" ht="14.25" customHeight="1" spans="1:16">
      <c r="A47" s="4" t="s">
        <v>61</v>
      </c>
      <c r="B47" s="4">
        <v>43</v>
      </c>
      <c r="C47" s="4">
        <v>43</v>
      </c>
      <c r="D47" s="7">
        <v>275</v>
      </c>
      <c r="E47" s="7">
        <v>1</v>
      </c>
      <c r="F47" s="7">
        <v>1</v>
      </c>
      <c r="G47" s="7">
        <v>1</v>
      </c>
      <c r="H47" s="8" t="s">
        <v>315</v>
      </c>
      <c r="I47" s="8" t="s">
        <v>316</v>
      </c>
      <c r="J47" s="8" t="s">
        <v>317</v>
      </c>
      <c r="K47" s="8" t="s">
        <v>318</v>
      </c>
      <c r="L47" s="8" t="s">
        <v>319</v>
      </c>
      <c r="M47" s="4">
        <f>COUNTIF(TeamHero生成!$J$5:$J$504,$C47)</f>
        <v>5</v>
      </c>
      <c r="N47" s="4" t="str">
        <f t="shared" si="0"/>
        <v>有效</v>
      </c>
      <c r="O47" s="4" t="str">
        <f t="shared" si="1"/>
        <v/>
      </c>
      <c r="P47" s="4" t="s">
        <v>320</v>
      </c>
    </row>
    <row r="48" ht="14.25" customHeight="1" spans="1:16">
      <c r="A48" s="4" t="s">
        <v>61</v>
      </c>
      <c r="B48" s="4">
        <v>44</v>
      </c>
      <c r="C48" s="4">
        <v>44</v>
      </c>
      <c r="D48" s="7">
        <v>279</v>
      </c>
      <c r="E48" s="7">
        <v>1</v>
      </c>
      <c r="F48" s="7">
        <v>1</v>
      </c>
      <c r="G48" s="7">
        <v>1</v>
      </c>
      <c r="H48" s="8" t="s">
        <v>321</v>
      </c>
      <c r="I48" s="8" t="s">
        <v>322</v>
      </c>
      <c r="J48" s="8" t="s">
        <v>323</v>
      </c>
      <c r="K48" s="8" t="s">
        <v>324</v>
      </c>
      <c r="L48" s="8" t="s">
        <v>325</v>
      </c>
      <c r="M48" s="4">
        <f>COUNTIF(TeamHero生成!$J$5:$J$504,$C48)</f>
        <v>5</v>
      </c>
      <c r="N48" s="4" t="str">
        <f t="shared" si="0"/>
        <v>有效</v>
      </c>
      <c r="O48" s="4" t="str">
        <f t="shared" si="1"/>
        <v/>
      </c>
      <c r="P48" s="4" t="s">
        <v>326</v>
      </c>
    </row>
    <row r="49" ht="14.25" customHeight="1" spans="1:16">
      <c r="A49" s="4" t="s">
        <v>61</v>
      </c>
      <c r="B49" s="4">
        <v>45</v>
      </c>
      <c r="C49" s="4">
        <v>45</v>
      </c>
      <c r="D49" s="7">
        <v>282</v>
      </c>
      <c r="E49" s="7">
        <v>1</v>
      </c>
      <c r="F49" s="7">
        <v>1</v>
      </c>
      <c r="G49" s="7">
        <v>1</v>
      </c>
      <c r="H49" s="8" t="s">
        <v>327</v>
      </c>
      <c r="I49" s="8" t="s">
        <v>328</v>
      </c>
      <c r="J49" s="8" t="s">
        <v>329</v>
      </c>
      <c r="K49" s="8" t="s">
        <v>330</v>
      </c>
      <c r="L49" s="8" t="s">
        <v>331</v>
      </c>
      <c r="M49" s="4">
        <f>COUNTIF(TeamHero生成!$J$5:$J$504,$C49)</f>
        <v>5</v>
      </c>
      <c r="N49" s="4" t="str">
        <f t="shared" si="0"/>
        <v>有效</v>
      </c>
      <c r="O49" s="4" t="str">
        <f t="shared" si="1"/>
        <v/>
      </c>
      <c r="P49" s="4" t="s">
        <v>332</v>
      </c>
    </row>
    <row r="50" ht="14.25" customHeight="1" spans="1:16">
      <c r="A50" s="4" t="s">
        <v>61</v>
      </c>
      <c r="B50" s="4">
        <v>46</v>
      </c>
      <c r="C50" s="4">
        <v>46</v>
      </c>
      <c r="D50" s="7">
        <v>286</v>
      </c>
      <c r="E50" s="7">
        <v>1</v>
      </c>
      <c r="F50" s="7">
        <v>1</v>
      </c>
      <c r="G50" s="7">
        <v>1</v>
      </c>
      <c r="H50" s="8" t="s">
        <v>333</v>
      </c>
      <c r="I50" s="8" t="s">
        <v>334</v>
      </c>
      <c r="J50" s="8" t="s">
        <v>335</v>
      </c>
      <c r="K50" s="8" t="s">
        <v>336</v>
      </c>
      <c r="L50" s="8" t="s">
        <v>337</v>
      </c>
      <c r="M50" s="4">
        <f>COUNTIF(TeamHero生成!$J$5:$J$504,$C50)</f>
        <v>5</v>
      </c>
      <c r="N50" s="4" t="str">
        <f t="shared" si="0"/>
        <v>有效</v>
      </c>
      <c r="O50" s="4" t="str">
        <f t="shared" si="1"/>
        <v/>
      </c>
      <c r="P50" s="4" t="s">
        <v>338</v>
      </c>
    </row>
    <row r="51" ht="14.25" customHeight="1" spans="1:16">
      <c r="A51" s="4" t="s">
        <v>61</v>
      </c>
      <c r="B51" s="4">
        <v>47</v>
      </c>
      <c r="C51" s="4">
        <v>47</v>
      </c>
      <c r="D51" s="7">
        <v>289</v>
      </c>
      <c r="E51" s="7">
        <v>1</v>
      </c>
      <c r="F51" s="7">
        <v>1</v>
      </c>
      <c r="G51" s="7">
        <v>1</v>
      </c>
      <c r="H51" s="8" t="s">
        <v>339</v>
      </c>
      <c r="I51" s="8" t="s">
        <v>340</v>
      </c>
      <c r="J51" s="8" t="s">
        <v>341</v>
      </c>
      <c r="K51" s="8" t="s">
        <v>342</v>
      </c>
      <c r="L51" s="8" t="s">
        <v>343</v>
      </c>
      <c r="M51" s="4">
        <f>COUNTIF(TeamHero生成!$J$5:$J$504,$C51)</f>
        <v>5</v>
      </c>
      <c r="N51" s="4" t="str">
        <f t="shared" si="0"/>
        <v>有效</v>
      </c>
      <c r="O51" s="4" t="str">
        <f t="shared" si="1"/>
        <v/>
      </c>
      <c r="P51" s="4" t="s">
        <v>344</v>
      </c>
    </row>
    <row r="52" ht="14.25" customHeight="1" spans="1:16">
      <c r="A52" s="4" t="s">
        <v>61</v>
      </c>
      <c r="B52" s="4">
        <v>48</v>
      </c>
      <c r="C52" s="4">
        <v>48</v>
      </c>
      <c r="D52" s="7">
        <v>291</v>
      </c>
      <c r="E52" s="7">
        <v>1</v>
      </c>
      <c r="F52" s="7">
        <v>1</v>
      </c>
      <c r="G52" s="7">
        <v>1</v>
      </c>
      <c r="H52" s="8" t="s">
        <v>345</v>
      </c>
      <c r="I52" s="8" t="s">
        <v>346</v>
      </c>
      <c r="J52" s="8" t="s">
        <v>347</v>
      </c>
      <c r="K52" s="8" t="s">
        <v>348</v>
      </c>
      <c r="L52" s="8" t="s">
        <v>349</v>
      </c>
      <c r="M52" s="4">
        <f>COUNTIF(TeamHero生成!$J$5:$J$504,$C52)</f>
        <v>5</v>
      </c>
      <c r="N52" s="4" t="str">
        <f t="shared" si="0"/>
        <v>有效</v>
      </c>
      <c r="O52" s="4" t="str">
        <f t="shared" si="1"/>
        <v/>
      </c>
      <c r="P52" s="4" t="s">
        <v>350</v>
      </c>
    </row>
    <row r="53" ht="14.25" customHeight="1" spans="1:16">
      <c r="A53" s="4" t="s">
        <v>61</v>
      </c>
      <c r="B53" s="4">
        <v>49</v>
      </c>
      <c r="C53" s="4">
        <v>49</v>
      </c>
      <c r="D53" s="7">
        <v>295</v>
      </c>
      <c r="E53" s="7">
        <v>1</v>
      </c>
      <c r="F53" s="7">
        <v>1</v>
      </c>
      <c r="G53" s="7">
        <v>1</v>
      </c>
      <c r="H53" s="8" t="s">
        <v>351</v>
      </c>
      <c r="I53" s="8" t="s">
        <v>352</v>
      </c>
      <c r="J53" s="8" t="s">
        <v>353</v>
      </c>
      <c r="K53" s="8" t="s">
        <v>354</v>
      </c>
      <c r="L53" s="8" t="s">
        <v>355</v>
      </c>
      <c r="M53" s="4">
        <f>COUNTIF(TeamHero生成!$J$5:$J$504,$C53)</f>
        <v>5</v>
      </c>
      <c r="N53" s="4" t="str">
        <f t="shared" si="0"/>
        <v>有效</v>
      </c>
      <c r="O53" s="4" t="str">
        <f t="shared" si="1"/>
        <v/>
      </c>
      <c r="P53" s="4" t="s">
        <v>356</v>
      </c>
    </row>
    <row r="54" ht="14.25" customHeight="1" spans="1:16">
      <c r="A54" s="4" t="s">
        <v>61</v>
      </c>
      <c r="B54" s="4">
        <v>50</v>
      </c>
      <c r="C54" s="4">
        <v>50</v>
      </c>
      <c r="D54" s="7">
        <v>299</v>
      </c>
      <c r="E54" s="7">
        <v>1</v>
      </c>
      <c r="F54" s="7">
        <v>1</v>
      </c>
      <c r="G54" s="7">
        <v>1</v>
      </c>
      <c r="H54" s="8" t="s">
        <v>357</v>
      </c>
      <c r="I54" s="8" t="s">
        <v>358</v>
      </c>
      <c r="J54" s="8" t="s">
        <v>359</v>
      </c>
      <c r="K54" s="8" t="s">
        <v>360</v>
      </c>
      <c r="L54" s="8" t="s">
        <v>361</v>
      </c>
      <c r="M54" s="4">
        <f>COUNTIF(TeamHero生成!$J$5:$J$504,$C54)</f>
        <v>5</v>
      </c>
      <c r="N54" s="4" t="str">
        <f t="shared" si="0"/>
        <v>有效</v>
      </c>
      <c r="O54" s="4" t="str">
        <f t="shared" si="1"/>
        <v/>
      </c>
      <c r="P54" s="4" t="s">
        <v>362</v>
      </c>
    </row>
    <row r="55" ht="14.25" customHeight="1" spans="1:16">
      <c r="A55" s="4" t="s">
        <v>61</v>
      </c>
      <c r="B55" s="4">
        <v>51</v>
      </c>
      <c r="C55" s="4">
        <v>51</v>
      </c>
      <c r="D55" s="7">
        <v>301</v>
      </c>
      <c r="E55" s="7">
        <v>1</v>
      </c>
      <c r="F55" s="7">
        <v>1</v>
      </c>
      <c r="G55" s="7">
        <v>1</v>
      </c>
      <c r="H55" s="8" t="s">
        <v>363</v>
      </c>
      <c r="I55" s="8" t="s">
        <v>364</v>
      </c>
      <c r="J55" s="8" t="s">
        <v>365</v>
      </c>
      <c r="K55" s="8" t="s">
        <v>366</v>
      </c>
      <c r="L55" s="8" t="s">
        <v>367</v>
      </c>
      <c r="M55" s="4">
        <f>COUNTIF(TeamHero生成!$J$5:$J$504,$C55)</f>
        <v>5</v>
      </c>
      <c r="N55" s="4" t="str">
        <f t="shared" si="0"/>
        <v>有效</v>
      </c>
      <c r="O55" s="4" t="str">
        <f t="shared" si="1"/>
        <v/>
      </c>
      <c r="P55" s="4" t="s">
        <v>368</v>
      </c>
    </row>
    <row r="56" ht="14.25" customHeight="1" spans="1:16">
      <c r="A56" s="4" t="s">
        <v>61</v>
      </c>
      <c r="B56" s="4">
        <v>52</v>
      </c>
      <c r="C56" s="4">
        <v>52</v>
      </c>
      <c r="D56" s="7">
        <v>303</v>
      </c>
      <c r="E56" s="7">
        <v>1</v>
      </c>
      <c r="F56" s="7">
        <v>1</v>
      </c>
      <c r="G56" s="7">
        <v>1</v>
      </c>
      <c r="H56" s="8" t="s">
        <v>369</v>
      </c>
      <c r="I56" s="8" t="s">
        <v>370</v>
      </c>
      <c r="J56" s="8" t="s">
        <v>371</v>
      </c>
      <c r="K56" s="8" t="s">
        <v>372</v>
      </c>
      <c r="L56" s="8" t="s">
        <v>373</v>
      </c>
      <c r="M56" s="4">
        <f>COUNTIF(TeamHero生成!$J$5:$J$504,$C56)</f>
        <v>5</v>
      </c>
      <c r="N56" s="4" t="str">
        <f t="shared" si="0"/>
        <v>有效</v>
      </c>
      <c r="O56" s="4" t="str">
        <f t="shared" si="1"/>
        <v/>
      </c>
      <c r="P56" s="4" t="s">
        <v>374</v>
      </c>
    </row>
    <row r="57" ht="14.25" customHeight="1" spans="1:16">
      <c r="A57" s="4" t="s">
        <v>61</v>
      </c>
      <c r="B57" s="4">
        <v>53</v>
      </c>
      <c r="C57" s="4">
        <v>53</v>
      </c>
      <c r="D57" s="7">
        <v>306</v>
      </c>
      <c r="E57" s="7">
        <v>1</v>
      </c>
      <c r="F57" s="7">
        <v>1</v>
      </c>
      <c r="G57" s="7">
        <v>1</v>
      </c>
      <c r="H57" s="8" t="s">
        <v>375</v>
      </c>
      <c r="I57" s="8" t="s">
        <v>376</v>
      </c>
      <c r="J57" s="8" t="s">
        <v>377</v>
      </c>
      <c r="K57" s="8" t="s">
        <v>378</v>
      </c>
      <c r="L57" s="8" t="s">
        <v>379</v>
      </c>
      <c r="M57" s="4">
        <f>COUNTIF(TeamHero生成!$J$5:$J$504,$C57)</f>
        <v>5</v>
      </c>
      <c r="N57" s="4" t="str">
        <f t="shared" si="0"/>
        <v>有效</v>
      </c>
      <c r="O57" s="4" t="str">
        <f t="shared" si="1"/>
        <v/>
      </c>
      <c r="P57" s="4" t="s">
        <v>380</v>
      </c>
    </row>
    <row r="58" ht="14.25" customHeight="1" spans="1:16">
      <c r="A58" s="4" t="s">
        <v>61</v>
      </c>
      <c r="B58" s="4">
        <v>54</v>
      </c>
      <c r="C58" s="4">
        <v>54</v>
      </c>
      <c r="D58" s="7">
        <v>308</v>
      </c>
      <c r="E58" s="7">
        <v>1</v>
      </c>
      <c r="F58" s="7">
        <v>1</v>
      </c>
      <c r="G58" s="7">
        <v>1</v>
      </c>
      <c r="H58" s="8" t="s">
        <v>381</v>
      </c>
      <c r="I58" s="8" t="s">
        <v>382</v>
      </c>
      <c r="J58" s="8" t="s">
        <v>383</v>
      </c>
      <c r="K58" s="8" t="s">
        <v>384</v>
      </c>
      <c r="L58" s="8" t="s">
        <v>385</v>
      </c>
      <c r="M58" s="4">
        <f>COUNTIF(TeamHero生成!$J$5:$J$504,$C58)</f>
        <v>5</v>
      </c>
      <c r="N58" s="4" t="str">
        <f t="shared" si="0"/>
        <v>有效</v>
      </c>
      <c r="O58" s="4" t="str">
        <f t="shared" si="1"/>
        <v/>
      </c>
      <c r="P58" s="4" t="s">
        <v>386</v>
      </c>
    </row>
    <row r="59" ht="14.25" customHeight="1" spans="1:16">
      <c r="A59" s="4" t="s">
        <v>61</v>
      </c>
      <c r="B59" s="4">
        <v>55</v>
      </c>
      <c r="C59" s="4">
        <v>55</v>
      </c>
      <c r="D59" s="7">
        <v>310</v>
      </c>
      <c r="E59" s="7">
        <v>1</v>
      </c>
      <c r="F59" s="7">
        <v>1</v>
      </c>
      <c r="G59" s="7">
        <v>1</v>
      </c>
      <c r="H59" s="8" t="s">
        <v>387</v>
      </c>
      <c r="I59" s="8" t="s">
        <v>388</v>
      </c>
      <c r="J59" s="8" t="s">
        <v>389</v>
      </c>
      <c r="K59" s="8" t="s">
        <v>390</v>
      </c>
      <c r="L59" s="8" t="s">
        <v>391</v>
      </c>
      <c r="M59" s="4">
        <f>COUNTIF(TeamHero生成!$J$5:$J$504,$C59)</f>
        <v>5</v>
      </c>
      <c r="N59" s="4" t="str">
        <f t="shared" si="0"/>
        <v>有效</v>
      </c>
      <c r="O59" s="4" t="str">
        <f t="shared" si="1"/>
        <v/>
      </c>
      <c r="P59" s="4" t="s">
        <v>392</v>
      </c>
    </row>
    <row r="60" ht="14.25" customHeight="1" spans="1:16">
      <c r="A60" s="4" t="s">
        <v>61</v>
      </c>
      <c r="B60" s="4">
        <v>56</v>
      </c>
      <c r="C60" s="4">
        <v>56</v>
      </c>
      <c r="D60" s="7">
        <v>312</v>
      </c>
      <c r="E60" s="7">
        <v>1</v>
      </c>
      <c r="F60" s="7">
        <v>1</v>
      </c>
      <c r="G60" s="7">
        <v>1</v>
      </c>
      <c r="H60" s="8" t="s">
        <v>393</v>
      </c>
      <c r="I60" s="8" t="s">
        <v>394</v>
      </c>
      <c r="J60" s="8" t="s">
        <v>395</v>
      </c>
      <c r="K60" s="8" t="s">
        <v>396</v>
      </c>
      <c r="L60" s="8" t="s">
        <v>397</v>
      </c>
      <c r="M60" s="4">
        <f>COUNTIF(TeamHero生成!$J$5:$J$504,$C60)</f>
        <v>5</v>
      </c>
      <c r="N60" s="4" t="str">
        <f t="shared" si="0"/>
        <v>有效</v>
      </c>
      <c r="O60" s="4" t="str">
        <f t="shared" si="1"/>
        <v/>
      </c>
      <c r="P60" s="4" t="s">
        <v>398</v>
      </c>
    </row>
    <row r="61" ht="14.25" customHeight="1" spans="1:16">
      <c r="A61" s="4" t="s">
        <v>61</v>
      </c>
      <c r="B61" s="4">
        <v>57</v>
      </c>
      <c r="C61" s="4">
        <v>57</v>
      </c>
      <c r="D61" s="7">
        <v>314</v>
      </c>
      <c r="E61" s="7">
        <v>1</v>
      </c>
      <c r="F61" s="7">
        <v>1</v>
      </c>
      <c r="G61" s="7">
        <v>1</v>
      </c>
      <c r="H61" s="8" t="s">
        <v>399</v>
      </c>
      <c r="I61" s="8" t="s">
        <v>400</v>
      </c>
      <c r="J61" s="8" t="s">
        <v>401</v>
      </c>
      <c r="K61" s="8" t="s">
        <v>402</v>
      </c>
      <c r="L61" s="8" t="s">
        <v>403</v>
      </c>
      <c r="M61" s="4">
        <f>COUNTIF(TeamHero生成!$J$5:$J$504,$C61)</f>
        <v>5</v>
      </c>
      <c r="N61" s="4" t="str">
        <f t="shared" si="0"/>
        <v>有效</v>
      </c>
      <c r="O61" s="4" t="str">
        <f t="shared" si="1"/>
        <v/>
      </c>
      <c r="P61" s="4" t="s">
        <v>404</v>
      </c>
    </row>
    <row r="62" ht="14.25" customHeight="1" spans="1:16">
      <c r="A62" s="4" t="s">
        <v>61</v>
      </c>
      <c r="B62" s="4">
        <v>58</v>
      </c>
      <c r="C62" s="4">
        <v>58</v>
      </c>
      <c r="D62" s="7">
        <v>316</v>
      </c>
      <c r="E62" s="7">
        <v>1</v>
      </c>
      <c r="F62" s="7">
        <v>1</v>
      </c>
      <c r="G62" s="7">
        <v>1</v>
      </c>
      <c r="H62" s="8" t="s">
        <v>405</v>
      </c>
      <c r="I62" s="8" t="s">
        <v>406</v>
      </c>
      <c r="J62" s="8" t="s">
        <v>407</v>
      </c>
      <c r="K62" s="8" t="s">
        <v>408</v>
      </c>
      <c r="L62" s="8" t="s">
        <v>409</v>
      </c>
      <c r="M62" s="4">
        <f>COUNTIF(TeamHero生成!$J$5:$J$504,$C62)</f>
        <v>5</v>
      </c>
      <c r="N62" s="4" t="str">
        <f t="shared" si="0"/>
        <v>有效</v>
      </c>
      <c r="O62" s="4" t="str">
        <f t="shared" si="1"/>
        <v/>
      </c>
      <c r="P62" s="4" t="s">
        <v>410</v>
      </c>
    </row>
    <row r="63" ht="14.25" customHeight="1" spans="1:16">
      <c r="A63" s="4" t="s">
        <v>61</v>
      </c>
      <c r="B63" s="4">
        <v>59</v>
      </c>
      <c r="C63" s="4">
        <v>59</v>
      </c>
      <c r="D63" s="7">
        <v>318</v>
      </c>
      <c r="E63" s="7">
        <v>1</v>
      </c>
      <c r="F63" s="7">
        <v>1</v>
      </c>
      <c r="G63" s="7">
        <v>1</v>
      </c>
      <c r="H63" s="8" t="s">
        <v>411</v>
      </c>
      <c r="I63" s="8" t="s">
        <v>412</v>
      </c>
      <c r="J63" s="8" t="s">
        <v>413</v>
      </c>
      <c r="K63" s="8" t="s">
        <v>414</v>
      </c>
      <c r="L63" s="8" t="s">
        <v>415</v>
      </c>
      <c r="M63" s="4">
        <f>COUNTIF(TeamHero生成!$J$5:$J$504,$C63)</f>
        <v>5</v>
      </c>
      <c r="N63" s="4" t="str">
        <f t="shared" si="0"/>
        <v>有效</v>
      </c>
      <c r="O63" s="4" t="str">
        <f t="shared" si="1"/>
        <v/>
      </c>
      <c r="P63" s="4" t="s">
        <v>416</v>
      </c>
    </row>
    <row r="64" ht="14.25" customHeight="1" spans="1:16">
      <c r="A64" s="4" t="s">
        <v>61</v>
      </c>
      <c r="B64" s="4">
        <v>60</v>
      </c>
      <c r="C64" s="4">
        <v>60</v>
      </c>
      <c r="D64" s="7">
        <v>321</v>
      </c>
      <c r="E64" s="7">
        <v>1</v>
      </c>
      <c r="F64" s="7">
        <v>1</v>
      </c>
      <c r="G64" s="7">
        <v>1</v>
      </c>
      <c r="H64" s="8" t="s">
        <v>417</v>
      </c>
      <c r="I64" s="8" t="s">
        <v>418</v>
      </c>
      <c r="J64" s="8" t="s">
        <v>419</v>
      </c>
      <c r="K64" s="8" t="s">
        <v>420</v>
      </c>
      <c r="L64" s="8" t="s">
        <v>421</v>
      </c>
      <c r="M64" s="4">
        <f>COUNTIF(TeamHero生成!$J$5:$J$504,$C64)</f>
        <v>5</v>
      </c>
      <c r="N64" s="4" t="str">
        <f t="shared" si="0"/>
        <v>有效</v>
      </c>
      <c r="O64" s="4" t="str">
        <f t="shared" si="1"/>
        <v/>
      </c>
      <c r="P64" s="4" t="s">
        <v>422</v>
      </c>
    </row>
    <row r="65" ht="14.25" customHeight="1" spans="1:16">
      <c r="A65" s="4" t="s">
        <v>61</v>
      </c>
      <c r="B65" s="4">
        <v>61</v>
      </c>
      <c r="C65" s="4">
        <v>61</v>
      </c>
      <c r="D65" s="7">
        <v>322</v>
      </c>
      <c r="E65" s="7">
        <v>1</v>
      </c>
      <c r="F65" s="7">
        <v>1</v>
      </c>
      <c r="G65" s="7">
        <v>1</v>
      </c>
      <c r="H65" s="8" t="s">
        <v>423</v>
      </c>
      <c r="I65" s="8" t="s">
        <v>424</v>
      </c>
      <c r="J65" s="8" t="s">
        <v>425</v>
      </c>
      <c r="K65" s="8" t="s">
        <v>426</v>
      </c>
      <c r="L65" s="8" t="s">
        <v>427</v>
      </c>
      <c r="M65" s="4">
        <f>COUNTIF(TeamHero生成!$J$5:$J$504,$C65)</f>
        <v>5</v>
      </c>
      <c r="N65" s="4" t="str">
        <f t="shared" si="0"/>
        <v>有效</v>
      </c>
      <c r="O65" s="4" t="str">
        <f t="shared" si="1"/>
        <v/>
      </c>
      <c r="P65" s="4" t="s">
        <v>428</v>
      </c>
    </row>
    <row r="66" ht="14.25" customHeight="1" spans="1:16">
      <c r="A66" s="4" t="s">
        <v>61</v>
      </c>
      <c r="B66" s="4">
        <v>62</v>
      </c>
      <c r="C66" s="4">
        <v>62</v>
      </c>
      <c r="D66" s="7">
        <v>324</v>
      </c>
      <c r="E66" s="7">
        <v>1</v>
      </c>
      <c r="F66" s="7">
        <v>1</v>
      </c>
      <c r="G66" s="7">
        <v>1</v>
      </c>
      <c r="H66" s="8" t="s">
        <v>429</v>
      </c>
      <c r="I66" s="8" t="s">
        <v>430</v>
      </c>
      <c r="J66" s="8" t="s">
        <v>431</v>
      </c>
      <c r="K66" s="8" t="s">
        <v>432</v>
      </c>
      <c r="L66" s="8" t="s">
        <v>433</v>
      </c>
      <c r="M66" s="4">
        <f>COUNTIF(TeamHero生成!$J$5:$J$504,$C66)</f>
        <v>5</v>
      </c>
      <c r="N66" s="4" t="str">
        <f t="shared" si="0"/>
        <v>有效</v>
      </c>
      <c r="O66" s="4" t="str">
        <f t="shared" si="1"/>
        <v/>
      </c>
      <c r="P66" s="4" t="s">
        <v>434</v>
      </c>
    </row>
    <row r="67" ht="14.25" customHeight="1" spans="1:16">
      <c r="A67" s="4" t="s">
        <v>61</v>
      </c>
      <c r="B67" s="4">
        <v>63</v>
      </c>
      <c r="C67" s="4">
        <v>63</v>
      </c>
      <c r="D67" s="7">
        <v>326</v>
      </c>
      <c r="E67" s="7">
        <v>1</v>
      </c>
      <c r="F67" s="7">
        <v>1</v>
      </c>
      <c r="G67" s="7">
        <v>1</v>
      </c>
      <c r="H67" s="8" t="s">
        <v>435</v>
      </c>
      <c r="I67" s="8" t="s">
        <v>436</v>
      </c>
      <c r="J67" s="8" t="s">
        <v>437</v>
      </c>
      <c r="K67" s="8" t="s">
        <v>438</v>
      </c>
      <c r="L67" s="8" t="s">
        <v>439</v>
      </c>
      <c r="M67" s="4">
        <f>COUNTIF(TeamHero生成!$J$5:$J$504,$C67)</f>
        <v>5</v>
      </c>
      <c r="N67" s="4" t="str">
        <f t="shared" si="0"/>
        <v>有效</v>
      </c>
      <c r="O67" s="4" t="str">
        <f t="shared" si="1"/>
        <v/>
      </c>
      <c r="P67" s="4" t="s">
        <v>440</v>
      </c>
    </row>
    <row r="68" ht="14.25" customHeight="1" spans="1:16">
      <c r="A68" s="4" t="s">
        <v>61</v>
      </c>
      <c r="B68" s="4">
        <v>64</v>
      </c>
      <c r="C68" s="4">
        <v>64</v>
      </c>
      <c r="D68" s="7">
        <v>328</v>
      </c>
      <c r="E68" s="7">
        <v>1</v>
      </c>
      <c r="F68" s="7">
        <v>1</v>
      </c>
      <c r="G68" s="7">
        <v>1</v>
      </c>
      <c r="H68" s="8" t="s">
        <v>441</v>
      </c>
      <c r="I68" s="8" t="s">
        <v>442</v>
      </c>
      <c r="J68" s="8" t="s">
        <v>443</v>
      </c>
      <c r="K68" s="8" t="s">
        <v>444</v>
      </c>
      <c r="L68" s="8" t="s">
        <v>445</v>
      </c>
      <c r="M68" s="4">
        <f>COUNTIF(TeamHero生成!$J$5:$J$504,$C68)</f>
        <v>5</v>
      </c>
      <c r="N68" s="4" t="str">
        <f t="shared" si="0"/>
        <v>有效</v>
      </c>
      <c r="O68" s="4" t="str">
        <f t="shared" si="1"/>
        <v/>
      </c>
      <c r="P68" s="4" t="s">
        <v>446</v>
      </c>
    </row>
    <row r="69" ht="14.25" customHeight="1" spans="1:16">
      <c r="A69" s="4" t="s">
        <v>61</v>
      </c>
      <c r="B69" s="4">
        <v>65</v>
      </c>
      <c r="C69" s="4">
        <v>65</v>
      </c>
      <c r="D69" s="7">
        <v>329</v>
      </c>
      <c r="E69" s="7">
        <v>1</v>
      </c>
      <c r="F69" s="7">
        <v>1</v>
      </c>
      <c r="G69" s="7">
        <v>1</v>
      </c>
      <c r="H69" s="8" t="s">
        <v>447</v>
      </c>
      <c r="I69" s="8" t="s">
        <v>448</v>
      </c>
      <c r="J69" s="8" t="s">
        <v>449</v>
      </c>
      <c r="K69" s="8" t="s">
        <v>450</v>
      </c>
      <c r="L69" s="8" t="s">
        <v>451</v>
      </c>
      <c r="M69" s="4">
        <f>COUNTIF(TeamHero生成!$J$5:$J$504,$C69)</f>
        <v>5</v>
      </c>
      <c r="N69" s="4" t="str">
        <f t="shared" ref="N69:N104" si="2">IF(AND(ISNUMBER($D69),$D69&gt;=1,$D69&lt;=500,MOD($D69,1)=0),"有效","无效")</f>
        <v>有效</v>
      </c>
      <c r="O69" s="4" t="str">
        <f t="shared" si="1"/>
        <v/>
      </c>
      <c r="P69" s="4" t="s">
        <v>452</v>
      </c>
    </row>
    <row r="70" ht="14.25" customHeight="1" spans="1:16">
      <c r="A70" s="4" t="s">
        <v>61</v>
      </c>
      <c r="B70" s="4">
        <v>66</v>
      </c>
      <c r="C70" s="4">
        <v>66</v>
      </c>
      <c r="D70" s="7">
        <v>330</v>
      </c>
      <c r="E70" s="7">
        <v>1</v>
      </c>
      <c r="F70" s="7">
        <v>1</v>
      </c>
      <c r="G70" s="7">
        <v>1</v>
      </c>
      <c r="H70" s="8" t="s">
        <v>453</v>
      </c>
      <c r="I70" s="8" t="s">
        <v>454</v>
      </c>
      <c r="J70" s="8" t="s">
        <v>455</v>
      </c>
      <c r="K70" s="8" t="s">
        <v>456</v>
      </c>
      <c r="L70" s="8" t="s">
        <v>457</v>
      </c>
      <c r="M70" s="4">
        <f>COUNTIF(TeamHero生成!$J$5:$J$504,$C70)</f>
        <v>5</v>
      </c>
      <c r="N70" s="4" t="str">
        <f t="shared" si="2"/>
        <v>有效</v>
      </c>
      <c r="O70" s="4" t="str">
        <f t="shared" ref="O70:O104" si="3">IF($D70&lt;$D69,"下降","")</f>
        <v/>
      </c>
      <c r="P70" s="4" t="s">
        <v>458</v>
      </c>
    </row>
    <row r="71" ht="14.25" customHeight="1" spans="1:16">
      <c r="A71" s="4" t="s">
        <v>61</v>
      </c>
      <c r="B71" s="4">
        <v>67</v>
      </c>
      <c r="C71" s="4">
        <v>67</v>
      </c>
      <c r="D71" s="7">
        <v>332</v>
      </c>
      <c r="E71" s="7">
        <v>1</v>
      </c>
      <c r="F71" s="7">
        <v>1</v>
      </c>
      <c r="G71" s="7">
        <v>1</v>
      </c>
      <c r="H71" s="8" t="s">
        <v>459</v>
      </c>
      <c r="I71" s="8" t="s">
        <v>460</v>
      </c>
      <c r="J71" s="8" t="s">
        <v>461</v>
      </c>
      <c r="K71" s="8" t="s">
        <v>462</v>
      </c>
      <c r="L71" s="8" t="s">
        <v>463</v>
      </c>
      <c r="M71" s="4">
        <f>COUNTIF(TeamHero生成!$J$5:$J$504,$C71)</f>
        <v>5</v>
      </c>
      <c r="N71" s="4" t="str">
        <f t="shared" si="2"/>
        <v>有效</v>
      </c>
      <c r="O71" s="4" t="str">
        <f t="shared" si="3"/>
        <v/>
      </c>
      <c r="P71" s="4" t="s">
        <v>464</v>
      </c>
    </row>
    <row r="72" ht="14.25" customHeight="1" spans="1:16">
      <c r="A72" s="4" t="s">
        <v>61</v>
      </c>
      <c r="B72" s="4">
        <v>68</v>
      </c>
      <c r="C72" s="4">
        <v>68</v>
      </c>
      <c r="D72" s="7">
        <v>333</v>
      </c>
      <c r="E72" s="7">
        <v>1</v>
      </c>
      <c r="F72" s="7">
        <v>1</v>
      </c>
      <c r="G72" s="7">
        <v>1</v>
      </c>
      <c r="H72" s="8" t="s">
        <v>465</v>
      </c>
      <c r="I72" s="8" t="s">
        <v>466</v>
      </c>
      <c r="J72" s="8" t="s">
        <v>467</v>
      </c>
      <c r="K72" s="8" t="s">
        <v>468</v>
      </c>
      <c r="L72" s="8" t="s">
        <v>469</v>
      </c>
      <c r="M72" s="4">
        <f>COUNTIF(TeamHero生成!$J$5:$J$504,$C72)</f>
        <v>5</v>
      </c>
      <c r="N72" s="4" t="str">
        <f t="shared" si="2"/>
        <v>有效</v>
      </c>
      <c r="O72" s="4" t="str">
        <f t="shared" si="3"/>
        <v/>
      </c>
      <c r="P72" s="4" t="s">
        <v>470</v>
      </c>
    </row>
    <row r="73" ht="14.25" customHeight="1" spans="1:16">
      <c r="A73" s="4" t="s">
        <v>61</v>
      </c>
      <c r="B73" s="4">
        <v>69</v>
      </c>
      <c r="C73" s="4">
        <v>69</v>
      </c>
      <c r="D73" s="7">
        <v>335</v>
      </c>
      <c r="E73" s="7">
        <v>1</v>
      </c>
      <c r="F73" s="7">
        <v>1</v>
      </c>
      <c r="G73" s="7">
        <v>1</v>
      </c>
      <c r="H73" s="8" t="s">
        <v>471</v>
      </c>
      <c r="I73" s="8" t="s">
        <v>472</v>
      </c>
      <c r="J73" s="8" t="s">
        <v>473</v>
      </c>
      <c r="K73" s="8" t="s">
        <v>474</v>
      </c>
      <c r="L73" s="8" t="s">
        <v>475</v>
      </c>
      <c r="M73" s="4">
        <f>COUNTIF(TeamHero生成!$J$5:$J$504,$C73)</f>
        <v>5</v>
      </c>
      <c r="N73" s="4" t="str">
        <f t="shared" si="2"/>
        <v>有效</v>
      </c>
      <c r="O73" s="4" t="str">
        <f t="shared" si="3"/>
        <v/>
      </c>
      <c r="P73" s="4" t="s">
        <v>476</v>
      </c>
    </row>
    <row r="74" ht="14.25" customHeight="1" spans="1:16">
      <c r="A74" s="4" t="s">
        <v>61</v>
      </c>
      <c r="B74" s="4">
        <v>70</v>
      </c>
      <c r="C74" s="4">
        <v>70</v>
      </c>
      <c r="D74" s="7">
        <v>337</v>
      </c>
      <c r="E74" s="7">
        <v>1</v>
      </c>
      <c r="F74" s="7">
        <v>1</v>
      </c>
      <c r="G74" s="7">
        <v>1</v>
      </c>
      <c r="H74" s="8" t="s">
        <v>477</v>
      </c>
      <c r="I74" s="8" t="s">
        <v>478</v>
      </c>
      <c r="J74" s="8" t="s">
        <v>479</v>
      </c>
      <c r="K74" s="8" t="s">
        <v>480</v>
      </c>
      <c r="L74" s="8" t="s">
        <v>481</v>
      </c>
      <c r="M74" s="4">
        <f>COUNTIF(TeamHero生成!$J$5:$J$504,$C74)</f>
        <v>5</v>
      </c>
      <c r="N74" s="4" t="str">
        <f t="shared" si="2"/>
        <v>有效</v>
      </c>
      <c r="O74" s="4" t="str">
        <f t="shared" si="3"/>
        <v/>
      </c>
      <c r="P74" s="4" t="s">
        <v>482</v>
      </c>
    </row>
    <row r="75" ht="14.25" customHeight="1" spans="1:16">
      <c r="A75" s="4" t="s">
        <v>61</v>
      </c>
      <c r="B75" s="4">
        <v>71</v>
      </c>
      <c r="C75" s="4">
        <v>71</v>
      </c>
      <c r="D75" s="7">
        <v>337</v>
      </c>
      <c r="E75" s="7">
        <v>1</v>
      </c>
      <c r="F75" s="7">
        <v>1</v>
      </c>
      <c r="G75" s="7">
        <v>1</v>
      </c>
      <c r="H75" s="8" t="s">
        <v>483</v>
      </c>
      <c r="I75" s="8" t="s">
        <v>484</v>
      </c>
      <c r="J75" s="8" t="s">
        <v>485</v>
      </c>
      <c r="K75" s="8" t="s">
        <v>486</v>
      </c>
      <c r="L75" s="8" t="s">
        <v>487</v>
      </c>
      <c r="M75" s="4">
        <f>COUNTIF(TeamHero生成!$J$5:$J$504,$C75)</f>
        <v>5</v>
      </c>
      <c r="N75" s="4" t="str">
        <f t="shared" si="2"/>
        <v>有效</v>
      </c>
      <c r="O75" s="4" t="str">
        <f t="shared" si="3"/>
        <v/>
      </c>
      <c r="P75" s="4" t="s">
        <v>488</v>
      </c>
    </row>
    <row r="76" ht="14.25" customHeight="1" spans="1:16">
      <c r="A76" s="4" t="s">
        <v>61</v>
      </c>
      <c r="B76" s="4">
        <v>72</v>
      </c>
      <c r="C76" s="4">
        <v>72</v>
      </c>
      <c r="D76" s="7">
        <v>338</v>
      </c>
      <c r="E76" s="7">
        <v>1</v>
      </c>
      <c r="F76" s="7">
        <v>1</v>
      </c>
      <c r="G76" s="7">
        <v>1</v>
      </c>
      <c r="H76" s="8" t="s">
        <v>489</v>
      </c>
      <c r="I76" s="8" t="s">
        <v>490</v>
      </c>
      <c r="J76" s="8" t="s">
        <v>491</v>
      </c>
      <c r="K76" s="8" t="s">
        <v>492</v>
      </c>
      <c r="L76" s="8" t="s">
        <v>493</v>
      </c>
      <c r="M76" s="4">
        <f>COUNTIF(TeamHero生成!$J$5:$J$504,$C76)</f>
        <v>5</v>
      </c>
      <c r="N76" s="4" t="str">
        <f t="shared" si="2"/>
        <v>有效</v>
      </c>
      <c r="O76" s="4" t="str">
        <f t="shared" si="3"/>
        <v/>
      </c>
      <c r="P76" s="4" t="s">
        <v>494</v>
      </c>
    </row>
    <row r="77" ht="14.25" customHeight="1" spans="1:16">
      <c r="A77" s="4" t="s">
        <v>61</v>
      </c>
      <c r="B77" s="4">
        <v>73</v>
      </c>
      <c r="C77" s="4">
        <v>73</v>
      </c>
      <c r="D77" s="7">
        <v>340</v>
      </c>
      <c r="E77" s="7">
        <v>1</v>
      </c>
      <c r="F77" s="7">
        <v>1</v>
      </c>
      <c r="G77" s="7">
        <v>1</v>
      </c>
      <c r="H77" s="8" t="s">
        <v>495</v>
      </c>
      <c r="I77" s="8" t="s">
        <v>496</v>
      </c>
      <c r="J77" s="8" t="s">
        <v>497</v>
      </c>
      <c r="K77" s="8" t="s">
        <v>498</v>
      </c>
      <c r="L77" s="8" t="s">
        <v>499</v>
      </c>
      <c r="M77" s="4">
        <f>COUNTIF(TeamHero生成!$J$5:$J$504,$C77)</f>
        <v>5</v>
      </c>
      <c r="N77" s="4" t="str">
        <f t="shared" si="2"/>
        <v>有效</v>
      </c>
      <c r="O77" s="4" t="str">
        <f t="shared" si="3"/>
        <v/>
      </c>
      <c r="P77" s="4" t="s">
        <v>500</v>
      </c>
    </row>
    <row r="78" ht="14.25" customHeight="1" spans="1:16">
      <c r="A78" s="4" t="s">
        <v>61</v>
      </c>
      <c r="B78" s="4">
        <v>74</v>
      </c>
      <c r="C78" s="4">
        <v>74</v>
      </c>
      <c r="D78" s="7">
        <v>341</v>
      </c>
      <c r="E78" s="7">
        <v>1</v>
      </c>
      <c r="F78" s="7">
        <v>1</v>
      </c>
      <c r="G78" s="7">
        <v>1</v>
      </c>
      <c r="H78" s="8" t="s">
        <v>501</v>
      </c>
      <c r="I78" s="8" t="s">
        <v>502</v>
      </c>
      <c r="J78" s="8" t="s">
        <v>503</v>
      </c>
      <c r="K78" s="8" t="s">
        <v>504</v>
      </c>
      <c r="L78" s="8" t="s">
        <v>505</v>
      </c>
      <c r="M78" s="4">
        <f>COUNTIF(TeamHero生成!$J$5:$J$504,$C78)</f>
        <v>5</v>
      </c>
      <c r="N78" s="4" t="str">
        <f t="shared" si="2"/>
        <v>有效</v>
      </c>
      <c r="O78" s="4" t="str">
        <f t="shared" si="3"/>
        <v/>
      </c>
      <c r="P78" s="4" t="s">
        <v>506</v>
      </c>
    </row>
    <row r="79" ht="14.25" customHeight="1" spans="1:16">
      <c r="A79" s="4" t="s">
        <v>61</v>
      </c>
      <c r="B79" s="4">
        <v>75</v>
      </c>
      <c r="C79" s="4">
        <v>75</v>
      </c>
      <c r="D79" s="7">
        <v>342</v>
      </c>
      <c r="E79" s="7">
        <v>1</v>
      </c>
      <c r="F79" s="7">
        <v>1</v>
      </c>
      <c r="G79" s="7">
        <v>1</v>
      </c>
      <c r="H79" s="8" t="s">
        <v>507</v>
      </c>
      <c r="I79" s="8" t="s">
        <v>508</v>
      </c>
      <c r="J79" s="8" t="s">
        <v>509</v>
      </c>
      <c r="K79" s="8" t="s">
        <v>510</v>
      </c>
      <c r="L79" s="8" t="s">
        <v>511</v>
      </c>
      <c r="M79" s="4">
        <f>COUNTIF(TeamHero生成!$J$5:$J$504,$C79)</f>
        <v>5</v>
      </c>
      <c r="N79" s="4" t="str">
        <f t="shared" si="2"/>
        <v>有效</v>
      </c>
      <c r="O79" s="4" t="str">
        <f t="shared" si="3"/>
        <v/>
      </c>
      <c r="P79" s="4" t="s">
        <v>512</v>
      </c>
    </row>
    <row r="80" ht="14.25" customHeight="1" spans="1:16">
      <c r="A80" s="4" t="s">
        <v>61</v>
      </c>
      <c r="B80" s="4">
        <v>76</v>
      </c>
      <c r="C80" s="4">
        <v>76</v>
      </c>
      <c r="D80" s="7">
        <v>343</v>
      </c>
      <c r="E80" s="7">
        <v>1</v>
      </c>
      <c r="F80" s="7">
        <v>1</v>
      </c>
      <c r="G80" s="7">
        <v>1</v>
      </c>
      <c r="H80" s="8" t="s">
        <v>513</v>
      </c>
      <c r="I80" s="8" t="s">
        <v>514</v>
      </c>
      <c r="J80" s="8" t="s">
        <v>515</v>
      </c>
      <c r="K80" s="8" t="s">
        <v>516</v>
      </c>
      <c r="L80" s="8" t="s">
        <v>517</v>
      </c>
      <c r="M80" s="4">
        <f>COUNTIF(TeamHero生成!$J$5:$J$504,$C80)</f>
        <v>5</v>
      </c>
      <c r="N80" s="4" t="str">
        <f t="shared" si="2"/>
        <v>有效</v>
      </c>
      <c r="O80" s="4" t="str">
        <f t="shared" si="3"/>
        <v/>
      </c>
      <c r="P80" s="4" t="s">
        <v>518</v>
      </c>
    </row>
    <row r="81" ht="14.25" customHeight="1" spans="1:16">
      <c r="A81" s="4" t="s">
        <v>61</v>
      </c>
      <c r="B81" s="4">
        <v>77</v>
      </c>
      <c r="C81" s="4">
        <v>77</v>
      </c>
      <c r="D81" s="7">
        <v>345</v>
      </c>
      <c r="E81" s="7">
        <v>1</v>
      </c>
      <c r="F81" s="7">
        <v>1</v>
      </c>
      <c r="G81" s="7">
        <v>1</v>
      </c>
      <c r="H81" s="8" t="s">
        <v>519</v>
      </c>
      <c r="I81" s="8" t="s">
        <v>520</v>
      </c>
      <c r="J81" s="8" t="s">
        <v>521</v>
      </c>
      <c r="K81" s="8" t="s">
        <v>522</v>
      </c>
      <c r="L81" s="8" t="s">
        <v>523</v>
      </c>
      <c r="M81" s="4">
        <f>COUNTIF(TeamHero生成!$J$5:$J$504,$C81)</f>
        <v>5</v>
      </c>
      <c r="N81" s="4" t="str">
        <f t="shared" si="2"/>
        <v>有效</v>
      </c>
      <c r="O81" s="4" t="str">
        <f t="shared" si="3"/>
        <v/>
      </c>
      <c r="P81" s="4" t="s">
        <v>524</v>
      </c>
    </row>
    <row r="82" ht="14.25" customHeight="1" spans="1:16">
      <c r="A82" s="4" t="s">
        <v>61</v>
      </c>
      <c r="B82" s="4">
        <v>78</v>
      </c>
      <c r="C82" s="4">
        <v>78</v>
      </c>
      <c r="D82" s="7">
        <v>346</v>
      </c>
      <c r="E82" s="7">
        <v>1</v>
      </c>
      <c r="F82" s="7">
        <v>1</v>
      </c>
      <c r="G82" s="7">
        <v>1</v>
      </c>
      <c r="H82" s="8" t="s">
        <v>525</v>
      </c>
      <c r="I82" s="8" t="s">
        <v>526</v>
      </c>
      <c r="J82" s="8" t="s">
        <v>527</v>
      </c>
      <c r="K82" s="8" t="s">
        <v>528</v>
      </c>
      <c r="L82" s="8" t="s">
        <v>529</v>
      </c>
      <c r="M82" s="4">
        <f>COUNTIF(TeamHero生成!$J$5:$J$504,$C82)</f>
        <v>5</v>
      </c>
      <c r="N82" s="4" t="str">
        <f t="shared" si="2"/>
        <v>有效</v>
      </c>
      <c r="O82" s="4" t="str">
        <f t="shared" si="3"/>
        <v/>
      </c>
      <c r="P82" s="4" t="s">
        <v>530</v>
      </c>
    </row>
    <row r="83" ht="14.25" customHeight="1" spans="1:16">
      <c r="A83" s="4" t="s">
        <v>61</v>
      </c>
      <c r="B83" s="4">
        <v>79</v>
      </c>
      <c r="C83" s="4">
        <v>79</v>
      </c>
      <c r="D83" s="7">
        <v>347</v>
      </c>
      <c r="E83" s="7">
        <v>1</v>
      </c>
      <c r="F83" s="7">
        <v>1</v>
      </c>
      <c r="G83" s="7">
        <v>1</v>
      </c>
      <c r="H83" s="8" t="s">
        <v>531</v>
      </c>
      <c r="I83" s="8" t="s">
        <v>532</v>
      </c>
      <c r="J83" s="8" t="s">
        <v>533</v>
      </c>
      <c r="K83" s="8" t="s">
        <v>534</v>
      </c>
      <c r="L83" s="8" t="s">
        <v>535</v>
      </c>
      <c r="M83" s="4">
        <f>COUNTIF(TeamHero生成!$J$5:$J$504,$C83)</f>
        <v>5</v>
      </c>
      <c r="N83" s="4" t="str">
        <f t="shared" si="2"/>
        <v>有效</v>
      </c>
      <c r="O83" s="4" t="str">
        <f t="shared" si="3"/>
        <v/>
      </c>
      <c r="P83" s="4" t="s">
        <v>536</v>
      </c>
    </row>
    <row r="84" ht="14.25" customHeight="1" spans="1:16">
      <c r="A84" s="4" t="s">
        <v>61</v>
      </c>
      <c r="B84" s="4">
        <v>80</v>
      </c>
      <c r="C84" s="4">
        <v>80</v>
      </c>
      <c r="D84" s="7">
        <v>349</v>
      </c>
      <c r="E84" s="7">
        <v>1</v>
      </c>
      <c r="F84" s="7">
        <v>1</v>
      </c>
      <c r="G84" s="7">
        <v>1</v>
      </c>
      <c r="H84" s="8" t="s">
        <v>537</v>
      </c>
      <c r="I84" s="8" t="s">
        <v>538</v>
      </c>
      <c r="J84" s="8" t="s">
        <v>539</v>
      </c>
      <c r="K84" s="8" t="s">
        <v>540</v>
      </c>
      <c r="L84" s="8" t="s">
        <v>541</v>
      </c>
      <c r="M84" s="4">
        <f>COUNTIF(TeamHero生成!$J$5:$J$504,$C84)</f>
        <v>5</v>
      </c>
      <c r="N84" s="4" t="str">
        <f t="shared" si="2"/>
        <v>有效</v>
      </c>
      <c r="O84" s="4" t="str">
        <f t="shared" si="3"/>
        <v/>
      </c>
      <c r="P84" s="4" t="s">
        <v>542</v>
      </c>
    </row>
    <row r="85" ht="14.25" customHeight="1" spans="1:16">
      <c r="A85" s="4" t="s">
        <v>61</v>
      </c>
      <c r="B85" s="4">
        <v>81</v>
      </c>
      <c r="C85" s="4">
        <v>81</v>
      </c>
      <c r="D85" s="7">
        <v>350</v>
      </c>
      <c r="E85" s="7">
        <v>1</v>
      </c>
      <c r="F85" s="7">
        <v>1</v>
      </c>
      <c r="G85" s="7">
        <v>1</v>
      </c>
      <c r="H85" s="8" t="s">
        <v>543</v>
      </c>
      <c r="I85" s="8" t="s">
        <v>544</v>
      </c>
      <c r="J85" s="8" t="s">
        <v>545</v>
      </c>
      <c r="K85" s="8" t="s">
        <v>546</v>
      </c>
      <c r="L85" s="8" t="s">
        <v>547</v>
      </c>
      <c r="M85" s="4">
        <f>COUNTIF(TeamHero生成!$J$5:$J$504,$C85)</f>
        <v>5</v>
      </c>
      <c r="N85" s="4" t="str">
        <f t="shared" si="2"/>
        <v>有效</v>
      </c>
      <c r="O85" s="4" t="str">
        <f t="shared" si="3"/>
        <v/>
      </c>
      <c r="P85" s="4" t="s">
        <v>548</v>
      </c>
    </row>
    <row r="86" ht="14.25" customHeight="1" spans="1:16">
      <c r="A86" s="4" t="s">
        <v>61</v>
      </c>
      <c r="B86" s="4">
        <v>82</v>
      </c>
      <c r="C86" s="4">
        <v>82</v>
      </c>
      <c r="D86" s="7">
        <v>351</v>
      </c>
      <c r="E86" s="7">
        <v>1</v>
      </c>
      <c r="F86" s="7">
        <v>1</v>
      </c>
      <c r="G86" s="7">
        <v>1</v>
      </c>
      <c r="H86" s="8" t="s">
        <v>549</v>
      </c>
      <c r="I86" s="8" t="s">
        <v>550</v>
      </c>
      <c r="J86" s="8" t="s">
        <v>551</v>
      </c>
      <c r="K86" s="8" t="s">
        <v>552</v>
      </c>
      <c r="L86" s="8" t="s">
        <v>553</v>
      </c>
      <c r="M86" s="4">
        <f>COUNTIF(TeamHero生成!$J$5:$J$504,$C86)</f>
        <v>5</v>
      </c>
      <c r="N86" s="4" t="str">
        <f t="shared" si="2"/>
        <v>有效</v>
      </c>
      <c r="O86" s="4" t="str">
        <f t="shared" si="3"/>
        <v/>
      </c>
      <c r="P86" s="4" t="s">
        <v>554</v>
      </c>
    </row>
    <row r="87" ht="14.25" customHeight="1" spans="1:16">
      <c r="A87" s="4" t="s">
        <v>61</v>
      </c>
      <c r="B87" s="4">
        <v>83</v>
      </c>
      <c r="C87" s="4">
        <v>83</v>
      </c>
      <c r="D87" s="7">
        <v>352</v>
      </c>
      <c r="E87" s="7">
        <v>1</v>
      </c>
      <c r="F87" s="7">
        <v>1</v>
      </c>
      <c r="G87" s="7">
        <v>1</v>
      </c>
      <c r="H87" s="8" t="s">
        <v>555</v>
      </c>
      <c r="I87" s="8" t="s">
        <v>556</v>
      </c>
      <c r="J87" s="8" t="s">
        <v>557</v>
      </c>
      <c r="K87" s="8" t="s">
        <v>558</v>
      </c>
      <c r="L87" s="8" t="s">
        <v>559</v>
      </c>
      <c r="M87" s="4">
        <f>COUNTIF(TeamHero生成!$J$5:$J$504,$C87)</f>
        <v>5</v>
      </c>
      <c r="N87" s="4" t="str">
        <f t="shared" si="2"/>
        <v>有效</v>
      </c>
      <c r="O87" s="4" t="str">
        <f t="shared" si="3"/>
        <v/>
      </c>
      <c r="P87" s="4" t="s">
        <v>560</v>
      </c>
    </row>
    <row r="88" ht="14.25" customHeight="1" spans="1:16">
      <c r="A88" s="4" t="s">
        <v>61</v>
      </c>
      <c r="B88" s="4">
        <v>84</v>
      </c>
      <c r="C88" s="4">
        <v>84</v>
      </c>
      <c r="D88" s="7">
        <v>353</v>
      </c>
      <c r="E88" s="7">
        <v>1</v>
      </c>
      <c r="F88" s="7">
        <v>1</v>
      </c>
      <c r="G88" s="7">
        <v>1</v>
      </c>
      <c r="H88" s="8" t="s">
        <v>561</v>
      </c>
      <c r="I88" s="8" t="s">
        <v>562</v>
      </c>
      <c r="J88" s="8" t="s">
        <v>563</v>
      </c>
      <c r="K88" s="8" t="s">
        <v>564</v>
      </c>
      <c r="L88" s="8" t="s">
        <v>565</v>
      </c>
      <c r="M88" s="4">
        <f>COUNTIF(TeamHero生成!$J$5:$J$504,$C88)</f>
        <v>5</v>
      </c>
      <c r="N88" s="4" t="str">
        <f t="shared" si="2"/>
        <v>有效</v>
      </c>
      <c r="O88" s="4" t="str">
        <f t="shared" si="3"/>
        <v/>
      </c>
      <c r="P88" s="4" t="s">
        <v>566</v>
      </c>
    </row>
    <row r="89" ht="14.25" customHeight="1" spans="1:16">
      <c r="A89" s="4" t="s">
        <v>61</v>
      </c>
      <c r="B89" s="4">
        <v>85</v>
      </c>
      <c r="C89" s="4">
        <v>85</v>
      </c>
      <c r="D89" s="7">
        <v>354</v>
      </c>
      <c r="E89" s="7">
        <v>1</v>
      </c>
      <c r="F89" s="7">
        <v>1</v>
      </c>
      <c r="G89" s="7">
        <v>1</v>
      </c>
      <c r="H89" s="8" t="s">
        <v>567</v>
      </c>
      <c r="I89" s="8" t="s">
        <v>568</v>
      </c>
      <c r="J89" s="8" t="s">
        <v>569</v>
      </c>
      <c r="K89" s="8" t="s">
        <v>570</v>
      </c>
      <c r="L89" s="8" t="s">
        <v>571</v>
      </c>
      <c r="M89" s="4">
        <f>COUNTIF(TeamHero生成!$J$5:$J$504,$C89)</f>
        <v>5</v>
      </c>
      <c r="N89" s="4" t="str">
        <f t="shared" si="2"/>
        <v>有效</v>
      </c>
      <c r="O89" s="4" t="str">
        <f t="shared" si="3"/>
        <v/>
      </c>
      <c r="P89" s="4" t="s">
        <v>572</v>
      </c>
    </row>
    <row r="90" ht="14.25" customHeight="1" spans="1:16">
      <c r="A90" s="4" t="s">
        <v>61</v>
      </c>
      <c r="B90" s="4">
        <v>86</v>
      </c>
      <c r="C90" s="4">
        <v>86</v>
      </c>
      <c r="D90" s="7">
        <v>355</v>
      </c>
      <c r="E90" s="7">
        <v>1</v>
      </c>
      <c r="F90" s="7">
        <v>1</v>
      </c>
      <c r="G90" s="7">
        <v>1</v>
      </c>
      <c r="H90" s="8" t="s">
        <v>573</v>
      </c>
      <c r="I90" s="8" t="s">
        <v>574</v>
      </c>
      <c r="J90" s="8" t="s">
        <v>575</v>
      </c>
      <c r="K90" s="8" t="s">
        <v>576</v>
      </c>
      <c r="L90" s="8" t="s">
        <v>577</v>
      </c>
      <c r="M90" s="4">
        <f>COUNTIF(TeamHero生成!$J$5:$J$504,$C90)</f>
        <v>5</v>
      </c>
      <c r="N90" s="4" t="str">
        <f t="shared" si="2"/>
        <v>有效</v>
      </c>
      <c r="O90" s="4" t="str">
        <f t="shared" si="3"/>
        <v/>
      </c>
      <c r="P90" s="4" t="s">
        <v>578</v>
      </c>
    </row>
    <row r="91" ht="14.25" customHeight="1" spans="1:16">
      <c r="A91" s="4" t="s">
        <v>61</v>
      </c>
      <c r="B91" s="4">
        <v>87</v>
      </c>
      <c r="C91" s="4">
        <v>87</v>
      </c>
      <c r="D91" s="7">
        <v>356</v>
      </c>
      <c r="E91" s="7">
        <v>1</v>
      </c>
      <c r="F91" s="7">
        <v>1</v>
      </c>
      <c r="G91" s="7">
        <v>1</v>
      </c>
      <c r="H91" s="8" t="s">
        <v>579</v>
      </c>
      <c r="I91" s="8" t="s">
        <v>580</v>
      </c>
      <c r="J91" s="8" t="s">
        <v>581</v>
      </c>
      <c r="K91" s="8" t="s">
        <v>582</v>
      </c>
      <c r="L91" s="8" t="s">
        <v>583</v>
      </c>
      <c r="M91" s="4">
        <f>COUNTIF(TeamHero生成!$J$5:$J$504,$C91)</f>
        <v>5</v>
      </c>
      <c r="N91" s="4" t="str">
        <f t="shared" si="2"/>
        <v>有效</v>
      </c>
      <c r="O91" s="4" t="str">
        <f t="shared" si="3"/>
        <v/>
      </c>
      <c r="P91" s="4" t="s">
        <v>584</v>
      </c>
    </row>
    <row r="92" ht="14.25" customHeight="1" spans="1:16">
      <c r="A92" s="4" t="s">
        <v>61</v>
      </c>
      <c r="B92" s="4">
        <v>88</v>
      </c>
      <c r="C92" s="4">
        <v>88</v>
      </c>
      <c r="D92" s="7">
        <v>357</v>
      </c>
      <c r="E92" s="7">
        <v>1</v>
      </c>
      <c r="F92" s="7">
        <v>1</v>
      </c>
      <c r="G92" s="7">
        <v>1</v>
      </c>
      <c r="H92" s="8" t="s">
        <v>585</v>
      </c>
      <c r="I92" s="8" t="s">
        <v>586</v>
      </c>
      <c r="J92" s="8" t="s">
        <v>587</v>
      </c>
      <c r="K92" s="8" t="s">
        <v>588</v>
      </c>
      <c r="L92" s="8" t="s">
        <v>589</v>
      </c>
      <c r="M92" s="4">
        <f>COUNTIF(TeamHero生成!$J$5:$J$504,$C92)</f>
        <v>5</v>
      </c>
      <c r="N92" s="4" t="str">
        <f t="shared" si="2"/>
        <v>有效</v>
      </c>
      <c r="O92" s="4" t="str">
        <f t="shared" si="3"/>
        <v/>
      </c>
      <c r="P92" s="4" t="s">
        <v>590</v>
      </c>
    </row>
    <row r="93" ht="14.25" customHeight="1" spans="1:16">
      <c r="A93" s="4" t="s">
        <v>61</v>
      </c>
      <c r="B93" s="4">
        <v>89</v>
      </c>
      <c r="C93" s="4">
        <v>89</v>
      </c>
      <c r="D93" s="7">
        <v>358</v>
      </c>
      <c r="E93" s="7">
        <v>1</v>
      </c>
      <c r="F93" s="7">
        <v>1</v>
      </c>
      <c r="G93" s="7">
        <v>1</v>
      </c>
      <c r="H93" s="8" t="s">
        <v>591</v>
      </c>
      <c r="I93" s="8" t="s">
        <v>592</v>
      </c>
      <c r="J93" s="8" t="s">
        <v>593</v>
      </c>
      <c r="K93" s="8" t="s">
        <v>594</v>
      </c>
      <c r="L93" s="8" t="s">
        <v>595</v>
      </c>
      <c r="M93" s="4">
        <f>COUNTIF(TeamHero生成!$J$5:$J$504,$C93)</f>
        <v>5</v>
      </c>
      <c r="N93" s="4" t="str">
        <f t="shared" si="2"/>
        <v>有效</v>
      </c>
      <c r="O93" s="4" t="str">
        <f t="shared" si="3"/>
        <v/>
      </c>
      <c r="P93" s="4" t="s">
        <v>596</v>
      </c>
    </row>
    <row r="94" ht="14.25" customHeight="1" spans="1:16">
      <c r="A94" s="4" t="s">
        <v>61</v>
      </c>
      <c r="B94" s="4">
        <v>90</v>
      </c>
      <c r="C94" s="4">
        <v>90</v>
      </c>
      <c r="D94" s="7">
        <v>360</v>
      </c>
      <c r="E94" s="7">
        <v>1</v>
      </c>
      <c r="F94" s="7">
        <v>1</v>
      </c>
      <c r="G94" s="7">
        <v>1</v>
      </c>
      <c r="H94" s="8" t="s">
        <v>597</v>
      </c>
      <c r="I94" s="8" t="s">
        <v>598</v>
      </c>
      <c r="J94" s="8" t="s">
        <v>599</v>
      </c>
      <c r="K94" s="8" t="s">
        <v>600</v>
      </c>
      <c r="L94" s="8" t="s">
        <v>601</v>
      </c>
      <c r="M94" s="4">
        <f>COUNTIF(TeamHero生成!$J$5:$J$504,$C94)</f>
        <v>5</v>
      </c>
      <c r="N94" s="4" t="str">
        <f t="shared" si="2"/>
        <v>有效</v>
      </c>
      <c r="O94" s="4" t="str">
        <f t="shared" si="3"/>
        <v/>
      </c>
      <c r="P94" s="4" t="s">
        <v>602</v>
      </c>
    </row>
    <row r="95" ht="14.25" customHeight="1" spans="1:16">
      <c r="A95" s="4" t="s">
        <v>61</v>
      </c>
      <c r="B95" s="4">
        <v>91</v>
      </c>
      <c r="C95" s="4">
        <v>91</v>
      </c>
      <c r="D95" s="7">
        <v>361</v>
      </c>
      <c r="E95" s="7">
        <v>1</v>
      </c>
      <c r="F95" s="7">
        <v>1</v>
      </c>
      <c r="G95" s="7">
        <v>1</v>
      </c>
      <c r="H95" s="8" t="s">
        <v>603</v>
      </c>
      <c r="I95" s="8" t="s">
        <v>604</v>
      </c>
      <c r="J95" s="8" t="s">
        <v>605</v>
      </c>
      <c r="K95" s="8" t="s">
        <v>606</v>
      </c>
      <c r="L95" s="8" t="s">
        <v>607</v>
      </c>
      <c r="M95" s="4">
        <f>COUNTIF(TeamHero生成!$J$5:$J$504,$C95)</f>
        <v>5</v>
      </c>
      <c r="N95" s="4" t="str">
        <f t="shared" si="2"/>
        <v>有效</v>
      </c>
      <c r="O95" s="4" t="str">
        <f t="shared" si="3"/>
        <v/>
      </c>
      <c r="P95" s="4" t="s">
        <v>608</v>
      </c>
    </row>
    <row r="96" ht="14.25" customHeight="1" spans="1:16">
      <c r="A96" s="4" t="s">
        <v>61</v>
      </c>
      <c r="B96" s="4">
        <v>92</v>
      </c>
      <c r="C96" s="4">
        <v>92</v>
      </c>
      <c r="D96" s="7">
        <v>361</v>
      </c>
      <c r="E96" s="7">
        <v>1</v>
      </c>
      <c r="F96" s="7">
        <v>1</v>
      </c>
      <c r="G96" s="7">
        <v>1</v>
      </c>
      <c r="H96" s="8" t="s">
        <v>609</v>
      </c>
      <c r="I96" s="8" t="s">
        <v>610</v>
      </c>
      <c r="J96" s="8" t="s">
        <v>611</v>
      </c>
      <c r="K96" s="8" t="s">
        <v>612</v>
      </c>
      <c r="L96" s="8" t="s">
        <v>613</v>
      </c>
      <c r="M96" s="4">
        <f>COUNTIF(TeamHero生成!$J$5:$J$504,$C96)</f>
        <v>5</v>
      </c>
      <c r="N96" s="4" t="str">
        <f t="shared" si="2"/>
        <v>有效</v>
      </c>
      <c r="O96" s="4" t="str">
        <f t="shared" si="3"/>
        <v/>
      </c>
      <c r="P96" s="4" t="s">
        <v>608</v>
      </c>
    </row>
    <row r="97" ht="14.25" customHeight="1" spans="1:16">
      <c r="A97" s="4" t="s">
        <v>61</v>
      </c>
      <c r="B97" s="4">
        <v>93</v>
      </c>
      <c r="C97" s="4">
        <v>93</v>
      </c>
      <c r="D97" s="7">
        <v>363</v>
      </c>
      <c r="E97" s="7">
        <v>1</v>
      </c>
      <c r="F97" s="7">
        <v>1</v>
      </c>
      <c r="G97" s="7">
        <v>1</v>
      </c>
      <c r="H97" s="8" t="s">
        <v>614</v>
      </c>
      <c r="I97" s="8" t="s">
        <v>615</v>
      </c>
      <c r="J97" s="8" t="s">
        <v>616</v>
      </c>
      <c r="K97" s="8" t="s">
        <v>617</v>
      </c>
      <c r="L97" s="8" t="s">
        <v>618</v>
      </c>
      <c r="M97" s="4">
        <f>COUNTIF(TeamHero生成!$J$5:$J$504,$C97)</f>
        <v>5</v>
      </c>
      <c r="N97" s="4" t="str">
        <f t="shared" si="2"/>
        <v>有效</v>
      </c>
      <c r="O97" s="4" t="str">
        <f t="shared" si="3"/>
        <v/>
      </c>
      <c r="P97" s="4" t="s">
        <v>619</v>
      </c>
    </row>
    <row r="98" ht="14.25" customHeight="1" spans="1:16">
      <c r="A98" s="4" t="s">
        <v>61</v>
      </c>
      <c r="B98" s="4">
        <v>94</v>
      </c>
      <c r="C98" s="4">
        <v>94</v>
      </c>
      <c r="D98" s="7">
        <v>364</v>
      </c>
      <c r="E98" s="7">
        <v>1</v>
      </c>
      <c r="F98" s="7">
        <v>1</v>
      </c>
      <c r="G98" s="7">
        <v>1</v>
      </c>
      <c r="H98" s="8" t="s">
        <v>620</v>
      </c>
      <c r="I98" s="8" t="s">
        <v>621</v>
      </c>
      <c r="J98" s="8" t="s">
        <v>622</v>
      </c>
      <c r="K98" s="8" t="s">
        <v>623</v>
      </c>
      <c r="L98" s="8" t="s">
        <v>624</v>
      </c>
      <c r="M98" s="4">
        <f>COUNTIF(TeamHero生成!$J$5:$J$504,$C98)</f>
        <v>5</v>
      </c>
      <c r="N98" s="4" t="str">
        <f t="shared" si="2"/>
        <v>有效</v>
      </c>
      <c r="O98" s="4" t="str">
        <f t="shared" si="3"/>
        <v/>
      </c>
      <c r="P98" s="4" t="s">
        <v>625</v>
      </c>
    </row>
    <row r="99" ht="14.25" customHeight="1" spans="1:16">
      <c r="A99" s="4" t="s">
        <v>61</v>
      </c>
      <c r="B99" s="4">
        <v>95</v>
      </c>
      <c r="C99" s="4">
        <v>95</v>
      </c>
      <c r="D99" s="7">
        <v>365</v>
      </c>
      <c r="E99" s="7">
        <v>1</v>
      </c>
      <c r="F99" s="7">
        <v>1</v>
      </c>
      <c r="G99" s="7">
        <v>1</v>
      </c>
      <c r="H99" s="8" t="s">
        <v>626</v>
      </c>
      <c r="I99" s="8" t="s">
        <v>627</v>
      </c>
      <c r="J99" s="8" t="s">
        <v>628</v>
      </c>
      <c r="K99" s="8" t="s">
        <v>629</v>
      </c>
      <c r="L99" s="8" t="s">
        <v>630</v>
      </c>
      <c r="M99" s="4">
        <f>COUNTIF(TeamHero生成!$J$5:$J$504,$C99)</f>
        <v>5</v>
      </c>
      <c r="N99" s="4" t="str">
        <f t="shared" si="2"/>
        <v>有效</v>
      </c>
      <c r="O99" s="4" t="str">
        <f t="shared" si="3"/>
        <v/>
      </c>
      <c r="P99" s="4" t="s">
        <v>631</v>
      </c>
    </row>
    <row r="100" ht="14.25" customHeight="1" spans="1:16">
      <c r="A100" s="4" t="s">
        <v>61</v>
      </c>
      <c r="B100" s="4">
        <v>96</v>
      </c>
      <c r="C100" s="4">
        <v>96</v>
      </c>
      <c r="D100" s="7">
        <v>366</v>
      </c>
      <c r="E100" s="7">
        <v>1</v>
      </c>
      <c r="F100" s="7">
        <v>1</v>
      </c>
      <c r="G100" s="7">
        <v>1</v>
      </c>
      <c r="H100" s="8" t="s">
        <v>632</v>
      </c>
      <c r="I100" s="8" t="s">
        <v>633</v>
      </c>
      <c r="J100" s="8" t="s">
        <v>634</v>
      </c>
      <c r="K100" s="8" t="s">
        <v>635</v>
      </c>
      <c r="L100" s="8" t="s">
        <v>636</v>
      </c>
      <c r="M100" s="4">
        <f>COUNTIF(TeamHero生成!$J$5:$J$504,$C100)</f>
        <v>5</v>
      </c>
      <c r="N100" s="4" t="str">
        <f t="shared" si="2"/>
        <v>有效</v>
      </c>
      <c r="O100" s="4" t="str">
        <f t="shared" si="3"/>
        <v/>
      </c>
      <c r="P100" s="4" t="s">
        <v>637</v>
      </c>
    </row>
    <row r="101" ht="14.25" customHeight="1" spans="1:16">
      <c r="A101" s="4" t="s">
        <v>61</v>
      </c>
      <c r="B101" s="4">
        <v>97</v>
      </c>
      <c r="C101" s="4">
        <v>97</v>
      </c>
      <c r="D101" s="7">
        <v>367</v>
      </c>
      <c r="E101" s="7">
        <v>1</v>
      </c>
      <c r="F101" s="7">
        <v>1</v>
      </c>
      <c r="G101" s="7">
        <v>1</v>
      </c>
      <c r="H101" s="8" t="s">
        <v>638</v>
      </c>
      <c r="I101" s="8" t="s">
        <v>639</v>
      </c>
      <c r="J101" s="8" t="s">
        <v>640</v>
      </c>
      <c r="K101" s="8" t="s">
        <v>641</v>
      </c>
      <c r="L101" s="8" t="s">
        <v>642</v>
      </c>
      <c r="M101" s="4">
        <f>COUNTIF(TeamHero生成!$J$5:$J$504,$C101)</f>
        <v>5</v>
      </c>
      <c r="N101" s="4" t="str">
        <f t="shared" si="2"/>
        <v>有效</v>
      </c>
      <c r="O101" s="4" t="str">
        <f t="shared" si="3"/>
        <v/>
      </c>
      <c r="P101" s="4" t="s">
        <v>643</v>
      </c>
    </row>
    <row r="102" ht="14.25" customHeight="1" spans="1:16">
      <c r="A102" s="4" t="s">
        <v>61</v>
      </c>
      <c r="B102" s="4">
        <v>98</v>
      </c>
      <c r="C102" s="4">
        <v>98</v>
      </c>
      <c r="D102" s="7">
        <v>368</v>
      </c>
      <c r="E102" s="7">
        <v>1</v>
      </c>
      <c r="F102" s="7">
        <v>1</v>
      </c>
      <c r="G102" s="7">
        <v>1</v>
      </c>
      <c r="H102" s="8" t="s">
        <v>644</v>
      </c>
      <c r="I102" s="8" t="s">
        <v>645</v>
      </c>
      <c r="J102" s="8" t="s">
        <v>646</v>
      </c>
      <c r="K102" s="8" t="s">
        <v>647</v>
      </c>
      <c r="L102" s="8" t="s">
        <v>648</v>
      </c>
      <c r="M102" s="4">
        <f>COUNTIF(TeamHero生成!$J$5:$J$504,$C102)</f>
        <v>5</v>
      </c>
      <c r="N102" s="4" t="str">
        <f t="shared" si="2"/>
        <v>有效</v>
      </c>
      <c r="O102" s="4" t="str">
        <f t="shared" si="3"/>
        <v/>
      </c>
      <c r="P102" s="4" t="s">
        <v>649</v>
      </c>
    </row>
    <row r="103" ht="14.25" customHeight="1" spans="1:16">
      <c r="A103" s="4" t="s">
        <v>61</v>
      </c>
      <c r="B103" s="4">
        <v>99</v>
      </c>
      <c r="C103" s="4">
        <v>99</v>
      </c>
      <c r="D103" s="7">
        <v>370</v>
      </c>
      <c r="E103" s="7">
        <v>1</v>
      </c>
      <c r="F103" s="7">
        <v>1</v>
      </c>
      <c r="G103" s="7">
        <v>1</v>
      </c>
      <c r="H103" s="8" t="s">
        <v>650</v>
      </c>
      <c r="I103" s="8" t="s">
        <v>651</v>
      </c>
      <c r="J103" s="8" t="s">
        <v>652</v>
      </c>
      <c r="K103" s="8" t="s">
        <v>653</v>
      </c>
      <c r="L103" s="8" t="s">
        <v>654</v>
      </c>
      <c r="M103" s="4">
        <f>COUNTIF(TeamHero生成!$J$5:$J$504,$C103)</f>
        <v>5</v>
      </c>
      <c r="N103" s="4" t="str">
        <f t="shared" si="2"/>
        <v>有效</v>
      </c>
      <c r="O103" s="4" t="str">
        <f t="shared" si="3"/>
        <v/>
      </c>
      <c r="P103" s="4" t="s">
        <v>655</v>
      </c>
    </row>
    <row r="104" ht="14.25" customHeight="1" spans="1:16">
      <c r="A104" s="4" t="s">
        <v>61</v>
      </c>
      <c r="B104" s="4">
        <v>100</v>
      </c>
      <c r="C104" s="4">
        <v>100</v>
      </c>
      <c r="D104" s="7">
        <v>370</v>
      </c>
      <c r="E104" s="7">
        <v>1</v>
      </c>
      <c r="F104" s="7">
        <v>1</v>
      </c>
      <c r="G104" s="7">
        <v>1</v>
      </c>
      <c r="H104" s="8" t="s">
        <v>656</v>
      </c>
      <c r="I104" s="8" t="s">
        <v>657</v>
      </c>
      <c r="J104" s="8" t="s">
        <v>658</v>
      </c>
      <c r="K104" s="8" t="s">
        <v>659</v>
      </c>
      <c r="L104" s="8" t="s">
        <v>660</v>
      </c>
      <c r="M104" s="4">
        <f>COUNTIF(TeamHero生成!$J$5:$J$504,$C104)</f>
        <v>5</v>
      </c>
      <c r="N104" s="4" t="str">
        <f t="shared" si="2"/>
        <v>有效</v>
      </c>
      <c r="O104" s="4" t="str">
        <f t="shared" si="3"/>
        <v/>
      </c>
      <c r="P104" s="4" t="s">
        <v>655</v>
      </c>
    </row>
  </sheetData>
  <autoFilter xmlns:etc="http://www.wps.cn/officeDocument/2017/etCustomData" ref="A4:P104" etc:filterBottomFollowUsedRange="0">
    <extLst/>
  </autoFilter>
  <mergeCells count="2">
    <mergeCell ref="A1:P1"/>
    <mergeCell ref="A2:P2"/>
  </mergeCells>
  <conditionalFormatting sqref="N5:N104">
    <cfRule type="expression" dxfId="0" priority="1">
      <formula>$N5="无效"</formula>
    </cfRule>
  </conditionalFormatting>
  <conditionalFormatting sqref="O5:O104">
    <cfRule type="expression" dxfId="0" priority="2">
      <formula>$O5="下降"</formula>
    </cfRule>
  </conditionalFormatting>
  <dataValidations count="2">
    <dataValidation type="whole" operator="between" errorTitle="等级无效" error="难度等级必须是1～500的整数" sqref="D5:D104">
      <formula1>1</formula1>
      <formula2>500</formula2>
    </dataValidation>
    <dataValidation type="decimal" operator="between" errorTitle="倍率无效" error="倍率必须在0.01～10之间" sqref="E5:G104">
      <formula1>0.01</formula1>
      <formula2>10</formula2>
    </dataValidation>
  </dataValidations>
  <pageMargins left="0.25" right="0.25" top="0.5" bottom="0.5" header="0.5" footer="0.5"/>
  <pageSetup paperSize="1" fitToHeight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501"/>
  <sheetViews>
    <sheetView workbookViewId="0">
      <selection activeCell="A1" sqref="A1"/>
    </sheetView>
  </sheetViews>
  <sheetFormatPr defaultColWidth="9" defaultRowHeight="13.5" outlineLevelCol="4"/>
  <sheetData>
    <row r="1" spans="1:5">
      <c r="A1" t="s">
        <v>661</v>
      </c>
      <c r="B1" t="s">
        <v>662</v>
      </c>
      <c r="C1" t="s">
        <v>663</v>
      </c>
      <c r="D1" t="s">
        <v>664</v>
      </c>
      <c r="E1" t="s">
        <v>25</v>
      </c>
    </row>
    <row r="2" spans="1:5">
      <c r="A2">
        <v>1</v>
      </c>
      <c r="B2">
        <v>79</v>
      </c>
      <c r="C2">
        <v>34</v>
      </c>
      <c r="D2">
        <v>56</v>
      </c>
      <c r="E2" t="s">
        <v>665</v>
      </c>
    </row>
    <row r="3" spans="1:5">
      <c r="A3">
        <v>2</v>
      </c>
      <c r="B3">
        <v>163</v>
      </c>
      <c r="C3">
        <v>67</v>
      </c>
      <c r="D3">
        <v>112</v>
      </c>
      <c r="E3" t="s">
        <v>665</v>
      </c>
    </row>
    <row r="4" spans="1:5">
      <c r="A4">
        <v>3</v>
      </c>
      <c r="B4">
        <v>251</v>
      </c>
      <c r="C4">
        <v>101</v>
      </c>
      <c r="D4">
        <v>168</v>
      </c>
      <c r="E4" t="s">
        <v>665</v>
      </c>
    </row>
    <row r="5" spans="1:5">
      <c r="A5">
        <v>4</v>
      </c>
      <c r="B5">
        <v>344</v>
      </c>
      <c r="C5">
        <v>135</v>
      </c>
      <c r="D5">
        <v>225</v>
      </c>
      <c r="E5" t="s">
        <v>665</v>
      </c>
    </row>
    <row r="6" spans="1:5">
      <c r="A6">
        <v>5</v>
      </c>
      <c r="B6">
        <v>442</v>
      </c>
      <c r="C6">
        <v>170</v>
      </c>
      <c r="D6">
        <v>282</v>
      </c>
      <c r="E6" t="s">
        <v>665</v>
      </c>
    </row>
    <row r="7" spans="1:5">
      <c r="A7">
        <v>6</v>
      </c>
      <c r="B7">
        <v>544</v>
      </c>
      <c r="C7">
        <v>204</v>
      </c>
      <c r="D7">
        <v>339</v>
      </c>
      <c r="E7" t="s">
        <v>665</v>
      </c>
    </row>
    <row r="8" spans="1:5">
      <c r="A8">
        <v>7</v>
      </c>
      <c r="B8">
        <v>650</v>
      </c>
      <c r="C8">
        <v>239</v>
      </c>
      <c r="D8">
        <v>396</v>
      </c>
      <c r="E8" t="s">
        <v>665</v>
      </c>
    </row>
    <row r="9" spans="1:5">
      <c r="A9">
        <v>8</v>
      </c>
      <c r="B9">
        <v>761</v>
      </c>
      <c r="C9">
        <v>274</v>
      </c>
      <c r="D9">
        <v>454</v>
      </c>
      <c r="E9" t="s">
        <v>665</v>
      </c>
    </row>
    <row r="10" spans="1:5">
      <c r="A10">
        <v>9</v>
      </c>
      <c r="B10">
        <v>876</v>
      </c>
      <c r="C10">
        <v>309</v>
      </c>
      <c r="D10">
        <v>512</v>
      </c>
      <c r="E10" t="s">
        <v>665</v>
      </c>
    </row>
    <row r="11" spans="1:5">
      <c r="A11">
        <v>10</v>
      </c>
      <c r="B11">
        <v>996</v>
      </c>
      <c r="C11">
        <v>344</v>
      </c>
      <c r="D11">
        <v>570</v>
      </c>
      <c r="E11" t="s">
        <v>665</v>
      </c>
    </row>
    <row r="12" spans="1:5">
      <c r="A12">
        <v>11</v>
      </c>
      <c r="B12">
        <v>1120</v>
      </c>
      <c r="C12">
        <v>379</v>
      </c>
      <c r="D12">
        <v>628</v>
      </c>
      <c r="E12" t="s">
        <v>665</v>
      </c>
    </row>
    <row r="13" spans="1:5">
      <c r="A13">
        <v>12</v>
      </c>
      <c r="B13">
        <v>1248</v>
      </c>
      <c r="C13">
        <v>415</v>
      </c>
      <c r="D13">
        <v>686</v>
      </c>
      <c r="E13" t="s">
        <v>665</v>
      </c>
    </row>
    <row r="14" spans="1:5">
      <c r="A14">
        <v>13</v>
      </c>
      <c r="B14">
        <v>1381</v>
      </c>
      <c r="C14">
        <v>451</v>
      </c>
      <c r="D14">
        <v>745</v>
      </c>
      <c r="E14" t="s">
        <v>665</v>
      </c>
    </row>
    <row r="15" spans="1:5">
      <c r="A15">
        <v>14</v>
      </c>
      <c r="B15">
        <v>1518</v>
      </c>
      <c r="C15">
        <v>487</v>
      </c>
      <c r="D15">
        <v>804</v>
      </c>
      <c r="E15" t="s">
        <v>665</v>
      </c>
    </row>
    <row r="16" spans="1:5">
      <c r="A16">
        <v>15</v>
      </c>
      <c r="B16">
        <v>1659</v>
      </c>
      <c r="C16">
        <v>523</v>
      </c>
      <c r="D16">
        <v>863</v>
      </c>
      <c r="E16" t="s">
        <v>665</v>
      </c>
    </row>
    <row r="17" spans="1:5">
      <c r="A17">
        <v>16</v>
      </c>
      <c r="B17">
        <v>1804</v>
      </c>
      <c r="C17">
        <v>559</v>
      </c>
      <c r="D17">
        <v>922</v>
      </c>
      <c r="E17" t="s">
        <v>665</v>
      </c>
    </row>
    <row r="18" spans="1:5">
      <c r="A18">
        <v>17</v>
      </c>
      <c r="B18">
        <v>1954</v>
      </c>
      <c r="C18">
        <v>596</v>
      </c>
      <c r="D18">
        <v>982</v>
      </c>
      <c r="E18" t="s">
        <v>665</v>
      </c>
    </row>
    <row r="19" spans="1:5">
      <c r="A19">
        <v>18</v>
      </c>
      <c r="B19">
        <v>2107</v>
      </c>
      <c r="C19">
        <v>632</v>
      </c>
      <c r="D19">
        <v>1041</v>
      </c>
      <c r="E19" t="s">
        <v>665</v>
      </c>
    </row>
    <row r="20" spans="1:5">
      <c r="A20">
        <v>19</v>
      </c>
      <c r="B20">
        <v>2265</v>
      </c>
      <c r="C20">
        <v>669</v>
      </c>
      <c r="D20">
        <v>1102</v>
      </c>
      <c r="E20" t="s">
        <v>665</v>
      </c>
    </row>
    <row r="21" spans="1:5">
      <c r="A21">
        <v>20</v>
      </c>
      <c r="B21">
        <v>2427</v>
      </c>
      <c r="C21">
        <v>706</v>
      </c>
      <c r="D21">
        <v>1162</v>
      </c>
      <c r="E21" t="s">
        <v>665</v>
      </c>
    </row>
    <row r="22" spans="1:5">
      <c r="A22">
        <v>21</v>
      </c>
      <c r="B22">
        <v>2594</v>
      </c>
      <c r="C22">
        <v>744</v>
      </c>
      <c r="D22">
        <v>1222</v>
      </c>
      <c r="E22" t="s">
        <v>665</v>
      </c>
    </row>
    <row r="23" spans="1:5">
      <c r="A23">
        <v>22</v>
      </c>
      <c r="B23">
        <v>2764</v>
      </c>
      <c r="C23">
        <v>781</v>
      </c>
      <c r="D23">
        <v>1283</v>
      </c>
      <c r="E23" t="s">
        <v>665</v>
      </c>
    </row>
    <row r="24" spans="1:5">
      <c r="A24">
        <v>23</v>
      </c>
      <c r="B24">
        <v>2939</v>
      </c>
      <c r="C24">
        <v>819</v>
      </c>
      <c r="D24">
        <v>1344</v>
      </c>
      <c r="E24" t="s">
        <v>665</v>
      </c>
    </row>
    <row r="25" spans="1:5">
      <c r="A25">
        <v>24</v>
      </c>
      <c r="B25">
        <v>3117</v>
      </c>
      <c r="C25">
        <v>857</v>
      </c>
      <c r="D25">
        <v>1405</v>
      </c>
      <c r="E25" t="s">
        <v>665</v>
      </c>
    </row>
    <row r="26" spans="1:5">
      <c r="A26">
        <v>25</v>
      </c>
      <c r="B26">
        <v>3300</v>
      </c>
      <c r="C26">
        <v>895</v>
      </c>
      <c r="D26">
        <v>1466</v>
      </c>
      <c r="E26" t="s">
        <v>665</v>
      </c>
    </row>
    <row r="27" spans="1:5">
      <c r="A27">
        <v>26</v>
      </c>
      <c r="B27">
        <v>3488</v>
      </c>
      <c r="C27">
        <v>933</v>
      </c>
      <c r="D27">
        <v>1528</v>
      </c>
      <c r="E27" t="s">
        <v>665</v>
      </c>
    </row>
    <row r="28" spans="1:5">
      <c r="A28">
        <v>27</v>
      </c>
      <c r="B28">
        <v>3679</v>
      </c>
      <c r="C28">
        <v>972</v>
      </c>
      <c r="D28">
        <v>1590</v>
      </c>
      <c r="E28" t="s">
        <v>665</v>
      </c>
    </row>
    <row r="29" spans="1:5">
      <c r="A29">
        <v>28</v>
      </c>
      <c r="B29">
        <v>3875</v>
      </c>
      <c r="C29">
        <v>1011</v>
      </c>
      <c r="D29">
        <v>1652</v>
      </c>
      <c r="E29" t="s">
        <v>665</v>
      </c>
    </row>
    <row r="30" spans="1:5">
      <c r="A30">
        <v>29</v>
      </c>
      <c r="B30">
        <v>4074</v>
      </c>
      <c r="C30">
        <v>1049</v>
      </c>
      <c r="D30">
        <v>1714</v>
      </c>
      <c r="E30" t="s">
        <v>665</v>
      </c>
    </row>
    <row r="31" spans="1:5">
      <c r="A31">
        <v>30</v>
      </c>
      <c r="B31">
        <v>4279</v>
      </c>
      <c r="C31">
        <v>1089</v>
      </c>
      <c r="D31">
        <v>1777</v>
      </c>
      <c r="E31" t="s">
        <v>665</v>
      </c>
    </row>
    <row r="32" spans="1:5">
      <c r="A32">
        <v>31</v>
      </c>
      <c r="B32">
        <v>4487</v>
      </c>
      <c r="C32">
        <v>1128</v>
      </c>
      <c r="D32">
        <v>1840</v>
      </c>
      <c r="E32" t="s">
        <v>665</v>
      </c>
    </row>
    <row r="33" spans="1:5">
      <c r="A33">
        <v>32</v>
      </c>
      <c r="B33">
        <v>4699</v>
      </c>
      <c r="C33">
        <v>1167</v>
      </c>
      <c r="D33">
        <v>1903</v>
      </c>
      <c r="E33" t="s">
        <v>665</v>
      </c>
    </row>
    <row r="34" spans="1:5">
      <c r="A34">
        <v>33</v>
      </c>
      <c r="B34">
        <v>4916</v>
      </c>
      <c r="C34">
        <v>1207</v>
      </c>
      <c r="D34">
        <v>1966</v>
      </c>
      <c r="E34" t="s">
        <v>665</v>
      </c>
    </row>
    <row r="35" spans="1:5">
      <c r="A35">
        <v>34</v>
      </c>
      <c r="B35">
        <v>5137</v>
      </c>
      <c r="C35">
        <v>1247</v>
      </c>
      <c r="D35">
        <v>2029</v>
      </c>
      <c r="E35" t="s">
        <v>665</v>
      </c>
    </row>
    <row r="36" spans="1:5">
      <c r="A36">
        <v>35</v>
      </c>
      <c r="B36">
        <v>5362</v>
      </c>
      <c r="C36">
        <v>1287</v>
      </c>
      <c r="D36">
        <v>2093</v>
      </c>
      <c r="E36" t="s">
        <v>665</v>
      </c>
    </row>
    <row r="37" spans="1:5">
      <c r="A37">
        <v>36</v>
      </c>
      <c r="B37">
        <v>5592</v>
      </c>
      <c r="C37">
        <v>1328</v>
      </c>
      <c r="D37">
        <v>2157</v>
      </c>
      <c r="E37" t="s">
        <v>665</v>
      </c>
    </row>
    <row r="38" spans="1:5">
      <c r="A38">
        <v>37</v>
      </c>
      <c r="B38">
        <v>5826</v>
      </c>
      <c r="C38">
        <v>1368</v>
      </c>
      <c r="D38">
        <v>2221</v>
      </c>
      <c r="E38" t="s">
        <v>665</v>
      </c>
    </row>
    <row r="39" spans="1:5">
      <c r="A39">
        <v>38</v>
      </c>
      <c r="B39">
        <v>6064</v>
      </c>
      <c r="C39">
        <v>1409</v>
      </c>
      <c r="D39">
        <v>2285</v>
      </c>
      <c r="E39" t="s">
        <v>665</v>
      </c>
    </row>
    <row r="40" spans="1:5">
      <c r="A40">
        <v>39</v>
      </c>
      <c r="B40">
        <v>6307</v>
      </c>
      <c r="C40">
        <v>1450</v>
      </c>
      <c r="D40">
        <v>2350</v>
      </c>
      <c r="E40" t="s">
        <v>665</v>
      </c>
    </row>
    <row r="41" spans="1:5">
      <c r="A41">
        <v>40</v>
      </c>
      <c r="B41">
        <v>6554</v>
      </c>
      <c r="C41">
        <v>1491</v>
      </c>
      <c r="D41">
        <v>2415</v>
      </c>
      <c r="E41" t="s">
        <v>665</v>
      </c>
    </row>
    <row r="42" spans="1:5">
      <c r="A42">
        <v>41</v>
      </c>
      <c r="B42">
        <v>6806</v>
      </c>
      <c r="C42">
        <v>1532</v>
      </c>
      <c r="D42">
        <v>2480</v>
      </c>
      <c r="E42" t="s">
        <v>665</v>
      </c>
    </row>
    <row r="43" spans="1:5">
      <c r="A43">
        <v>42</v>
      </c>
      <c r="B43">
        <v>7062</v>
      </c>
      <c r="C43">
        <v>1574</v>
      </c>
      <c r="D43">
        <v>2545</v>
      </c>
      <c r="E43" t="s">
        <v>665</v>
      </c>
    </row>
    <row r="44" spans="1:5">
      <c r="A44">
        <v>43</v>
      </c>
      <c r="B44">
        <v>7322</v>
      </c>
      <c r="C44">
        <v>1616</v>
      </c>
      <c r="D44">
        <v>2610</v>
      </c>
      <c r="E44" t="s">
        <v>665</v>
      </c>
    </row>
    <row r="45" spans="1:5">
      <c r="A45">
        <v>44</v>
      </c>
      <c r="B45">
        <v>7588</v>
      </c>
      <c r="C45">
        <v>1658</v>
      </c>
      <c r="D45">
        <v>2676</v>
      </c>
      <c r="E45" t="s">
        <v>665</v>
      </c>
    </row>
    <row r="46" spans="1:5">
      <c r="A46">
        <v>45</v>
      </c>
      <c r="B46">
        <v>7857</v>
      </c>
      <c r="C46">
        <v>1700</v>
      </c>
      <c r="D46">
        <v>2742</v>
      </c>
      <c r="E46" t="s">
        <v>665</v>
      </c>
    </row>
    <row r="47" spans="1:5">
      <c r="A47">
        <v>46</v>
      </c>
      <c r="B47">
        <v>8131</v>
      </c>
      <c r="C47">
        <v>1742</v>
      </c>
      <c r="D47">
        <v>2808</v>
      </c>
      <c r="E47" t="s">
        <v>665</v>
      </c>
    </row>
    <row r="48" spans="1:5">
      <c r="A48">
        <v>47</v>
      </c>
      <c r="B48">
        <v>8410</v>
      </c>
      <c r="C48">
        <v>1785</v>
      </c>
      <c r="D48">
        <v>2875</v>
      </c>
      <c r="E48" t="s">
        <v>665</v>
      </c>
    </row>
    <row r="49" spans="1:5">
      <c r="A49">
        <v>48</v>
      </c>
      <c r="B49">
        <v>8693</v>
      </c>
      <c r="C49">
        <v>1828</v>
      </c>
      <c r="D49">
        <v>2941</v>
      </c>
      <c r="E49" t="s">
        <v>665</v>
      </c>
    </row>
    <row r="50" spans="1:5">
      <c r="A50">
        <v>49</v>
      </c>
      <c r="B50">
        <v>8982</v>
      </c>
      <c r="C50">
        <v>1871</v>
      </c>
      <c r="D50">
        <v>3008</v>
      </c>
      <c r="E50" t="s">
        <v>665</v>
      </c>
    </row>
    <row r="51" spans="1:5">
      <c r="A51">
        <v>50</v>
      </c>
      <c r="B51">
        <v>9274</v>
      </c>
      <c r="C51">
        <v>1914</v>
      </c>
      <c r="D51">
        <v>3075</v>
      </c>
      <c r="E51" t="s">
        <v>665</v>
      </c>
    </row>
    <row r="52" spans="1:5">
      <c r="A52">
        <v>51</v>
      </c>
      <c r="B52">
        <v>9572</v>
      </c>
      <c r="C52">
        <v>1958</v>
      </c>
      <c r="D52">
        <v>3142</v>
      </c>
      <c r="E52" t="s">
        <v>665</v>
      </c>
    </row>
    <row r="53" spans="1:5">
      <c r="A53">
        <v>52</v>
      </c>
      <c r="B53">
        <v>9874</v>
      </c>
      <c r="C53">
        <v>2002</v>
      </c>
      <c r="D53">
        <v>3210</v>
      </c>
      <c r="E53" t="s">
        <v>665</v>
      </c>
    </row>
    <row r="54" spans="1:5">
      <c r="A54">
        <v>53</v>
      </c>
      <c r="B54">
        <v>10181</v>
      </c>
      <c r="C54">
        <v>2046</v>
      </c>
      <c r="D54">
        <v>3278</v>
      </c>
      <c r="E54" t="s">
        <v>665</v>
      </c>
    </row>
    <row r="55" spans="1:5">
      <c r="A55">
        <v>54</v>
      </c>
      <c r="B55">
        <v>10493</v>
      </c>
      <c r="C55">
        <v>2090</v>
      </c>
      <c r="D55">
        <v>3346</v>
      </c>
      <c r="E55" t="s">
        <v>665</v>
      </c>
    </row>
    <row r="56" spans="1:5">
      <c r="A56">
        <v>55</v>
      </c>
      <c r="B56">
        <v>10810</v>
      </c>
      <c r="C56">
        <v>2134</v>
      </c>
      <c r="D56">
        <v>3414</v>
      </c>
      <c r="E56" t="s">
        <v>665</v>
      </c>
    </row>
    <row r="57" spans="1:5">
      <c r="A57">
        <v>56</v>
      </c>
      <c r="B57">
        <v>11132</v>
      </c>
      <c r="C57">
        <v>2179</v>
      </c>
      <c r="D57">
        <v>3482</v>
      </c>
      <c r="E57" t="s">
        <v>665</v>
      </c>
    </row>
    <row r="58" spans="1:5">
      <c r="A58">
        <v>57</v>
      </c>
      <c r="B58">
        <v>11459</v>
      </c>
      <c r="C58">
        <v>2224</v>
      </c>
      <c r="D58">
        <v>3551</v>
      </c>
      <c r="E58" t="s">
        <v>665</v>
      </c>
    </row>
    <row r="59" spans="1:5">
      <c r="A59">
        <v>58</v>
      </c>
      <c r="B59">
        <v>11791</v>
      </c>
      <c r="C59">
        <v>2269</v>
      </c>
      <c r="D59">
        <v>3620</v>
      </c>
      <c r="E59" t="s">
        <v>665</v>
      </c>
    </row>
    <row r="60" spans="1:5">
      <c r="A60">
        <v>59</v>
      </c>
      <c r="B60">
        <v>12128</v>
      </c>
      <c r="C60">
        <v>2314</v>
      </c>
      <c r="D60">
        <v>3689</v>
      </c>
      <c r="E60" t="s">
        <v>665</v>
      </c>
    </row>
    <row r="61" spans="1:5">
      <c r="A61">
        <v>60</v>
      </c>
      <c r="B61">
        <v>12470</v>
      </c>
      <c r="C61">
        <v>2360</v>
      </c>
      <c r="D61">
        <v>3758</v>
      </c>
      <c r="E61" t="s">
        <v>665</v>
      </c>
    </row>
    <row r="62" spans="1:5">
      <c r="A62">
        <v>61</v>
      </c>
      <c r="B62">
        <v>12817</v>
      </c>
      <c r="C62">
        <v>2406</v>
      </c>
      <c r="D62">
        <v>3828</v>
      </c>
      <c r="E62" t="s">
        <v>665</v>
      </c>
    </row>
    <row r="63" spans="1:5">
      <c r="A63">
        <v>62</v>
      </c>
      <c r="B63">
        <v>13169</v>
      </c>
      <c r="C63">
        <v>2452</v>
      </c>
      <c r="D63">
        <v>3898</v>
      </c>
      <c r="E63" t="s">
        <v>665</v>
      </c>
    </row>
    <row r="64" spans="1:5">
      <c r="A64">
        <v>63</v>
      </c>
      <c r="B64">
        <v>13527</v>
      </c>
      <c r="C64">
        <v>2498</v>
      </c>
      <c r="D64">
        <v>3968</v>
      </c>
      <c r="E64" t="s">
        <v>665</v>
      </c>
    </row>
    <row r="65" spans="1:5">
      <c r="A65">
        <v>64</v>
      </c>
      <c r="B65">
        <v>13889</v>
      </c>
      <c r="C65">
        <v>2544</v>
      </c>
      <c r="D65">
        <v>4038</v>
      </c>
      <c r="E65" t="s">
        <v>665</v>
      </c>
    </row>
    <row r="66" spans="1:5">
      <c r="A66">
        <v>65</v>
      </c>
      <c r="B66">
        <v>14258</v>
      </c>
      <c r="C66">
        <v>2591</v>
      </c>
      <c r="D66">
        <v>4109</v>
      </c>
      <c r="E66" t="s">
        <v>665</v>
      </c>
    </row>
    <row r="67" spans="1:5">
      <c r="A67">
        <v>66</v>
      </c>
      <c r="B67">
        <v>14631</v>
      </c>
      <c r="C67">
        <v>2638</v>
      </c>
      <c r="D67">
        <v>4179</v>
      </c>
      <c r="E67" t="s">
        <v>665</v>
      </c>
    </row>
    <row r="68" spans="1:5">
      <c r="A68">
        <v>67</v>
      </c>
      <c r="B68">
        <v>15010</v>
      </c>
      <c r="C68">
        <v>2685</v>
      </c>
      <c r="D68">
        <v>4250</v>
      </c>
      <c r="E68" t="s">
        <v>665</v>
      </c>
    </row>
    <row r="69" spans="1:5">
      <c r="A69">
        <v>68</v>
      </c>
      <c r="B69">
        <v>15394</v>
      </c>
      <c r="C69">
        <v>2733</v>
      </c>
      <c r="D69">
        <v>4321</v>
      </c>
      <c r="E69" t="s">
        <v>665</v>
      </c>
    </row>
    <row r="70" spans="1:5">
      <c r="A70">
        <v>69</v>
      </c>
      <c r="B70">
        <v>15784</v>
      </c>
      <c r="C70">
        <v>2780</v>
      </c>
      <c r="D70">
        <v>4393</v>
      </c>
      <c r="E70" t="s">
        <v>665</v>
      </c>
    </row>
    <row r="71" spans="1:5">
      <c r="A71">
        <v>70</v>
      </c>
      <c r="B71">
        <v>16180</v>
      </c>
      <c r="C71">
        <v>2828</v>
      </c>
      <c r="D71">
        <v>4464</v>
      </c>
      <c r="E71" t="s">
        <v>665</v>
      </c>
    </row>
    <row r="72" spans="1:5">
      <c r="A72">
        <v>71</v>
      </c>
      <c r="B72">
        <v>16581</v>
      </c>
      <c r="C72">
        <v>2876</v>
      </c>
      <c r="D72">
        <v>4536</v>
      </c>
      <c r="E72" t="s">
        <v>665</v>
      </c>
    </row>
    <row r="73" spans="1:5">
      <c r="A73">
        <v>72</v>
      </c>
      <c r="B73">
        <v>16988</v>
      </c>
      <c r="C73">
        <v>2925</v>
      </c>
      <c r="D73">
        <v>4608</v>
      </c>
      <c r="E73" t="s">
        <v>665</v>
      </c>
    </row>
    <row r="74" spans="1:5">
      <c r="A74">
        <v>73</v>
      </c>
      <c r="B74">
        <v>17400</v>
      </c>
      <c r="C74">
        <v>2973</v>
      </c>
      <c r="D74">
        <v>4681</v>
      </c>
      <c r="E74" t="s">
        <v>665</v>
      </c>
    </row>
    <row r="75" spans="1:5">
      <c r="A75">
        <v>74</v>
      </c>
      <c r="B75">
        <v>17818</v>
      </c>
      <c r="C75">
        <v>3022</v>
      </c>
      <c r="D75">
        <v>4753</v>
      </c>
      <c r="E75" t="s">
        <v>665</v>
      </c>
    </row>
    <row r="76" spans="1:5">
      <c r="A76">
        <v>75</v>
      </c>
      <c r="B76">
        <v>18242</v>
      </c>
      <c r="C76">
        <v>3071</v>
      </c>
      <c r="D76">
        <v>4826</v>
      </c>
      <c r="E76" t="s">
        <v>665</v>
      </c>
    </row>
    <row r="77" spans="1:5">
      <c r="A77">
        <v>76</v>
      </c>
      <c r="B77">
        <v>18672</v>
      </c>
      <c r="C77">
        <v>3120</v>
      </c>
      <c r="D77">
        <v>4899</v>
      </c>
      <c r="E77" t="s">
        <v>665</v>
      </c>
    </row>
    <row r="78" spans="1:5">
      <c r="A78">
        <v>77</v>
      </c>
      <c r="B78">
        <v>19108</v>
      </c>
      <c r="C78">
        <v>3170</v>
      </c>
      <c r="D78">
        <v>4972</v>
      </c>
      <c r="E78" t="s">
        <v>665</v>
      </c>
    </row>
    <row r="79" spans="1:5">
      <c r="A79">
        <v>78</v>
      </c>
      <c r="B79">
        <v>19549</v>
      </c>
      <c r="C79">
        <v>3220</v>
      </c>
      <c r="D79">
        <v>5046</v>
      </c>
      <c r="E79" t="s">
        <v>665</v>
      </c>
    </row>
    <row r="80" spans="1:5">
      <c r="A80">
        <v>79</v>
      </c>
      <c r="B80">
        <v>19997</v>
      </c>
      <c r="C80">
        <v>3270</v>
      </c>
      <c r="D80">
        <v>5119</v>
      </c>
      <c r="E80" t="s">
        <v>665</v>
      </c>
    </row>
    <row r="81" spans="1:5">
      <c r="A81">
        <v>80</v>
      </c>
      <c r="B81">
        <v>20451</v>
      </c>
      <c r="C81">
        <v>3320</v>
      </c>
      <c r="D81">
        <v>5193</v>
      </c>
      <c r="E81" t="s">
        <v>665</v>
      </c>
    </row>
    <row r="82" spans="1:5">
      <c r="A82">
        <v>81</v>
      </c>
      <c r="B82">
        <v>20911</v>
      </c>
      <c r="C82">
        <v>3371</v>
      </c>
      <c r="D82">
        <v>5267</v>
      </c>
      <c r="E82" t="s">
        <v>665</v>
      </c>
    </row>
    <row r="83" spans="1:5">
      <c r="A83">
        <v>82</v>
      </c>
      <c r="B83">
        <v>21377</v>
      </c>
      <c r="C83">
        <v>3422</v>
      </c>
      <c r="D83">
        <v>5342</v>
      </c>
      <c r="E83" t="s">
        <v>665</v>
      </c>
    </row>
    <row r="84" spans="1:5">
      <c r="A84">
        <v>83</v>
      </c>
      <c r="B84">
        <v>21849</v>
      </c>
      <c r="C84">
        <v>3473</v>
      </c>
      <c r="D84">
        <v>5416</v>
      </c>
      <c r="E84" t="s">
        <v>665</v>
      </c>
    </row>
    <row r="85" spans="1:5">
      <c r="A85">
        <v>84</v>
      </c>
      <c r="B85">
        <v>22328</v>
      </c>
      <c r="C85">
        <v>3524</v>
      </c>
      <c r="D85">
        <v>5491</v>
      </c>
      <c r="E85" t="s">
        <v>665</v>
      </c>
    </row>
    <row r="86" spans="1:5">
      <c r="A86">
        <v>85</v>
      </c>
      <c r="B86">
        <v>22813</v>
      </c>
      <c r="C86">
        <v>3576</v>
      </c>
      <c r="D86">
        <v>5566</v>
      </c>
      <c r="E86" t="s">
        <v>665</v>
      </c>
    </row>
    <row r="87" spans="1:5">
      <c r="A87">
        <v>86</v>
      </c>
      <c r="B87">
        <v>23304</v>
      </c>
      <c r="C87">
        <v>3627</v>
      </c>
      <c r="D87">
        <v>5641</v>
      </c>
      <c r="E87" t="s">
        <v>665</v>
      </c>
    </row>
    <row r="88" spans="1:5">
      <c r="A88">
        <v>87</v>
      </c>
      <c r="B88">
        <v>23802</v>
      </c>
      <c r="C88">
        <v>3680</v>
      </c>
      <c r="D88">
        <v>5717</v>
      </c>
      <c r="E88" t="s">
        <v>665</v>
      </c>
    </row>
    <row r="89" spans="1:5">
      <c r="A89">
        <v>88</v>
      </c>
      <c r="B89">
        <v>24306</v>
      </c>
      <c r="C89">
        <v>3732</v>
      </c>
      <c r="D89">
        <v>5793</v>
      </c>
      <c r="E89" t="s">
        <v>665</v>
      </c>
    </row>
    <row r="90" spans="1:5">
      <c r="A90">
        <v>89</v>
      </c>
      <c r="B90">
        <v>24817</v>
      </c>
      <c r="C90">
        <v>3785</v>
      </c>
      <c r="D90">
        <v>5868</v>
      </c>
      <c r="E90" t="s">
        <v>665</v>
      </c>
    </row>
    <row r="91" spans="1:5">
      <c r="A91">
        <v>90</v>
      </c>
      <c r="B91">
        <v>25334</v>
      </c>
      <c r="C91">
        <v>3837</v>
      </c>
      <c r="D91">
        <v>5945</v>
      </c>
      <c r="E91" t="s">
        <v>665</v>
      </c>
    </row>
    <row r="92" spans="1:5">
      <c r="A92">
        <v>91</v>
      </c>
      <c r="B92">
        <v>25858</v>
      </c>
      <c r="C92">
        <v>3891</v>
      </c>
      <c r="D92">
        <v>6021</v>
      </c>
      <c r="E92" t="s">
        <v>665</v>
      </c>
    </row>
    <row r="93" spans="1:5">
      <c r="A93">
        <v>92</v>
      </c>
      <c r="B93">
        <v>26389</v>
      </c>
      <c r="C93">
        <v>3944</v>
      </c>
      <c r="D93">
        <v>6098</v>
      </c>
      <c r="E93" t="s">
        <v>665</v>
      </c>
    </row>
    <row r="94" spans="1:5">
      <c r="A94">
        <v>93</v>
      </c>
      <c r="B94">
        <v>26927</v>
      </c>
      <c r="C94">
        <v>3998</v>
      </c>
      <c r="D94">
        <v>6175</v>
      </c>
      <c r="E94" t="s">
        <v>665</v>
      </c>
    </row>
    <row r="95" spans="1:5">
      <c r="A95">
        <v>94</v>
      </c>
      <c r="B95">
        <v>27471</v>
      </c>
      <c r="C95">
        <v>4052</v>
      </c>
      <c r="D95">
        <v>6252</v>
      </c>
      <c r="E95" t="s">
        <v>665</v>
      </c>
    </row>
    <row r="96" spans="1:5">
      <c r="A96">
        <v>95</v>
      </c>
      <c r="B96">
        <v>28022</v>
      </c>
      <c r="C96">
        <v>4106</v>
      </c>
      <c r="D96">
        <v>6329</v>
      </c>
      <c r="E96" t="s">
        <v>665</v>
      </c>
    </row>
    <row r="97" spans="1:5">
      <c r="A97">
        <v>96</v>
      </c>
      <c r="B97">
        <v>28581</v>
      </c>
      <c r="C97">
        <v>4160</v>
      </c>
      <c r="D97">
        <v>6406</v>
      </c>
      <c r="E97" t="s">
        <v>665</v>
      </c>
    </row>
    <row r="98" spans="1:5">
      <c r="A98">
        <v>97</v>
      </c>
      <c r="B98">
        <v>29146</v>
      </c>
      <c r="C98">
        <v>4215</v>
      </c>
      <c r="D98">
        <v>6484</v>
      </c>
      <c r="E98" t="s">
        <v>665</v>
      </c>
    </row>
    <row r="99" spans="1:5">
      <c r="A99">
        <v>98</v>
      </c>
      <c r="B99">
        <v>29718</v>
      </c>
      <c r="C99">
        <v>4270</v>
      </c>
      <c r="D99">
        <v>6562</v>
      </c>
      <c r="E99" t="s">
        <v>665</v>
      </c>
    </row>
    <row r="100" spans="1:5">
      <c r="A100">
        <v>99</v>
      </c>
      <c r="B100">
        <v>30298</v>
      </c>
      <c r="C100">
        <v>4325</v>
      </c>
      <c r="D100">
        <v>6640</v>
      </c>
      <c r="E100" t="s">
        <v>665</v>
      </c>
    </row>
    <row r="101" spans="1:5">
      <c r="A101">
        <v>100</v>
      </c>
      <c r="B101">
        <v>30884</v>
      </c>
      <c r="C101">
        <v>4381</v>
      </c>
      <c r="D101">
        <v>6719</v>
      </c>
      <c r="E101" t="s">
        <v>665</v>
      </c>
    </row>
    <row r="102" spans="1:5">
      <c r="A102">
        <v>101</v>
      </c>
      <c r="B102">
        <v>31478</v>
      </c>
      <c r="C102">
        <v>4437</v>
      </c>
      <c r="D102">
        <v>6798</v>
      </c>
      <c r="E102" t="s">
        <v>665</v>
      </c>
    </row>
    <row r="103" spans="1:5">
      <c r="A103">
        <v>102</v>
      </c>
      <c r="B103">
        <v>32079</v>
      </c>
      <c r="C103">
        <v>4493</v>
      </c>
      <c r="D103">
        <v>6877</v>
      </c>
      <c r="E103" t="s">
        <v>665</v>
      </c>
    </row>
    <row r="104" spans="1:5">
      <c r="A104">
        <v>103</v>
      </c>
      <c r="B104">
        <v>32688</v>
      </c>
      <c r="C104">
        <v>4549</v>
      </c>
      <c r="D104">
        <v>6956</v>
      </c>
      <c r="E104" t="s">
        <v>665</v>
      </c>
    </row>
    <row r="105" spans="1:5">
      <c r="A105">
        <v>104</v>
      </c>
      <c r="B105">
        <v>33303</v>
      </c>
      <c r="C105">
        <v>4606</v>
      </c>
      <c r="D105">
        <v>7035</v>
      </c>
      <c r="E105" t="s">
        <v>665</v>
      </c>
    </row>
    <row r="106" spans="1:5">
      <c r="A106">
        <v>105</v>
      </c>
      <c r="B106">
        <v>33927</v>
      </c>
      <c r="C106">
        <v>4663</v>
      </c>
      <c r="D106">
        <v>7115</v>
      </c>
      <c r="E106" t="s">
        <v>665</v>
      </c>
    </row>
    <row r="107" spans="1:5">
      <c r="A107">
        <v>106</v>
      </c>
      <c r="B107">
        <v>34558</v>
      </c>
      <c r="C107">
        <v>4720</v>
      </c>
      <c r="D107">
        <v>7194</v>
      </c>
      <c r="E107" t="s">
        <v>665</v>
      </c>
    </row>
    <row r="108" spans="1:5">
      <c r="A108">
        <v>107</v>
      </c>
      <c r="B108">
        <v>35196</v>
      </c>
      <c r="C108">
        <v>4778</v>
      </c>
      <c r="D108">
        <v>7274</v>
      </c>
      <c r="E108" t="s">
        <v>665</v>
      </c>
    </row>
    <row r="109" spans="1:5">
      <c r="A109">
        <v>108</v>
      </c>
      <c r="B109">
        <v>35842</v>
      </c>
      <c r="C109">
        <v>4835</v>
      </c>
      <c r="D109">
        <v>7355</v>
      </c>
      <c r="E109" t="s">
        <v>665</v>
      </c>
    </row>
    <row r="110" spans="1:5">
      <c r="A110">
        <v>109</v>
      </c>
      <c r="B110">
        <v>36496</v>
      </c>
      <c r="C110">
        <v>4893</v>
      </c>
      <c r="D110">
        <v>7435</v>
      </c>
      <c r="E110" t="s">
        <v>665</v>
      </c>
    </row>
    <row r="111" spans="1:5">
      <c r="A111">
        <v>110</v>
      </c>
      <c r="B111">
        <v>37158</v>
      </c>
      <c r="C111">
        <v>4952</v>
      </c>
      <c r="D111">
        <v>7516</v>
      </c>
      <c r="E111" t="s">
        <v>665</v>
      </c>
    </row>
    <row r="112" spans="1:5">
      <c r="A112">
        <v>111</v>
      </c>
      <c r="B112">
        <v>37827</v>
      </c>
      <c r="C112">
        <v>5011</v>
      </c>
      <c r="D112">
        <v>7597</v>
      </c>
      <c r="E112" t="s">
        <v>665</v>
      </c>
    </row>
    <row r="113" spans="1:5">
      <c r="A113">
        <v>112</v>
      </c>
      <c r="B113">
        <v>38504</v>
      </c>
      <c r="C113">
        <v>5069</v>
      </c>
      <c r="D113">
        <v>7678</v>
      </c>
      <c r="E113" t="s">
        <v>665</v>
      </c>
    </row>
    <row r="114" spans="1:5">
      <c r="A114">
        <v>113</v>
      </c>
      <c r="B114">
        <v>39190</v>
      </c>
      <c r="C114">
        <v>5129</v>
      </c>
      <c r="D114">
        <v>7759</v>
      </c>
      <c r="E114" t="s">
        <v>665</v>
      </c>
    </row>
    <row r="115" spans="1:5">
      <c r="A115">
        <v>114</v>
      </c>
      <c r="B115">
        <v>39883</v>
      </c>
      <c r="C115">
        <v>5188</v>
      </c>
      <c r="D115">
        <v>7841</v>
      </c>
      <c r="E115" t="s">
        <v>665</v>
      </c>
    </row>
    <row r="116" spans="1:5">
      <c r="A116">
        <v>115</v>
      </c>
      <c r="B116">
        <v>40584</v>
      </c>
      <c r="C116">
        <v>5248</v>
      </c>
      <c r="D116">
        <v>7923</v>
      </c>
      <c r="E116" t="s">
        <v>665</v>
      </c>
    </row>
    <row r="117" spans="1:5">
      <c r="A117">
        <v>116</v>
      </c>
      <c r="B117">
        <v>41294</v>
      </c>
      <c r="C117">
        <v>5308</v>
      </c>
      <c r="D117">
        <v>8005</v>
      </c>
      <c r="E117" t="s">
        <v>665</v>
      </c>
    </row>
    <row r="118" spans="1:5">
      <c r="A118">
        <v>117</v>
      </c>
      <c r="B118">
        <v>42011</v>
      </c>
      <c r="C118">
        <v>5369</v>
      </c>
      <c r="D118">
        <v>8087</v>
      </c>
      <c r="E118" t="s">
        <v>665</v>
      </c>
    </row>
    <row r="119" spans="1:5">
      <c r="A119">
        <v>118</v>
      </c>
      <c r="B119">
        <v>42737</v>
      </c>
      <c r="C119">
        <v>5429</v>
      </c>
      <c r="D119">
        <v>8170</v>
      </c>
      <c r="E119" t="s">
        <v>665</v>
      </c>
    </row>
    <row r="120" spans="1:5">
      <c r="A120">
        <v>119</v>
      </c>
      <c r="B120">
        <v>43471</v>
      </c>
      <c r="C120">
        <v>5490</v>
      </c>
      <c r="D120">
        <v>8253</v>
      </c>
      <c r="E120" t="s">
        <v>665</v>
      </c>
    </row>
    <row r="121" spans="1:5">
      <c r="A121">
        <v>120</v>
      </c>
      <c r="B121">
        <v>44214</v>
      </c>
      <c r="C121">
        <v>5552</v>
      </c>
      <c r="D121">
        <v>8336</v>
      </c>
      <c r="E121" t="s">
        <v>665</v>
      </c>
    </row>
    <row r="122" spans="1:5">
      <c r="A122">
        <v>121</v>
      </c>
      <c r="B122">
        <v>44965</v>
      </c>
      <c r="C122">
        <v>5613</v>
      </c>
      <c r="D122">
        <v>8419</v>
      </c>
      <c r="E122" t="s">
        <v>665</v>
      </c>
    </row>
    <row r="123" spans="1:5">
      <c r="A123">
        <v>122</v>
      </c>
      <c r="B123">
        <v>45725</v>
      </c>
      <c r="C123">
        <v>5675</v>
      </c>
      <c r="D123">
        <v>8502</v>
      </c>
      <c r="E123" t="s">
        <v>665</v>
      </c>
    </row>
    <row r="124" spans="1:5">
      <c r="A124">
        <v>123</v>
      </c>
      <c r="B124">
        <v>46493</v>
      </c>
      <c r="C124">
        <v>5738</v>
      </c>
      <c r="D124">
        <v>8586</v>
      </c>
      <c r="E124" t="s">
        <v>665</v>
      </c>
    </row>
    <row r="125" spans="1:5">
      <c r="A125">
        <v>124</v>
      </c>
      <c r="B125">
        <v>47269</v>
      </c>
      <c r="C125">
        <v>5800</v>
      </c>
      <c r="D125">
        <v>8670</v>
      </c>
      <c r="E125" t="s">
        <v>665</v>
      </c>
    </row>
    <row r="126" spans="1:5">
      <c r="A126">
        <v>125</v>
      </c>
      <c r="B126">
        <v>48055</v>
      </c>
      <c r="C126">
        <v>5863</v>
      </c>
      <c r="D126">
        <v>8754</v>
      </c>
      <c r="E126" t="s">
        <v>665</v>
      </c>
    </row>
    <row r="127" spans="1:5">
      <c r="A127">
        <v>126</v>
      </c>
      <c r="B127">
        <v>48849</v>
      </c>
      <c r="C127">
        <v>5926</v>
      </c>
      <c r="D127">
        <v>8838</v>
      </c>
      <c r="E127" t="s">
        <v>665</v>
      </c>
    </row>
    <row r="128" spans="1:5">
      <c r="A128">
        <v>127</v>
      </c>
      <c r="B128">
        <v>49652</v>
      </c>
      <c r="C128">
        <v>5990</v>
      </c>
      <c r="D128">
        <v>8923</v>
      </c>
      <c r="E128" t="s">
        <v>665</v>
      </c>
    </row>
    <row r="129" spans="1:5">
      <c r="A129">
        <v>128</v>
      </c>
      <c r="B129">
        <v>50464</v>
      </c>
      <c r="C129">
        <v>6054</v>
      </c>
      <c r="D129">
        <v>9008</v>
      </c>
      <c r="E129" t="s">
        <v>665</v>
      </c>
    </row>
    <row r="130" spans="1:5">
      <c r="A130">
        <v>129</v>
      </c>
      <c r="B130">
        <v>51285</v>
      </c>
      <c r="C130">
        <v>6118</v>
      </c>
      <c r="D130">
        <v>9093</v>
      </c>
      <c r="E130" t="s">
        <v>665</v>
      </c>
    </row>
    <row r="131" spans="1:5">
      <c r="A131">
        <v>130</v>
      </c>
      <c r="B131">
        <v>52114</v>
      </c>
      <c r="C131">
        <v>6182</v>
      </c>
      <c r="D131">
        <v>9178</v>
      </c>
      <c r="E131" t="s">
        <v>665</v>
      </c>
    </row>
    <row r="132" spans="1:5">
      <c r="A132">
        <v>131</v>
      </c>
      <c r="B132">
        <v>52953</v>
      </c>
      <c r="C132">
        <v>6247</v>
      </c>
      <c r="D132">
        <v>9264</v>
      </c>
      <c r="E132" t="s">
        <v>665</v>
      </c>
    </row>
    <row r="133" spans="1:5">
      <c r="A133">
        <v>132</v>
      </c>
      <c r="B133">
        <v>53801</v>
      </c>
      <c r="C133">
        <v>6312</v>
      </c>
      <c r="D133">
        <v>9349</v>
      </c>
      <c r="E133" t="s">
        <v>665</v>
      </c>
    </row>
    <row r="134" spans="1:5">
      <c r="A134">
        <v>133</v>
      </c>
      <c r="B134">
        <v>54658</v>
      </c>
      <c r="C134">
        <v>6377</v>
      </c>
      <c r="D134">
        <v>9435</v>
      </c>
      <c r="E134" t="s">
        <v>665</v>
      </c>
    </row>
    <row r="135" spans="1:5">
      <c r="A135">
        <v>134</v>
      </c>
      <c r="B135">
        <v>55525</v>
      </c>
      <c r="C135">
        <v>6443</v>
      </c>
      <c r="D135">
        <v>9522</v>
      </c>
      <c r="E135" t="s">
        <v>665</v>
      </c>
    </row>
    <row r="136" spans="1:5">
      <c r="A136">
        <v>135</v>
      </c>
      <c r="B136">
        <v>56401</v>
      </c>
      <c r="C136">
        <v>6509</v>
      </c>
      <c r="D136">
        <v>9608</v>
      </c>
      <c r="E136" t="s">
        <v>665</v>
      </c>
    </row>
    <row r="137" spans="1:5">
      <c r="A137">
        <v>136</v>
      </c>
      <c r="B137">
        <v>57286</v>
      </c>
      <c r="C137">
        <v>6576</v>
      </c>
      <c r="D137">
        <v>9695</v>
      </c>
      <c r="E137" t="s">
        <v>665</v>
      </c>
    </row>
    <row r="138" spans="1:5">
      <c r="A138">
        <v>137</v>
      </c>
      <c r="B138">
        <v>58180</v>
      </c>
      <c r="C138">
        <v>6642</v>
      </c>
      <c r="D138">
        <v>9782</v>
      </c>
      <c r="E138" t="s">
        <v>665</v>
      </c>
    </row>
    <row r="139" spans="1:5">
      <c r="A139">
        <v>138</v>
      </c>
      <c r="B139">
        <v>59084</v>
      </c>
      <c r="C139">
        <v>6709</v>
      </c>
      <c r="D139">
        <v>9869</v>
      </c>
      <c r="E139" t="s">
        <v>665</v>
      </c>
    </row>
    <row r="140" spans="1:5">
      <c r="A140">
        <v>139</v>
      </c>
      <c r="B140">
        <v>59998</v>
      </c>
      <c r="C140">
        <v>6777</v>
      </c>
      <c r="D140">
        <v>9956</v>
      </c>
      <c r="E140" t="s">
        <v>665</v>
      </c>
    </row>
    <row r="141" spans="1:5">
      <c r="A141">
        <v>140</v>
      </c>
      <c r="B141">
        <v>60921</v>
      </c>
      <c r="C141">
        <v>6845</v>
      </c>
      <c r="D141">
        <v>10043</v>
      </c>
      <c r="E141" t="s">
        <v>665</v>
      </c>
    </row>
    <row r="142" spans="1:5">
      <c r="A142">
        <v>141</v>
      </c>
      <c r="B142">
        <v>61854</v>
      </c>
      <c r="C142">
        <v>6913</v>
      </c>
      <c r="D142">
        <v>10131</v>
      </c>
      <c r="E142" t="s">
        <v>665</v>
      </c>
    </row>
    <row r="143" spans="1:5">
      <c r="A143">
        <v>142</v>
      </c>
      <c r="B143">
        <v>62797</v>
      </c>
      <c r="C143">
        <v>6981</v>
      </c>
      <c r="D143">
        <v>10219</v>
      </c>
      <c r="E143" t="s">
        <v>665</v>
      </c>
    </row>
    <row r="144" spans="1:5">
      <c r="A144">
        <v>143</v>
      </c>
      <c r="B144">
        <v>63750</v>
      </c>
      <c r="C144">
        <v>7050</v>
      </c>
      <c r="D144">
        <v>10308</v>
      </c>
      <c r="E144" t="s">
        <v>665</v>
      </c>
    </row>
    <row r="145" spans="1:5">
      <c r="A145">
        <v>144</v>
      </c>
      <c r="B145">
        <v>64712</v>
      </c>
      <c r="C145">
        <v>7119</v>
      </c>
      <c r="D145">
        <v>10396</v>
      </c>
      <c r="E145" t="s">
        <v>665</v>
      </c>
    </row>
    <row r="146" spans="1:5">
      <c r="A146">
        <v>145</v>
      </c>
      <c r="B146">
        <v>65685</v>
      </c>
      <c r="C146">
        <v>7188</v>
      </c>
      <c r="D146">
        <v>10485</v>
      </c>
      <c r="E146" t="s">
        <v>665</v>
      </c>
    </row>
    <row r="147" spans="1:5">
      <c r="A147">
        <v>146</v>
      </c>
      <c r="B147">
        <v>66667</v>
      </c>
      <c r="C147">
        <v>7258</v>
      </c>
      <c r="D147">
        <v>10574</v>
      </c>
      <c r="E147" t="s">
        <v>665</v>
      </c>
    </row>
    <row r="148" spans="1:5">
      <c r="A148">
        <v>147</v>
      </c>
      <c r="B148">
        <v>67660</v>
      </c>
      <c r="C148">
        <v>7328</v>
      </c>
      <c r="D148">
        <v>10663</v>
      </c>
      <c r="E148" t="s">
        <v>665</v>
      </c>
    </row>
    <row r="149" spans="1:5">
      <c r="A149">
        <v>148</v>
      </c>
      <c r="B149">
        <v>68662</v>
      </c>
      <c r="C149">
        <v>7399</v>
      </c>
      <c r="D149">
        <v>10752</v>
      </c>
      <c r="E149" t="s">
        <v>665</v>
      </c>
    </row>
    <row r="150" spans="1:5">
      <c r="A150">
        <v>149</v>
      </c>
      <c r="B150">
        <v>69675</v>
      </c>
      <c r="C150">
        <v>7470</v>
      </c>
      <c r="D150">
        <v>10842</v>
      </c>
      <c r="E150" t="s">
        <v>665</v>
      </c>
    </row>
    <row r="151" spans="1:5">
      <c r="A151">
        <v>150</v>
      </c>
      <c r="B151">
        <v>70699</v>
      </c>
      <c r="C151">
        <v>7541</v>
      </c>
      <c r="D151">
        <v>10931</v>
      </c>
      <c r="E151" t="s">
        <v>665</v>
      </c>
    </row>
    <row r="152" spans="1:5">
      <c r="A152">
        <v>151</v>
      </c>
      <c r="B152">
        <v>71732</v>
      </c>
      <c r="C152">
        <v>7612</v>
      </c>
      <c r="D152">
        <v>11022</v>
      </c>
      <c r="E152" t="s">
        <v>665</v>
      </c>
    </row>
    <row r="153" spans="1:5">
      <c r="A153">
        <v>152</v>
      </c>
      <c r="B153">
        <v>72776</v>
      </c>
      <c r="C153">
        <v>7684</v>
      </c>
      <c r="D153">
        <v>11112</v>
      </c>
      <c r="E153" t="s">
        <v>665</v>
      </c>
    </row>
    <row r="154" spans="1:5">
      <c r="A154">
        <v>153</v>
      </c>
      <c r="B154">
        <v>73831</v>
      </c>
      <c r="C154">
        <v>7757</v>
      </c>
      <c r="D154">
        <v>11202</v>
      </c>
      <c r="E154" t="s">
        <v>665</v>
      </c>
    </row>
    <row r="155" spans="1:5">
      <c r="A155">
        <v>154</v>
      </c>
      <c r="B155">
        <v>74896</v>
      </c>
      <c r="C155">
        <v>7829</v>
      </c>
      <c r="D155">
        <v>11293</v>
      </c>
      <c r="E155" t="s">
        <v>665</v>
      </c>
    </row>
    <row r="156" spans="1:5">
      <c r="A156">
        <v>155</v>
      </c>
      <c r="B156">
        <v>75971</v>
      </c>
      <c r="C156">
        <v>7902</v>
      </c>
      <c r="D156">
        <v>11384</v>
      </c>
      <c r="E156" t="s">
        <v>665</v>
      </c>
    </row>
    <row r="157" spans="1:5">
      <c r="A157">
        <v>156</v>
      </c>
      <c r="B157">
        <v>77058</v>
      </c>
      <c r="C157">
        <v>7976</v>
      </c>
      <c r="D157">
        <v>11475</v>
      </c>
      <c r="E157" t="s">
        <v>665</v>
      </c>
    </row>
    <row r="158" spans="1:5">
      <c r="A158">
        <v>157</v>
      </c>
      <c r="B158">
        <v>78155</v>
      </c>
      <c r="C158">
        <v>8049</v>
      </c>
      <c r="D158">
        <v>11567</v>
      </c>
      <c r="E158" t="s">
        <v>665</v>
      </c>
    </row>
    <row r="159" spans="1:5">
      <c r="A159">
        <v>158</v>
      </c>
      <c r="B159">
        <v>79263</v>
      </c>
      <c r="C159">
        <v>8123</v>
      </c>
      <c r="D159">
        <v>11658</v>
      </c>
      <c r="E159" t="s">
        <v>665</v>
      </c>
    </row>
    <row r="160" spans="1:5">
      <c r="A160">
        <v>159</v>
      </c>
      <c r="B160">
        <v>80382</v>
      </c>
      <c r="C160">
        <v>8198</v>
      </c>
      <c r="D160">
        <v>11750</v>
      </c>
      <c r="E160" t="s">
        <v>665</v>
      </c>
    </row>
    <row r="161" spans="1:5">
      <c r="A161">
        <v>160</v>
      </c>
      <c r="B161">
        <v>81512</v>
      </c>
      <c r="C161">
        <v>8273</v>
      </c>
      <c r="D161">
        <v>11842</v>
      </c>
      <c r="E161" t="s">
        <v>665</v>
      </c>
    </row>
    <row r="162" spans="1:5">
      <c r="A162">
        <v>161</v>
      </c>
      <c r="B162">
        <v>82652</v>
      </c>
      <c r="C162">
        <v>8348</v>
      </c>
      <c r="D162">
        <v>11935</v>
      </c>
      <c r="E162" t="s">
        <v>665</v>
      </c>
    </row>
    <row r="163" spans="1:5">
      <c r="A163">
        <v>162</v>
      </c>
      <c r="B163">
        <v>83804</v>
      </c>
      <c r="C163">
        <v>8424</v>
      </c>
      <c r="D163">
        <v>12027</v>
      </c>
      <c r="E163" t="s">
        <v>665</v>
      </c>
    </row>
    <row r="164" spans="1:5">
      <c r="A164">
        <v>163</v>
      </c>
      <c r="B164">
        <v>84967</v>
      </c>
      <c r="C164">
        <v>8500</v>
      </c>
      <c r="D164">
        <v>12120</v>
      </c>
      <c r="E164" t="s">
        <v>665</v>
      </c>
    </row>
    <row r="165" spans="1:5">
      <c r="A165">
        <v>164</v>
      </c>
      <c r="B165">
        <v>86142</v>
      </c>
      <c r="C165">
        <v>8576</v>
      </c>
      <c r="D165">
        <v>12213</v>
      </c>
      <c r="E165" t="s">
        <v>665</v>
      </c>
    </row>
    <row r="166" spans="1:5">
      <c r="A166">
        <v>165</v>
      </c>
      <c r="B166">
        <v>87327</v>
      </c>
      <c r="C166">
        <v>8653</v>
      </c>
      <c r="D166">
        <v>12306</v>
      </c>
      <c r="E166" t="s">
        <v>665</v>
      </c>
    </row>
    <row r="167" spans="1:5">
      <c r="A167">
        <v>166</v>
      </c>
      <c r="B167">
        <v>88524</v>
      </c>
      <c r="C167">
        <v>8730</v>
      </c>
      <c r="D167">
        <v>12400</v>
      </c>
      <c r="E167" t="s">
        <v>665</v>
      </c>
    </row>
    <row r="168" spans="1:5">
      <c r="A168">
        <v>167</v>
      </c>
      <c r="B168">
        <v>89733</v>
      </c>
      <c r="C168">
        <v>8808</v>
      </c>
      <c r="D168">
        <v>12493</v>
      </c>
      <c r="E168" t="s">
        <v>665</v>
      </c>
    </row>
    <row r="169" spans="1:5">
      <c r="A169">
        <v>168</v>
      </c>
      <c r="B169">
        <v>90952</v>
      </c>
      <c r="C169">
        <v>8886</v>
      </c>
      <c r="D169">
        <v>12587</v>
      </c>
      <c r="E169" t="s">
        <v>665</v>
      </c>
    </row>
    <row r="170" spans="1:5">
      <c r="A170">
        <v>169</v>
      </c>
      <c r="B170">
        <v>92184</v>
      </c>
      <c r="C170">
        <v>8964</v>
      </c>
      <c r="D170">
        <v>12681</v>
      </c>
      <c r="E170" t="s">
        <v>665</v>
      </c>
    </row>
    <row r="171" spans="1:5">
      <c r="A171">
        <v>170</v>
      </c>
      <c r="B171">
        <v>93427</v>
      </c>
      <c r="C171">
        <v>9043</v>
      </c>
      <c r="D171">
        <v>12776</v>
      </c>
      <c r="E171" t="s">
        <v>665</v>
      </c>
    </row>
    <row r="172" spans="1:5">
      <c r="A172">
        <v>171</v>
      </c>
      <c r="B172">
        <v>94682</v>
      </c>
      <c r="C172">
        <v>9122</v>
      </c>
      <c r="D172">
        <v>12870</v>
      </c>
      <c r="E172" t="s">
        <v>665</v>
      </c>
    </row>
    <row r="173" spans="1:5">
      <c r="A173">
        <v>172</v>
      </c>
      <c r="B173">
        <v>95948</v>
      </c>
      <c r="C173">
        <v>9201</v>
      </c>
      <c r="D173">
        <v>12965</v>
      </c>
      <c r="E173" t="s">
        <v>665</v>
      </c>
    </row>
    <row r="174" spans="1:5">
      <c r="A174">
        <v>173</v>
      </c>
      <c r="B174">
        <v>97227</v>
      </c>
      <c r="C174">
        <v>9281</v>
      </c>
      <c r="D174">
        <v>13060</v>
      </c>
      <c r="E174" t="s">
        <v>665</v>
      </c>
    </row>
    <row r="175" spans="1:5">
      <c r="A175">
        <v>174</v>
      </c>
      <c r="B175">
        <v>98517</v>
      </c>
      <c r="C175">
        <v>9362</v>
      </c>
      <c r="D175">
        <v>13156</v>
      </c>
      <c r="E175" t="s">
        <v>665</v>
      </c>
    </row>
    <row r="176" spans="1:5">
      <c r="A176">
        <v>175</v>
      </c>
      <c r="B176">
        <v>99820</v>
      </c>
      <c r="C176">
        <v>9442</v>
      </c>
      <c r="D176">
        <v>13251</v>
      </c>
      <c r="E176" t="s">
        <v>665</v>
      </c>
    </row>
    <row r="177" spans="1:5">
      <c r="A177">
        <v>176</v>
      </c>
      <c r="B177">
        <v>101134</v>
      </c>
      <c r="C177">
        <v>9524</v>
      </c>
      <c r="D177">
        <v>13347</v>
      </c>
      <c r="E177" t="s">
        <v>665</v>
      </c>
    </row>
    <row r="178" spans="1:5">
      <c r="A178">
        <v>177</v>
      </c>
      <c r="B178">
        <v>102461</v>
      </c>
      <c r="C178">
        <v>9605</v>
      </c>
      <c r="D178">
        <v>13443</v>
      </c>
      <c r="E178" t="s">
        <v>665</v>
      </c>
    </row>
    <row r="179" spans="1:5">
      <c r="A179">
        <v>178</v>
      </c>
      <c r="B179">
        <v>103799</v>
      </c>
      <c r="C179">
        <v>9687</v>
      </c>
      <c r="D179">
        <v>13539</v>
      </c>
      <c r="E179" t="s">
        <v>665</v>
      </c>
    </row>
    <row r="180" spans="1:5">
      <c r="A180">
        <v>179</v>
      </c>
      <c r="B180">
        <v>105150</v>
      </c>
      <c r="C180">
        <v>9770</v>
      </c>
      <c r="D180">
        <v>13635</v>
      </c>
      <c r="E180" t="s">
        <v>665</v>
      </c>
    </row>
    <row r="181" spans="1:5">
      <c r="A181">
        <v>180</v>
      </c>
      <c r="B181">
        <v>106514</v>
      </c>
      <c r="C181">
        <v>9852</v>
      </c>
      <c r="D181">
        <v>13732</v>
      </c>
      <c r="E181" t="s">
        <v>665</v>
      </c>
    </row>
    <row r="182" spans="1:5">
      <c r="A182">
        <v>181</v>
      </c>
      <c r="B182">
        <v>107889</v>
      </c>
      <c r="C182">
        <v>9936</v>
      </c>
      <c r="D182">
        <v>13829</v>
      </c>
      <c r="E182" t="s">
        <v>665</v>
      </c>
    </row>
    <row r="183" spans="1:5">
      <c r="A183">
        <v>182</v>
      </c>
      <c r="B183">
        <v>109277</v>
      </c>
      <c r="C183">
        <v>10019</v>
      </c>
      <c r="D183">
        <v>13926</v>
      </c>
      <c r="E183" t="s">
        <v>665</v>
      </c>
    </row>
    <row r="184" spans="1:5">
      <c r="A184">
        <v>183</v>
      </c>
      <c r="B184">
        <v>110678</v>
      </c>
      <c r="C184">
        <v>10103</v>
      </c>
      <c r="D184">
        <v>14023</v>
      </c>
      <c r="E184" t="s">
        <v>665</v>
      </c>
    </row>
    <row r="185" spans="1:5">
      <c r="A185">
        <v>184</v>
      </c>
      <c r="B185">
        <v>112092</v>
      </c>
      <c r="C185">
        <v>10188</v>
      </c>
      <c r="D185">
        <v>14121</v>
      </c>
      <c r="E185" t="s">
        <v>665</v>
      </c>
    </row>
    <row r="186" spans="1:5">
      <c r="A186">
        <v>185</v>
      </c>
      <c r="B186">
        <v>113518</v>
      </c>
      <c r="C186">
        <v>10273</v>
      </c>
      <c r="D186">
        <v>14219</v>
      </c>
      <c r="E186" t="s">
        <v>665</v>
      </c>
    </row>
    <row r="187" spans="1:5">
      <c r="A187">
        <v>186</v>
      </c>
      <c r="B187">
        <v>114957</v>
      </c>
      <c r="C187">
        <v>10358</v>
      </c>
      <c r="D187">
        <v>14317</v>
      </c>
      <c r="E187" t="s">
        <v>665</v>
      </c>
    </row>
    <row r="188" spans="1:5">
      <c r="A188">
        <v>187</v>
      </c>
      <c r="B188">
        <v>116408</v>
      </c>
      <c r="C188">
        <v>10444</v>
      </c>
      <c r="D188">
        <v>14415</v>
      </c>
      <c r="E188" t="s">
        <v>665</v>
      </c>
    </row>
    <row r="189" spans="1:5">
      <c r="A189">
        <v>188</v>
      </c>
      <c r="B189">
        <v>117873</v>
      </c>
      <c r="C189">
        <v>10531</v>
      </c>
      <c r="D189">
        <v>14513</v>
      </c>
      <c r="E189" t="s">
        <v>665</v>
      </c>
    </row>
    <row r="190" spans="1:5">
      <c r="A190">
        <v>189</v>
      </c>
      <c r="B190">
        <v>119350</v>
      </c>
      <c r="C190">
        <v>10617</v>
      </c>
      <c r="D190">
        <v>14612</v>
      </c>
      <c r="E190" t="s">
        <v>665</v>
      </c>
    </row>
    <row r="191" spans="1:5">
      <c r="A191">
        <v>190</v>
      </c>
      <c r="B191">
        <v>120841</v>
      </c>
      <c r="C191">
        <v>10704</v>
      </c>
      <c r="D191">
        <v>14711</v>
      </c>
      <c r="E191" t="s">
        <v>665</v>
      </c>
    </row>
    <row r="192" spans="1:5">
      <c r="A192">
        <v>191</v>
      </c>
      <c r="B192">
        <v>122345</v>
      </c>
      <c r="C192">
        <v>10792</v>
      </c>
      <c r="D192">
        <v>14810</v>
      </c>
      <c r="E192" t="s">
        <v>665</v>
      </c>
    </row>
    <row r="193" spans="1:5">
      <c r="A193">
        <v>192</v>
      </c>
      <c r="B193">
        <v>123862</v>
      </c>
      <c r="C193">
        <v>10880</v>
      </c>
      <c r="D193">
        <v>14910</v>
      </c>
      <c r="E193" t="s">
        <v>665</v>
      </c>
    </row>
    <row r="194" spans="1:5">
      <c r="A194">
        <v>193</v>
      </c>
      <c r="B194">
        <v>125392</v>
      </c>
      <c r="C194">
        <v>10969</v>
      </c>
      <c r="D194">
        <v>15009</v>
      </c>
      <c r="E194" t="s">
        <v>665</v>
      </c>
    </row>
    <row r="195" spans="1:5">
      <c r="A195">
        <v>194</v>
      </c>
      <c r="B195">
        <v>126936</v>
      </c>
      <c r="C195">
        <v>11058</v>
      </c>
      <c r="D195">
        <v>15109</v>
      </c>
      <c r="E195" t="s">
        <v>665</v>
      </c>
    </row>
    <row r="196" spans="1:5">
      <c r="A196">
        <v>195</v>
      </c>
      <c r="B196">
        <v>128493</v>
      </c>
      <c r="C196">
        <v>11147</v>
      </c>
      <c r="D196">
        <v>15209</v>
      </c>
      <c r="E196" t="s">
        <v>665</v>
      </c>
    </row>
    <row r="197" spans="1:5">
      <c r="A197">
        <v>196</v>
      </c>
      <c r="B197">
        <v>130063</v>
      </c>
      <c r="C197">
        <v>11237</v>
      </c>
      <c r="D197">
        <v>15309</v>
      </c>
      <c r="E197" t="s">
        <v>665</v>
      </c>
    </row>
    <row r="198" spans="1:5">
      <c r="A198">
        <v>197</v>
      </c>
      <c r="B198">
        <v>131647</v>
      </c>
      <c r="C198">
        <v>11327</v>
      </c>
      <c r="D198">
        <v>15410</v>
      </c>
      <c r="E198" t="s">
        <v>665</v>
      </c>
    </row>
    <row r="199" spans="1:5">
      <c r="A199">
        <v>198</v>
      </c>
      <c r="B199">
        <v>133245</v>
      </c>
      <c r="C199">
        <v>11418</v>
      </c>
      <c r="D199">
        <v>15511</v>
      </c>
      <c r="E199" t="s">
        <v>665</v>
      </c>
    </row>
    <row r="200" spans="1:5">
      <c r="A200">
        <v>199</v>
      </c>
      <c r="B200">
        <v>134856</v>
      </c>
      <c r="C200">
        <v>11510</v>
      </c>
      <c r="D200">
        <v>15612</v>
      </c>
      <c r="E200" t="s">
        <v>665</v>
      </c>
    </row>
    <row r="201" spans="1:5">
      <c r="A201">
        <v>200</v>
      </c>
      <c r="B201">
        <v>136482</v>
      </c>
      <c r="C201">
        <v>11601</v>
      </c>
      <c r="D201">
        <v>15713</v>
      </c>
      <c r="E201" t="s">
        <v>665</v>
      </c>
    </row>
    <row r="202" spans="1:5">
      <c r="A202">
        <v>201</v>
      </c>
      <c r="B202">
        <v>138121</v>
      </c>
      <c r="C202">
        <v>11694</v>
      </c>
      <c r="D202">
        <v>15814</v>
      </c>
      <c r="E202" t="s">
        <v>665</v>
      </c>
    </row>
    <row r="203" spans="1:5">
      <c r="A203">
        <v>202</v>
      </c>
      <c r="B203">
        <v>139774</v>
      </c>
      <c r="C203">
        <v>11786</v>
      </c>
      <c r="D203">
        <v>15916</v>
      </c>
      <c r="E203" t="s">
        <v>665</v>
      </c>
    </row>
    <row r="204" spans="1:5">
      <c r="A204">
        <v>203</v>
      </c>
      <c r="B204">
        <v>141441</v>
      </c>
      <c r="C204">
        <v>11880</v>
      </c>
      <c r="D204">
        <v>16018</v>
      </c>
      <c r="E204" t="s">
        <v>665</v>
      </c>
    </row>
    <row r="205" spans="1:5">
      <c r="A205">
        <v>204</v>
      </c>
      <c r="B205">
        <v>143122</v>
      </c>
      <c r="C205">
        <v>11973</v>
      </c>
      <c r="D205">
        <v>16120</v>
      </c>
      <c r="E205" t="s">
        <v>665</v>
      </c>
    </row>
    <row r="206" spans="1:5">
      <c r="A206">
        <v>205</v>
      </c>
      <c r="B206">
        <v>144817</v>
      </c>
      <c r="C206">
        <v>12068</v>
      </c>
      <c r="D206">
        <v>16222</v>
      </c>
      <c r="E206" t="s">
        <v>665</v>
      </c>
    </row>
    <row r="207" spans="1:5">
      <c r="A207">
        <v>206</v>
      </c>
      <c r="B207">
        <v>146527</v>
      </c>
      <c r="C207">
        <v>12162</v>
      </c>
      <c r="D207">
        <v>16325</v>
      </c>
      <c r="E207" t="s">
        <v>665</v>
      </c>
    </row>
    <row r="208" spans="1:5">
      <c r="A208">
        <v>207</v>
      </c>
      <c r="B208">
        <v>148251</v>
      </c>
      <c r="C208">
        <v>12257</v>
      </c>
      <c r="D208">
        <v>16427</v>
      </c>
      <c r="E208" t="s">
        <v>665</v>
      </c>
    </row>
    <row r="209" spans="1:5">
      <c r="A209">
        <v>208</v>
      </c>
      <c r="B209">
        <v>149989</v>
      </c>
      <c r="C209">
        <v>12353</v>
      </c>
      <c r="D209">
        <v>16531</v>
      </c>
      <c r="E209" t="s">
        <v>665</v>
      </c>
    </row>
    <row r="210" spans="1:5">
      <c r="A210">
        <v>209</v>
      </c>
      <c r="B210">
        <v>151742</v>
      </c>
      <c r="C210">
        <v>12449</v>
      </c>
      <c r="D210">
        <v>16634</v>
      </c>
      <c r="E210" t="s">
        <v>665</v>
      </c>
    </row>
    <row r="211" spans="1:5">
      <c r="A211">
        <v>210</v>
      </c>
      <c r="B211">
        <v>153509</v>
      </c>
      <c r="C211">
        <v>12546</v>
      </c>
      <c r="D211">
        <v>16737</v>
      </c>
      <c r="E211" t="s">
        <v>665</v>
      </c>
    </row>
    <row r="212" spans="1:5">
      <c r="A212">
        <v>211</v>
      </c>
      <c r="B212">
        <v>155291</v>
      </c>
      <c r="C212">
        <v>12643</v>
      </c>
      <c r="D212">
        <v>16841</v>
      </c>
      <c r="E212" t="s">
        <v>665</v>
      </c>
    </row>
    <row r="213" spans="1:5">
      <c r="A213">
        <v>212</v>
      </c>
      <c r="B213">
        <v>157087</v>
      </c>
      <c r="C213">
        <v>12741</v>
      </c>
      <c r="D213">
        <v>16945</v>
      </c>
      <c r="E213" t="s">
        <v>665</v>
      </c>
    </row>
    <row r="214" spans="1:5">
      <c r="A214">
        <v>213</v>
      </c>
      <c r="B214">
        <v>158899</v>
      </c>
      <c r="C214">
        <v>12839</v>
      </c>
      <c r="D214">
        <v>17049</v>
      </c>
      <c r="E214" t="s">
        <v>665</v>
      </c>
    </row>
    <row r="215" spans="1:5">
      <c r="A215">
        <v>214</v>
      </c>
      <c r="B215">
        <v>160725</v>
      </c>
      <c r="C215">
        <v>12938</v>
      </c>
      <c r="D215">
        <v>17153</v>
      </c>
      <c r="E215" t="s">
        <v>665</v>
      </c>
    </row>
    <row r="216" spans="1:5">
      <c r="A216">
        <v>215</v>
      </c>
      <c r="B216">
        <v>162566</v>
      </c>
      <c r="C216">
        <v>13037</v>
      </c>
      <c r="D216">
        <v>17258</v>
      </c>
      <c r="E216" t="s">
        <v>665</v>
      </c>
    </row>
    <row r="217" spans="1:5">
      <c r="A217">
        <v>216</v>
      </c>
      <c r="B217">
        <v>164423</v>
      </c>
      <c r="C217">
        <v>13137</v>
      </c>
      <c r="D217">
        <v>17363</v>
      </c>
      <c r="E217" t="s">
        <v>665</v>
      </c>
    </row>
    <row r="218" spans="1:5">
      <c r="A218">
        <v>217</v>
      </c>
      <c r="B218">
        <v>166294</v>
      </c>
      <c r="C218">
        <v>13237</v>
      </c>
      <c r="D218">
        <v>17468</v>
      </c>
      <c r="E218" t="s">
        <v>665</v>
      </c>
    </row>
    <row r="219" spans="1:5">
      <c r="A219">
        <v>218</v>
      </c>
      <c r="B219">
        <v>168180</v>
      </c>
      <c r="C219">
        <v>13338</v>
      </c>
      <c r="D219">
        <v>17573</v>
      </c>
      <c r="E219" t="s">
        <v>665</v>
      </c>
    </row>
    <row r="220" spans="1:5">
      <c r="A220">
        <v>219</v>
      </c>
      <c r="B220">
        <v>170082</v>
      </c>
      <c r="C220">
        <v>13439</v>
      </c>
      <c r="D220">
        <v>17679</v>
      </c>
      <c r="E220" t="s">
        <v>665</v>
      </c>
    </row>
    <row r="221" spans="1:5">
      <c r="A221">
        <v>220</v>
      </c>
      <c r="B221">
        <v>171999</v>
      </c>
      <c r="C221">
        <v>13541</v>
      </c>
      <c r="D221">
        <v>17784</v>
      </c>
      <c r="E221" t="s">
        <v>665</v>
      </c>
    </row>
    <row r="222" spans="1:5">
      <c r="A222">
        <v>221</v>
      </c>
      <c r="B222">
        <v>173932</v>
      </c>
      <c r="C222">
        <v>13644</v>
      </c>
      <c r="D222">
        <v>17890</v>
      </c>
      <c r="E222" t="s">
        <v>665</v>
      </c>
    </row>
    <row r="223" spans="1:5">
      <c r="A223">
        <v>222</v>
      </c>
      <c r="B223">
        <v>175880</v>
      </c>
      <c r="C223">
        <v>13746</v>
      </c>
      <c r="D223">
        <v>17997</v>
      </c>
      <c r="E223" t="s">
        <v>665</v>
      </c>
    </row>
    <row r="224" spans="1:5">
      <c r="A224">
        <v>223</v>
      </c>
      <c r="B224">
        <v>177843</v>
      </c>
      <c r="C224">
        <v>13850</v>
      </c>
      <c r="D224">
        <v>18103</v>
      </c>
      <c r="E224" t="s">
        <v>665</v>
      </c>
    </row>
    <row r="225" spans="1:5">
      <c r="A225">
        <v>224</v>
      </c>
      <c r="B225">
        <v>179823</v>
      </c>
      <c r="C225">
        <v>13954</v>
      </c>
      <c r="D225">
        <v>18210</v>
      </c>
      <c r="E225" t="s">
        <v>665</v>
      </c>
    </row>
    <row r="226" spans="1:5">
      <c r="A226">
        <v>225</v>
      </c>
      <c r="B226">
        <v>181818</v>
      </c>
      <c r="C226">
        <v>14059</v>
      </c>
      <c r="D226">
        <v>18317</v>
      </c>
      <c r="E226" t="s">
        <v>665</v>
      </c>
    </row>
    <row r="227" spans="1:5">
      <c r="A227">
        <v>226</v>
      </c>
      <c r="B227">
        <v>183828</v>
      </c>
      <c r="C227">
        <v>14164</v>
      </c>
      <c r="D227">
        <v>18424</v>
      </c>
      <c r="E227" t="s">
        <v>665</v>
      </c>
    </row>
    <row r="228" spans="1:5">
      <c r="A228">
        <v>227</v>
      </c>
      <c r="B228">
        <v>185855</v>
      </c>
      <c r="C228">
        <v>14269</v>
      </c>
      <c r="D228">
        <v>18531</v>
      </c>
      <c r="E228" t="s">
        <v>665</v>
      </c>
    </row>
    <row r="229" spans="1:5">
      <c r="A229">
        <v>228</v>
      </c>
      <c r="B229">
        <v>187898</v>
      </c>
      <c r="C229">
        <v>14376</v>
      </c>
      <c r="D229">
        <v>18639</v>
      </c>
      <c r="E229" t="s">
        <v>665</v>
      </c>
    </row>
    <row r="230" spans="1:5">
      <c r="A230">
        <v>229</v>
      </c>
      <c r="B230">
        <v>189956</v>
      </c>
      <c r="C230">
        <v>14483</v>
      </c>
      <c r="D230">
        <v>18746</v>
      </c>
      <c r="E230" t="s">
        <v>665</v>
      </c>
    </row>
    <row r="231" spans="1:5">
      <c r="A231">
        <v>230</v>
      </c>
      <c r="B231">
        <v>192031</v>
      </c>
      <c r="C231">
        <v>14590</v>
      </c>
      <c r="D231">
        <v>18854</v>
      </c>
      <c r="E231" t="s">
        <v>665</v>
      </c>
    </row>
    <row r="232" spans="1:5">
      <c r="A232">
        <v>231</v>
      </c>
      <c r="B232">
        <v>194122</v>
      </c>
      <c r="C232">
        <v>14698</v>
      </c>
      <c r="D232">
        <v>18963</v>
      </c>
      <c r="E232" t="s">
        <v>665</v>
      </c>
    </row>
    <row r="233" spans="1:5">
      <c r="A233">
        <v>232</v>
      </c>
      <c r="B233">
        <v>196230</v>
      </c>
      <c r="C233">
        <v>14806</v>
      </c>
      <c r="D233">
        <v>19071</v>
      </c>
      <c r="E233" t="s">
        <v>665</v>
      </c>
    </row>
    <row r="234" spans="1:5">
      <c r="A234">
        <v>233</v>
      </c>
      <c r="B234">
        <v>198353</v>
      </c>
      <c r="C234">
        <v>14916</v>
      </c>
      <c r="D234">
        <v>19180</v>
      </c>
      <c r="E234" t="s">
        <v>665</v>
      </c>
    </row>
    <row r="235" spans="1:5">
      <c r="A235">
        <v>234</v>
      </c>
      <c r="B235">
        <v>200494</v>
      </c>
      <c r="C235">
        <v>15025</v>
      </c>
      <c r="D235">
        <v>19289</v>
      </c>
      <c r="E235" t="s">
        <v>665</v>
      </c>
    </row>
    <row r="236" spans="1:5">
      <c r="A236">
        <v>235</v>
      </c>
      <c r="B236">
        <v>202650</v>
      </c>
      <c r="C236">
        <v>15136</v>
      </c>
      <c r="D236">
        <v>19398</v>
      </c>
      <c r="E236" t="s">
        <v>665</v>
      </c>
    </row>
    <row r="237" spans="1:5">
      <c r="A237">
        <v>236</v>
      </c>
      <c r="B237">
        <v>204824</v>
      </c>
      <c r="C237">
        <v>15246</v>
      </c>
      <c r="D237">
        <v>19507</v>
      </c>
      <c r="E237" t="s">
        <v>665</v>
      </c>
    </row>
    <row r="238" spans="1:5">
      <c r="A238">
        <v>237</v>
      </c>
      <c r="B238">
        <v>207014</v>
      </c>
      <c r="C238">
        <v>15358</v>
      </c>
      <c r="D238">
        <v>19617</v>
      </c>
      <c r="E238" t="s">
        <v>665</v>
      </c>
    </row>
    <row r="239" spans="1:5">
      <c r="A239">
        <v>238</v>
      </c>
      <c r="B239">
        <v>209221</v>
      </c>
      <c r="C239">
        <v>15470</v>
      </c>
      <c r="D239">
        <v>19727</v>
      </c>
      <c r="E239" t="s">
        <v>665</v>
      </c>
    </row>
    <row r="240" spans="1:5">
      <c r="A240">
        <v>239</v>
      </c>
      <c r="B240">
        <v>211445</v>
      </c>
      <c r="C240">
        <v>15583</v>
      </c>
      <c r="D240">
        <v>19837</v>
      </c>
      <c r="E240" t="s">
        <v>665</v>
      </c>
    </row>
    <row r="241" spans="1:5">
      <c r="A241">
        <v>240</v>
      </c>
      <c r="B241">
        <v>213685</v>
      </c>
      <c r="C241">
        <v>15696</v>
      </c>
      <c r="D241">
        <v>19947</v>
      </c>
      <c r="E241" t="s">
        <v>665</v>
      </c>
    </row>
    <row r="242" spans="1:5">
      <c r="A242">
        <v>241</v>
      </c>
      <c r="B242">
        <v>215943</v>
      </c>
      <c r="C242">
        <v>15810</v>
      </c>
      <c r="D242">
        <v>20058</v>
      </c>
      <c r="E242" t="s">
        <v>665</v>
      </c>
    </row>
    <row r="243" spans="1:5">
      <c r="A243">
        <v>242</v>
      </c>
      <c r="B243">
        <v>218218</v>
      </c>
      <c r="C243">
        <v>15924</v>
      </c>
      <c r="D243">
        <v>20168</v>
      </c>
      <c r="E243" t="s">
        <v>665</v>
      </c>
    </row>
    <row r="244" spans="1:5">
      <c r="A244">
        <v>243</v>
      </c>
      <c r="B244">
        <v>220510</v>
      </c>
      <c r="C244">
        <v>16039</v>
      </c>
      <c r="D244">
        <v>20279</v>
      </c>
      <c r="E244" t="s">
        <v>665</v>
      </c>
    </row>
    <row r="245" spans="1:5">
      <c r="A245">
        <v>244</v>
      </c>
      <c r="B245">
        <v>222820</v>
      </c>
      <c r="C245">
        <v>16155</v>
      </c>
      <c r="D245">
        <v>20391</v>
      </c>
      <c r="E245" t="s">
        <v>665</v>
      </c>
    </row>
    <row r="246" spans="1:5">
      <c r="A246">
        <v>245</v>
      </c>
      <c r="B246">
        <v>225147</v>
      </c>
      <c r="C246">
        <v>16272</v>
      </c>
      <c r="D246">
        <v>20502</v>
      </c>
      <c r="E246" t="s">
        <v>665</v>
      </c>
    </row>
    <row r="247" spans="1:5">
      <c r="A247">
        <v>246</v>
      </c>
      <c r="B247">
        <v>227491</v>
      </c>
      <c r="C247">
        <v>16389</v>
      </c>
      <c r="D247">
        <v>20614</v>
      </c>
      <c r="E247" t="s">
        <v>665</v>
      </c>
    </row>
    <row r="248" spans="1:5">
      <c r="A248">
        <v>247</v>
      </c>
      <c r="B248">
        <v>229853</v>
      </c>
      <c r="C248">
        <v>16506</v>
      </c>
      <c r="D248">
        <v>20726</v>
      </c>
      <c r="E248" t="s">
        <v>665</v>
      </c>
    </row>
    <row r="249" spans="1:5">
      <c r="A249">
        <v>248</v>
      </c>
      <c r="B249">
        <v>232233</v>
      </c>
      <c r="C249">
        <v>16624</v>
      </c>
      <c r="D249">
        <v>20838</v>
      </c>
      <c r="E249" t="s">
        <v>665</v>
      </c>
    </row>
    <row r="250" spans="1:5">
      <c r="A250">
        <v>249</v>
      </c>
      <c r="B250">
        <v>234630</v>
      </c>
      <c r="C250">
        <v>16743</v>
      </c>
      <c r="D250">
        <v>20950</v>
      </c>
      <c r="E250" t="s">
        <v>665</v>
      </c>
    </row>
    <row r="251" spans="1:5">
      <c r="A251">
        <v>250</v>
      </c>
      <c r="B251">
        <v>237046</v>
      </c>
      <c r="C251">
        <v>16863</v>
      </c>
      <c r="D251">
        <v>21063</v>
      </c>
      <c r="E251" t="s">
        <v>665</v>
      </c>
    </row>
    <row r="252" spans="1:5">
      <c r="A252">
        <v>251</v>
      </c>
      <c r="B252">
        <v>239479</v>
      </c>
      <c r="C252">
        <v>16983</v>
      </c>
      <c r="D252">
        <v>21175</v>
      </c>
      <c r="E252" t="s">
        <v>665</v>
      </c>
    </row>
    <row r="253" spans="1:5">
      <c r="A253">
        <v>252</v>
      </c>
      <c r="B253">
        <v>241930</v>
      </c>
      <c r="C253">
        <v>17104</v>
      </c>
      <c r="D253">
        <v>21288</v>
      </c>
      <c r="E253" t="s">
        <v>665</v>
      </c>
    </row>
    <row r="254" spans="1:5">
      <c r="A254">
        <v>253</v>
      </c>
      <c r="B254">
        <v>244399</v>
      </c>
      <c r="C254">
        <v>17225</v>
      </c>
      <c r="D254">
        <v>21402</v>
      </c>
      <c r="E254" t="s">
        <v>665</v>
      </c>
    </row>
    <row r="255" spans="1:5">
      <c r="A255">
        <v>254</v>
      </c>
      <c r="B255">
        <v>246887</v>
      </c>
      <c r="C255">
        <v>17347</v>
      </c>
      <c r="D255">
        <v>21515</v>
      </c>
      <c r="E255" t="s">
        <v>665</v>
      </c>
    </row>
    <row r="256" spans="1:5">
      <c r="A256">
        <v>255</v>
      </c>
      <c r="B256">
        <v>249392</v>
      </c>
      <c r="C256">
        <v>17470</v>
      </c>
      <c r="D256">
        <v>21629</v>
      </c>
      <c r="E256" t="s">
        <v>665</v>
      </c>
    </row>
    <row r="257" spans="1:5">
      <c r="A257">
        <v>256</v>
      </c>
      <c r="B257">
        <v>251916</v>
      </c>
      <c r="C257">
        <v>17594</v>
      </c>
      <c r="D257">
        <v>21743</v>
      </c>
      <c r="E257" t="s">
        <v>665</v>
      </c>
    </row>
    <row r="258" spans="1:5">
      <c r="A258">
        <v>257</v>
      </c>
      <c r="B258">
        <v>254459</v>
      </c>
      <c r="C258">
        <v>17718</v>
      </c>
      <c r="D258">
        <v>21857</v>
      </c>
      <c r="E258" t="s">
        <v>665</v>
      </c>
    </row>
    <row r="259" spans="1:5">
      <c r="A259">
        <v>258</v>
      </c>
      <c r="B259">
        <v>257020</v>
      </c>
      <c r="C259">
        <v>17843</v>
      </c>
      <c r="D259">
        <v>21971</v>
      </c>
      <c r="E259" t="s">
        <v>665</v>
      </c>
    </row>
    <row r="260" spans="1:5">
      <c r="A260">
        <v>259</v>
      </c>
      <c r="B260">
        <v>259600</v>
      </c>
      <c r="C260">
        <v>17968</v>
      </c>
      <c r="D260">
        <v>22086</v>
      </c>
      <c r="E260" t="s">
        <v>665</v>
      </c>
    </row>
    <row r="261" spans="1:5">
      <c r="A261">
        <v>260</v>
      </c>
      <c r="B261">
        <v>262198</v>
      </c>
      <c r="C261">
        <v>18094</v>
      </c>
      <c r="D261">
        <v>22201</v>
      </c>
      <c r="E261" t="s">
        <v>665</v>
      </c>
    </row>
    <row r="262" spans="1:5">
      <c r="A262">
        <v>261</v>
      </c>
      <c r="B262">
        <v>264815</v>
      </c>
      <c r="C262">
        <v>18221</v>
      </c>
      <c r="D262">
        <v>22316</v>
      </c>
      <c r="E262" t="s">
        <v>665</v>
      </c>
    </row>
    <row r="263" spans="1:5">
      <c r="A263">
        <v>262</v>
      </c>
      <c r="B263">
        <v>267451</v>
      </c>
      <c r="C263">
        <v>18349</v>
      </c>
      <c r="D263">
        <v>22431</v>
      </c>
      <c r="E263" t="s">
        <v>665</v>
      </c>
    </row>
    <row r="264" spans="1:5">
      <c r="A264">
        <v>263</v>
      </c>
      <c r="B264">
        <v>270107</v>
      </c>
      <c r="C264">
        <v>18477</v>
      </c>
      <c r="D264">
        <v>22547</v>
      </c>
      <c r="E264" t="s">
        <v>665</v>
      </c>
    </row>
    <row r="265" spans="1:5">
      <c r="A265">
        <v>264</v>
      </c>
      <c r="B265">
        <v>272781</v>
      </c>
      <c r="C265">
        <v>18606</v>
      </c>
      <c r="D265">
        <v>22662</v>
      </c>
      <c r="E265" t="s">
        <v>665</v>
      </c>
    </row>
    <row r="266" spans="1:5">
      <c r="A266">
        <v>265</v>
      </c>
      <c r="B266">
        <v>275474</v>
      </c>
      <c r="C266">
        <v>18736</v>
      </c>
      <c r="D266">
        <v>22778</v>
      </c>
      <c r="E266" t="s">
        <v>665</v>
      </c>
    </row>
    <row r="267" spans="1:5">
      <c r="A267">
        <v>266</v>
      </c>
      <c r="B267">
        <v>278187</v>
      </c>
      <c r="C267">
        <v>18866</v>
      </c>
      <c r="D267">
        <v>22895</v>
      </c>
      <c r="E267" t="s">
        <v>665</v>
      </c>
    </row>
    <row r="268" spans="1:5">
      <c r="A268">
        <v>267</v>
      </c>
      <c r="B268">
        <v>280919</v>
      </c>
      <c r="C268">
        <v>18997</v>
      </c>
      <c r="D268">
        <v>23011</v>
      </c>
      <c r="E268" t="s">
        <v>665</v>
      </c>
    </row>
    <row r="269" spans="1:5">
      <c r="A269">
        <v>268</v>
      </c>
      <c r="B269">
        <v>283670</v>
      </c>
      <c r="C269">
        <v>19129</v>
      </c>
      <c r="D269">
        <v>23128</v>
      </c>
      <c r="E269" t="s">
        <v>665</v>
      </c>
    </row>
    <row r="270" spans="1:5">
      <c r="A270">
        <v>269</v>
      </c>
      <c r="B270">
        <v>286441</v>
      </c>
      <c r="C270">
        <v>19261</v>
      </c>
      <c r="D270">
        <v>23245</v>
      </c>
      <c r="E270" t="s">
        <v>665</v>
      </c>
    </row>
    <row r="271" spans="1:5">
      <c r="A271">
        <v>270</v>
      </c>
      <c r="B271">
        <v>289232</v>
      </c>
      <c r="C271">
        <v>19395</v>
      </c>
      <c r="D271">
        <v>23362</v>
      </c>
      <c r="E271" t="s">
        <v>665</v>
      </c>
    </row>
    <row r="272" spans="1:5">
      <c r="A272">
        <v>271</v>
      </c>
      <c r="B272">
        <v>292043</v>
      </c>
      <c r="C272">
        <v>19529</v>
      </c>
      <c r="D272">
        <v>23479</v>
      </c>
      <c r="E272" t="s">
        <v>665</v>
      </c>
    </row>
    <row r="273" spans="1:5">
      <c r="A273">
        <v>272</v>
      </c>
      <c r="B273">
        <v>294873</v>
      </c>
      <c r="C273">
        <v>19663</v>
      </c>
      <c r="D273">
        <v>23597</v>
      </c>
      <c r="E273" t="s">
        <v>665</v>
      </c>
    </row>
    <row r="274" spans="1:5">
      <c r="A274">
        <v>273</v>
      </c>
      <c r="B274">
        <v>297723</v>
      </c>
      <c r="C274">
        <v>19799</v>
      </c>
      <c r="D274">
        <v>23715</v>
      </c>
      <c r="E274" t="s">
        <v>665</v>
      </c>
    </row>
    <row r="275" spans="1:5">
      <c r="A275">
        <v>274</v>
      </c>
      <c r="B275">
        <v>300593</v>
      </c>
      <c r="C275">
        <v>19935</v>
      </c>
      <c r="D275">
        <v>23833</v>
      </c>
      <c r="E275" t="s">
        <v>665</v>
      </c>
    </row>
    <row r="276" spans="1:5">
      <c r="A276">
        <v>275</v>
      </c>
      <c r="B276">
        <v>303484</v>
      </c>
      <c r="C276">
        <v>20072</v>
      </c>
      <c r="D276">
        <v>23951</v>
      </c>
      <c r="E276" t="s">
        <v>665</v>
      </c>
    </row>
    <row r="277" spans="1:5">
      <c r="A277">
        <v>276</v>
      </c>
      <c r="B277">
        <v>306394</v>
      </c>
      <c r="C277">
        <v>20210</v>
      </c>
      <c r="D277">
        <v>24069</v>
      </c>
      <c r="E277" t="s">
        <v>665</v>
      </c>
    </row>
    <row r="278" spans="1:5">
      <c r="A278">
        <v>277</v>
      </c>
      <c r="B278">
        <v>309325</v>
      </c>
      <c r="C278">
        <v>20348</v>
      </c>
      <c r="D278">
        <v>24188</v>
      </c>
      <c r="E278" t="s">
        <v>665</v>
      </c>
    </row>
    <row r="279" spans="1:5">
      <c r="A279">
        <v>278</v>
      </c>
      <c r="B279">
        <v>312276</v>
      </c>
      <c r="C279">
        <v>20488</v>
      </c>
      <c r="D279">
        <v>24307</v>
      </c>
      <c r="E279" t="s">
        <v>665</v>
      </c>
    </row>
    <row r="280" spans="1:5">
      <c r="A280">
        <v>279</v>
      </c>
      <c r="B280">
        <v>315248</v>
      </c>
      <c r="C280">
        <v>20628</v>
      </c>
      <c r="D280">
        <v>24426</v>
      </c>
      <c r="E280" t="s">
        <v>665</v>
      </c>
    </row>
    <row r="281" spans="1:5">
      <c r="A281">
        <v>280</v>
      </c>
      <c r="B281">
        <v>318240</v>
      </c>
      <c r="C281">
        <v>20769</v>
      </c>
      <c r="D281">
        <v>24545</v>
      </c>
      <c r="E281" t="s">
        <v>665</v>
      </c>
    </row>
    <row r="282" spans="1:5">
      <c r="A282">
        <v>281</v>
      </c>
      <c r="B282">
        <v>321253</v>
      </c>
      <c r="C282">
        <v>20910</v>
      </c>
      <c r="D282">
        <v>24665</v>
      </c>
      <c r="E282" t="s">
        <v>665</v>
      </c>
    </row>
    <row r="283" spans="1:5">
      <c r="A283">
        <v>282</v>
      </c>
      <c r="B283">
        <v>324287</v>
      </c>
      <c r="C283">
        <v>21053</v>
      </c>
      <c r="D283">
        <v>24785</v>
      </c>
      <c r="E283" t="s">
        <v>665</v>
      </c>
    </row>
    <row r="284" spans="1:5">
      <c r="A284">
        <v>283</v>
      </c>
      <c r="B284">
        <v>327342</v>
      </c>
      <c r="C284">
        <v>21196</v>
      </c>
      <c r="D284">
        <v>24905</v>
      </c>
      <c r="E284" t="s">
        <v>665</v>
      </c>
    </row>
    <row r="285" spans="1:5">
      <c r="A285">
        <v>284</v>
      </c>
      <c r="B285">
        <v>330417</v>
      </c>
      <c r="C285">
        <v>21340</v>
      </c>
      <c r="D285">
        <v>25025</v>
      </c>
      <c r="E285" t="s">
        <v>665</v>
      </c>
    </row>
    <row r="286" spans="1:5">
      <c r="A286">
        <v>285</v>
      </c>
      <c r="B286">
        <v>333514</v>
      </c>
      <c r="C286">
        <v>21485</v>
      </c>
      <c r="D286">
        <v>25146</v>
      </c>
      <c r="E286" t="s">
        <v>665</v>
      </c>
    </row>
    <row r="287" spans="1:5">
      <c r="A287">
        <v>286</v>
      </c>
      <c r="B287">
        <v>336632</v>
      </c>
      <c r="C287">
        <v>21630</v>
      </c>
      <c r="D287">
        <v>25267</v>
      </c>
      <c r="E287" t="s">
        <v>665</v>
      </c>
    </row>
    <row r="288" spans="1:5">
      <c r="A288">
        <v>287</v>
      </c>
      <c r="B288">
        <v>339771</v>
      </c>
      <c r="C288">
        <v>21777</v>
      </c>
      <c r="D288">
        <v>25388</v>
      </c>
      <c r="E288" t="s">
        <v>665</v>
      </c>
    </row>
    <row r="289" spans="1:5">
      <c r="A289">
        <v>288</v>
      </c>
      <c r="B289">
        <v>342932</v>
      </c>
      <c r="C289">
        <v>21924</v>
      </c>
      <c r="D289">
        <v>25509</v>
      </c>
      <c r="E289" t="s">
        <v>665</v>
      </c>
    </row>
    <row r="290" spans="1:5">
      <c r="A290">
        <v>289</v>
      </c>
      <c r="B290">
        <v>346114</v>
      </c>
      <c r="C290">
        <v>22072</v>
      </c>
      <c r="D290">
        <v>25630</v>
      </c>
      <c r="E290" t="s">
        <v>665</v>
      </c>
    </row>
    <row r="291" spans="1:5">
      <c r="A291">
        <v>290</v>
      </c>
      <c r="B291">
        <v>349318</v>
      </c>
      <c r="C291">
        <v>22221</v>
      </c>
      <c r="D291">
        <v>25752</v>
      </c>
      <c r="E291" t="s">
        <v>665</v>
      </c>
    </row>
    <row r="292" spans="1:5">
      <c r="A292">
        <v>291</v>
      </c>
      <c r="B292">
        <v>352543</v>
      </c>
      <c r="C292">
        <v>22371</v>
      </c>
      <c r="D292">
        <v>25874</v>
      </c>
      <c r="E292" t="s">
        <v>665</v>
      </c>
    </row>
    <row r="293" spans="1:5">
      <c r="A293">
        <v>292</v>
      </c>
      <c r="B293">
        <v>355790</v>
      </c>
      <c r="C293">
        <v>22521</v>
      </c>
      <c r="D293">
        <v>25996</v>
      </c>
      <c r="E293" t="s">
        <v>665</v>
      </c>
    </row>
    <row r="294" spans="1:5">
      <c r="A294">
        <v>293</v>
      </c>
      <c r="B294">
        <v>359059</v>
      </c>
      <c r="C294">
        <v>22673</v>
      </c>
      <c r="D294">
        <v>26118</v>
      </c>
      <c r="E294" t="s">
        <v>665</v>
      </c>
    </row>
    <row r="295" spans="1:5">
      <c r="A295">
        <v>294</v>
      </c>
      <c r="B295">
        <v>362350</v>
      </c>
      <c r="C295">
        <v>22825</v>
      </c>
      <c r="D295">
        <v>26241</v>
      </c>
      <c r="E295" t="s">
        <v>665</v>
      </c>
    </row>
    <row r="296" spans="1:5">
      <c r="A296">
        <v>295</v>
      </c>
      <c r="B296">
        <v>365663</v>
      </c>
      <c r="C296">
        <v>22978</v>
      </c>
      <c r="D296">
        <v>26364</v>
      </c>
      <c r="E296" t="s">
        <v>665</v>
      </c>
    </row>
    <row r="297" spans="1:5">
      <c r="A297">
        <v>296</v>
      </c>
      <c r="B297">
        <v>368999</v>
      </c>
      <c r="C297">
        <v>23132</v>
      </c>
      <c r="D297">
        <v>26487</v>
      </c>
      <c r="E297" t="s">
        <v>665</v>
      </c>
    </row>
    <row r="298" spans="1:5">
      <c r="A298">
        <v>297</v>
      </c>
      <c r="B298">
        <v>372356</v>
      </c>
      <c r="C298">
        <v>23287</v>
      </c>
      <c r="D298">
        <v>26610</v>
      </c>
      <c r="E298" t="s">
        <v>665</v>
      </c>
    </row>
    <row r="299" spans="1:5">
      <c r="A299">
        <v>298</v>
      </c>
      <c r="B299">
        <v>375736</v>
      </c>
      <c r="C299">
        <v>23443</v>
      </c>
      <c r="D299">
        <v>26733</v>
      </c>
      <c r="E299" t="s">
        <v>665</v>
      </c>
    </row>
    <row r="300" spans="1:5">
      <c r="A300">
        <v>299</v>
      </c>
      <c r="B300">
        <v>379139</v>
      </c>
      <c r="C300">
        <v>23599</v>
      </c>
      <c r="D300">
        <v>26857</v>
      </c>
      <c r="E300" t="s">
        <v>665</v>
      </c>
    </row>
    <row r="301" spans="1:5">
      <c r="A301">
        <v>300</v>
      </c>
      <c r="B301">
        <v>382564</v>
      </c>
      <c r="C301">
        <v>23757</v>
      </c>
      <c r="D301">
        <v>26981</v>
      </c>
      <c r="E301" t="s">
        <v>665</v>
      </c>
    </row>
    <row r="302" spans="1:5">
      <c r="A302">
        <v>301</v>
      </c>
      <c r="B302">
        <v>386012</v>
      </c>
      <c r="C302">
        <v>23915</v>
      </c>
      <c r="D302">
        <v>27105</v>
      </c>
      <c r="E302" t="s">
        <v>665</v>
      </c>
    </row>
    <row r="303" spans="1:5">
      <c r="A303">
        <v>302</v>
      </c>
      <c r="B303">
        <v>389482</v>
      </c>
      <c r="C303">
        <v>24074</v>
      </c>
      <c r="D303">
        <v>27230</v>
      </c>
      <c r="E303" t="s">
        <v>665</v>
      </c>
    </row>
    <row r="304" spans="1:5">
      <c r="A304">
        <v>303</v>
      </c>
      <c r="B304">
        <v>392976</v>
      </c>
      <c r="C304">
        <v>24234</v>
      </c>
      <c r="D304">
        <v>27354</v>
      </c>
      <c r="E304" t="s">
        <v>665</v>
      </c>
    </row>
    <row r="305" spans="1:5">
      <c r="A305">
        <v>304</v>
      </c>
      <c r="B305">
        <v>396492</v>
      </c>
      <c r="C305">
        <v>24396</v>
      </c>
      <c r="D305">
        <v>27479</v>
      </c>
      <c r="E305" t="s">
        <v>665</v>
      </c>
    </row>
    <row r="306" spans="1:5">
      <c r="A306">
        <v>305</v>
      </c>
      <c r="B306">
        <v>400032</v>
      </c>
      <c r="C306">
        <v>24558</v>
      </c>
      <c r="D306">
        <v>27604</v>
      </c>
      <c r="E306" t="s">
        <v>665</v>
      </c>
    </row>
    <row r="307" spans="1:5">
      <c r="A307">
        <v>306</v>
      </c>
      <c r="B307">
        <v>403595</v>
      </c>
      <c r="C307">
        <v>24721</v>
      </c>
      <c r="D307">
        <v>27730</v>
      </c>
      <c r="E307" t="s">
        <v>665</v>
      </c>
    </row>
    <row r="308" spans="1:5">
      <c r="A308">
        <v>307</v>
      </c>
      <c r="B308">
        <v>407181</v>
      </c>
      <c r="C308">
        <v>24884</v>
      </c>
      <c r="D308">
        <v>27855</v>
      </c>
      <c r="E308" t="s">
        <v>665</v>
      </c>
    </row>
    <row r="309" spans="1:5">
      <c r="A309">
        <v>308</v>
      </c>
      <c r="B309">
        <v>410791</v>
      </c>
      <c r="C309">
        <v>25049</v>
      </c>
      <c r="D309">
        <v>27981</v>
      </c>
      <c r="E309" t="s">
        <v>665</v>
      </c>
    </row>
    <row r="310" spans="1:5">
      <c r="A310">
        <v>309</v>
      </c>
      <c r="B310">
        <v>414424</v>
      </c>
      <c r="C310">
        <v>25215</v>
      </c>
      <c r="D310">
        <v>28107</v>
      </c>
      <c r="E310" t="s">
        <v>665</v>
      </c>
    </row>
    <row r="311" spans="1:5">
      <c r="A311">
        <v>310</v>
      </c>
      <c r="B311">
        <v>418081</v>
      </c>
      <c r="C311">
        <v>25382</v>
      </c>
      <c r="D311">
        <v>28233</v>
      </c>
      <c r="E311" t="s">
        <v>665</v>
      </c>
    </row>
    <row r="312" spans="1:5">
      <c r="A312">
        <v>311</v>
      </c>
      <c r="B312">
        <v>421762</v>
      </c>
      <c r="C312">
        <v>25549</v>
      </c>
      <c r="D312">
        <v>28359</v>
      </c>
      <c r="E312" t="s">
        <v>665</v>
      </c>
    </row>
    <row r="313" spans="1:5">
      <c r="A313">
        <v>312</v>
      </c>
      <c r="B313">
        <v>425466</v>
      </c>
      <c r="C313">
        <v>25718</v>
      </c>
      <c r="D313">
        <v>28486</v>
      </c>
      <c r="E313" t="s">
        <v>665</v>
      </c>
    </row>
    <row r="314" spans="1:5">
      <c r="A314">
        <v>313</v>
      </c>
      <c r="B314">
        <v>429195</v>
      </c>
      <c r="C314">
        <v>25887</v>
      </c>
      <c r="D314">
        <v>28613</v>
      </c>
      <c r="E314" t="s">
        <v>665</v>
      </c>
    </row>
    <row r="315" spans="1:5">
      <c r="A315">
        <v>314</v>
      </c>
      <c r="B315">
        <v>432947</v>
      </c>
      <c r="C315">
        <v>26058</v>
      </c>
      <c r="D315">
        <v>28740</v>
      </c>
      <c r="E315" t="s">
        <v>665</v>
      </c>
    </row>
    <row r="316" spans="1:5">
      <c r="A316">
        <v>315</v>
      </c>
      <c r="B316">
        <v>436724</v>
      </c>
      <c r="C316">
        <v>26229</v>
      </c>
      <c r="D316">
        <v>28867</v>
      </c>
      <c r="E316" t="s">
        <v>665</v>
      </c>
    </row>
    <row r="317" spans="1:5">
      <c r="A317">
        <v>316</v>
      </c>
      <c r="B317">
        <v>440525</v>
      </c>
      <c r="C317">
        <v>26402</v>
      </c>
      <c r="D317">
        <v>28995</v>
      </c>
      <c r="E317" t="s">
        <v>665</v>
      </c>
    </row>
    <row r="318" spans="1:5">
      <c r="A318">
        <v>317</v>
      </c>
      <c r="B318">
        <v>444351</v>
      </c>
      <c r="C318">
        <v>26575</v>
      </c>
      <c r="D318">
        <v>29123</v>
      </c>
      <c r="E318" t="s">
        <v>665</v>
      </c>
    </row>
    <row r="319" spans="1:5">
      <c r="A319">
        <v>318</v>
      </c>
      <c r="B319">
        <v>448201</v>
      </c>
      <c r="C319">
        <v>26750</v>
      </c>
      <c r="D319">
        <v>29251</v>
      </c>
      <c r="E319" t="s">
        <v>665</v>
      </c>
    </row>
    <row r="320" spans="1:5">
      <c r="A320">
        <v>319</v>
      </c>
      <c r="B320">
        <v>452075</v>
      </c>
      <c r="C320">
        <v>26925</v>
      </c>
      <c r="D320">
        <v>29379</v>
      </c>
      <c r="E320" t="s">
        <v>665</v>
      </c>
    </row>
    <row r="321" spans="1:5">
      <c r="A321">
        <v>320</v>
      </c>
      <c r="B321">
        <v>455975</v>
      </c>
      <c r="C321">
        <v>27102</v>
      </c>
      <c r="D321">
        <v>29508</v>
      </c>
      <c r="E321" t="s">
        <v>665</v>
      </c>
    </row>
    <row r="322" spans="1:5">
      <c r="A322">
        <v>321</v>
      </c>
      <c r="B322">
        <v>459899</v>
      </c>
      <c r="C322">
        <v>27279</v>
      </c>
      <c r="D322">
        <v>29636</v>
      </c>
      <c r="E322" t="s">
        <v>665</v>
      </c>
    </row>
    <row r="323" spans="1:5">
      <c r="A323">
        <v>322</v>
      </c>
      <c r="B323">
        <v>463848</v>
      </c>
      <c r="C323">
        <v>27458</v>
      </c>
      <c r="D323">
        <v>29765</v>
      </c>
      <c r="E323" t="s">
        <v>665</v>
      </c>
    </row>
    <row r="324" spans="1:5">
      <c r="A324">
        <v>323</v>
      </c>
      <c r="B324">
        <v>467823</v>
      </c>
      <c r="C324">
        <v>27637</v>
      </c>
      <c r="D324">
        <v>29895</v>
      </c>
      <c r="E324" t="s">
        <v>665</v>
      </c>
    </row>
    <row r="325" spans="1:5">
      <c r="A325">
        <v>324</v>
      </c>
      <c r="B325">
        <v>471822</v>
      </c>
      <c r="C325">
        <v>27818</v>
      </c>
      <c r="D325">
        <v>30024</v>
      </c>
      <c r="E325" t="s">
        <v>665</v>
      </c>
    </row>
    <row r="326" spans="1:5">
      <c r="A326">
        <v>325</v>
      </c>
      <c r="B326">
        <v>475847</v>
      </c>
      <c r="C326">
        <v>27999</v>
      </c>
      <c r="D326">
        <v>30154</v>
      </c>
      <c r="E326" t="s">
        <v>665</v>
      </c>
    </row>
    <row r="327" spans="1:5">
      <c r="A327">
        <v>326</v>
      </c>
      <c r="B327">
        <v>479897</v>
      </c>
      <c r="C327">
        <v>28182</v>
      </c>
      <c r="D327">
        <v>30283</v>
      </c>
      <c r="E327" t="s">
        <v>665</v>
      </c>
    </row>
    <row r="328" spans="1:5">
      <c r="A328">
        <v>327</v>
      </c>
      <c r="B328">
        <v>483973</v>
      </c>
      <c r="C328">
        <v>28366</v>
      </c>
      <c r="D328">
        <v>30413</v>
      </c>
      <c r="E328" t="s">
        <v>665</v>
      </c>
    </row>
    <row r="329" spans="1:5">
      <c r="A329">
        <v>328</v>
      </c>
      <c r="B329">
        <v>488075</v>
      </c>
      <c r="C329">
        <v>28550</v>
      </c>
      <c r="D329">
        <v>30544</v>
      </c>
      <c r="E329" t="s">
        <v>665</v>
      </c>
    </row>
    <row r="330" spans="1:5">
      <c r="A330">
        <v>329</v>
      </c>
      <c r="B330">
        <v>492202</v>
      </c>
      <c r="C330">
        <v>28736</v>
      </c>
      <c r="D330">
        <v>30674</v>
      </c>
      <c r="E330" t="s">
        <v>665</v>
      </c>
    </row>
    <row r="331" spans="1:5">
      <c r="A331">
        <v>330</v>
      </c>
      <c r="B331">
        <v>496355</v>
      </c>
      <c r="C331">
        <v>28923</v>
      </c>
      <c r="D331">
        <v>30805</v>
      </c>
      <c r="E331" t="s">
        <v>665</v>
      </c>
    </row>
    <row r="332" spans="1:5">
      <c r="A332">
        <v>331</v>
      </c>
      <c r="B332">
        <v>500534</v>
      </c>
      <c r="C332">
        <v>29111</v>
      </c>
      <c r="D332">
        <v>30936</v>
      </c>
      <c r="E332" t="s">
        <v>665</v>
      </c>
    </row>
    <row r="333" spans="1:5">
      <c r="A333">
        <v>332</v>
      </c>
      <c r="B333">
        <v>504739</v>
      </c>
      <c r="C333">
        <v>29300</v>
      </c>
      <c r="D333">
        <v>31067</v>
      </c>
      <c r="E333" t="s">
        <v>665</v>
      </c>
    </row>
    <row r="334" spans="1:5">
      <c r="A334">
        <v>333</v>
      </c>
      <c r="B334">
        <v>508971</v>
      </c>
      <c r="C334">
        <v>29491</v>
      </c>
      <c r="D334">
        <v>31199</v>
      </c>
      <c r="E334" t="s">
        <v>665</v>
      </c>
    </row>
    <row r="335" spans="1:5">
      <c r="A335">
        <v>334</v>
      </c>
      <c r="B335">
        <v>513229</v>
      </c>
      <c r="C335">
        <v>29682</v>
      </c>
      <c r="D335">
        <v>31330</v>
      </c>
      <c r="E335" t="s">
        <v>665</v>
      </c>
    </row>
    <row r="336" spans="1:5">
      <c r="A336">
        <v>335</v>
      </c>
      <c r="B336">
        <v>517513</v>
      </c>
      <c r="C336">
        <v>29874</v>
      </c>
      <c r="D336">
        <v>31462</v>
      </c>
      <c r="E336" t="s">
        <v>665</v>
      </c>
    </row>
    <row r="337" spans="1:5">
      <c r="A337">
        <v>336</v>
      </c>
      <c r="B337">
        <v>521824</v>
      </c>
      <c r="C337">
        <v>30068</v>
      </c>
      <c r="D337">
        <v>31594</v>
      </c>
      <c r="E337" t="s">
        <v>665</v>
      </c>
    </row>
    <row r="338" spans="1:5">
      <c r="A338">
        <v>337</v>
      </c>
      <c r="B338">
        <v>526161</v>
      </c>
      <c r="C338">
        <v>30263</v>
      </c>
      <c r="D338">
        <v>31727</v>
      </c>
      <c r="E338" t="s">
        <v>665</v>
      </c>
    </row>
    <row r="339" spans="1:5">
      <c r="A339">
        <v>338</v>
      </c>
      <c r="B339">
        <v>530526</v>
      </c>
      <c r="C339">
        <v>30458</v>
      </c>
      <c r="D339">
        <v>31859</v>
      </c>
      <c r="E339" t="s">
        <v>665</v>
      </c>
    </row>
    <row r="340" spans="1:5">
      <c r="A340">
        <v>339</v>
      </c>
      <c r="B340">
        <v>534917</v>
      </c>
      <c r="C340">
        <v>30655</v>
      </c>
      <c r="D340">
        <v>31992</v>
      </c>
      <c r="E340" t="s">
        <v>665</v>
      </c>
    </row>
    <row r="341" spans="1:5">
      <c r="A341">
        <v>340</v>
      </c>
      <c r="B341">
        <v>539335</v>
      </c>
      <c r="C341">
        <v>30853</v>
      </c>
      <c r="D341">
        <v>32125</v>
      </c>
      <c r="E341" t="s">
        <v>665</v>
      </c>
    </row>
    <row r="342" spans="1:5">
      <c r="A342">
        <v>341</v>
      </c>
      <c r="B342">
        <v>543781</v>
      </c>
      <c r="C342">
        <v>31053</v>
      </c>
      <c r="D342">
        <v>32258</v>
      </c>
      <c r="E342" t="s">
        <v>665</v>
      </c>
    </row>
    <row r="343" spans="1:5">
      <c r="A343">
        <v>342</v>
      </c>
      <c r="B343">
        <v>548254</v>
      </c>
      <c r="C343">
        <v>31253</v>
      </c>
      <c r="D343">
        <v>32392</v>
      </c>
      <c r="E343" t="s">
        <v>665</v>
      </c>
    </row>
    <row r="344" spans="1:5">
      <c r="A344">
        <v>343</v>
      </c>
      <c r="B344">
        <v>552754</v>
      </c>
      <c r="C344">
        <v>31455</v>
      </c>
      <c r="D344">
        <v>32526</v>
      </c>
      <c r="E344" t="s">
        <v>665</v>
      </c>
    </row>
    <row r="345" spans="1:5">
      <c r="A345">
        <v>344</v>
      </c>
      <c r="B345">
        <v>557282</v>
      </c>
      <c r="C345">
        <v>31657</v>
      </c>
      <c r="D345">
        <v>32660</v>
      </c>
      <c r="E345" t="s">
        <v>665</v>
      </c>
    </row>
    <row r="346" spans="1:5">
      <c r="A346">
        <v>345</v>
      </c>
      <c r="B346">
        <v>561837</v>
      </c>
      <c r="C346">
        <v>31861</v>
      </c>
      <c r="D346">
        <v>32794</v>
      </c>
      <c r="E346" t="s">
        <v>665</v>
      </c>
    </row>
    <row r="347" spans="1:5">
      <c r="A347">
        <v>346</v>
      </c>
      <c r="B347">
        <v>566420</v>
      </c>
      <c r="C347">
        <v>32067</v>
      </c>
      <c r="D347">
        <v>32928</v>
      </c>
      <c r="E347" t="s">
        <v>665</v>
      </c>
    </row>
    <row r="348" spans="1:5">
      <c r="A348">
        <v>347</v>
      </c>
      <c r="B348">
        <v>571031</v>
      </c>
      <c r="C348">
        <v>32273</v>
      </c>
      <c r="D348">
        <v>33063</v>
      </c>
      <c r="E348" t="s">
        <v>665</v>
      </c>
    </row>
    <row r="349" spans="1:5">
      <c r="A349">
        <v>348</v>
      </c>
      <c r="B349">
        <v>575671</v>
      </c>
      <c r="C349">
        <v>32481</v>
      </c>
      <c r="D349">
        <v>33198</v>
      </c>
      <c r="E349" t="s">
        <v>665</v>
      </c>
    </row>
    <row r="350" spans="1:5">
      <c r="A350">
        <v>349</v>
      </c>
      <c r="B350">
        <v>580338</v>
      </c>
      <c r="C350">
        <v>32689</v>
      </c>
      <c r="D350">
        <v>33333</v>
      </c>
      <c r="E350" t="s">
        <v>665</v>
      </c>
    </row>
    <row r="351" spans="1:5">
      <c r="A351">
        <v>350</v>
      </c>
      <c r="B351">
        <v>585033</v>
      </c>
      <c r="C351">
        <v>32899</v>
      </c>
      <c r="D351">
        <v>33468</v>
      </c>
      <c r="E351" t="s">
        <v>665</v>
      </c>
    </row>
    <row r="352" spans="1:5">
      <c r="A352">
        <v>351</v>
      </c>
      <c r="B352">
        <v>589757</v>
      </c>
      <c r="C352">
        <v>33111</v>
      </c>
      <c r="D352">
        <v>33604</v>
      </c>
      <c r="E352" t="s">
        <v>665</v>
      </c>
    </row>
    <row r="353" spans="1:5">
      <c r="A353">
        <v>352</v>
      </c>
      <c r="B353">
        <v>594510</v>
      </c>
      <c r="C353">
        <v>33323</v>
      </c>
      <c r="D353">
        <v>33739</v>
      </c>
      <c r="E353" t="s">
        <v>665</v>
      </c>
    </row>
    <row r="354" spans="1:5">
      <c r="A354">
        <v>353</v>
      </c>
      <c r="B354">
        <v>599291</v>
      </c>
      <c r="C354">
        <v>33537</v>
      </c>
      <c r="D354">
        <v>33875</v>
      </c>
      <c r="E354" t="s">
        <v>665</v>
      </c>
    </row>
    <row r="355" spans="1:5">
      <c r="A355">
        <v>354</v>
      </c>
      <c r="B355">
        <v>604100</v>
      </c>
      <c r="C355">
        <v>33752</v>
      </c>
      <c r="D355">
        <v>34012</v>
      </c>
      <c r="E355" t="s">
        <v>665</v>
      </c>
    </row>
    <row r="356" spans="1:5">
      <c r="A356">
        <v>355</v>
      </c>
      <c r="B356">
        <v>608939</v>
      </c>
      <c r="C356">
        <v>33968</v>
      </c>
      <c r="D356">
        <v>34148</v>
      </c>
      <c r="E356" t="s">
        <v>665</v>
      </c>
    </row>
    <row r="357" spans="1:5">
      <c r="A357">
        <v>356</v>
      </c>
      <c r="B357">
        <v>613807</v>
      </c>
      <c r="C357">
        <v>34186</v>
      </c>
      <c r="D357">
        <v>34285</v>
      </c>
      <c r="E357" t="s">
        <v>665</v>
      </c>
    </row>
    <row r="358" spans="1:5">
      <c r="A358">
        <v>357</v>
      </c>
      <c r="B358">
        <v>618704</v>
      </c>
      <c r="C358">
        <v>34405</v>
      </c>
      <c r="D358">
        <v>34422</v>
      </c>
      <c r="E358" t="s">
        <v>665</v>
      </c>
    </row>
    <row r="359" spans="1:5">
      <c r="A359">
        <v>358</v>
      </c>
      <c r="B359">
        <v>623630</v>
      </c>
      <c r="C359">
        <v>34625</v>
      </c>
      <c r="D359">
        <v>34559</v>
      </c>
      <c r="E359" t="s">
        <v>665</v>
      </c>
    </row>
    <row r="360" spans="1:5">
      <c r="A360">
        <v>359</v>
      </c>
      <c r="B360">
        <v>628585</v>
      </c>
      <c r="C360">
        <v>34847</v>
      </c>
      <c r="D360">
        <v>34696</v>
      </c>
      <c r="E360" t="s">
        <v>665</v>
      </c>
    </row>
    <row r="361" spans="1:5">
      <c r="A361">
        <v>360</v>
      </c>
      <c r="B361">
        <v>633570</v>
      </c>
      <c r="C361">
        <v>35069</v>
      </c>
      <c r="D361">
        <v>34834</v>
      </c>
      <c r="E361" t="s">
        <v>665</v>
      </c>
    </row>
    <row r="362" spans="1:5">
      <c r="A362">
        <v>361</v>
      </c>
      <c r="B362">
        <v>638585</v>
      </c>
      <c r="C362">
        <v>35293</v>
      </c>
      <c r="D362">
        <v>34972</v>
      </c>
      <c r="E362" t="s">
        <v>665</v>
      </c>
    </row>
    <row r="363" spans="1:5">
      <c r="A363">
        <v>362</v>
      </c>
      <c r="B363">
        <v>643629</v>
      </c>
      <c r="C363">
        <v>35519</v>
      </c>
      <c r="D363">
        <v>35110</v>
      </c>
      <c r="E363" t="s">
        <v>665</v>
      </c>
    </row>
    <row r="364" spans="1:5">
      <c r="A364">
        <v>363</v>
      </c>
      <c r="B364">
        <v>648704</v>
      </c>
      <c r="C364">
        <v>35746</v>
      </c>
      <c r="D364">
        <v>35248</v>
      </c>
      <c r="E364" t="s">
        <v>665</v>
      </c>
    </row>
    <row r="365" spans="1:5">
      <c r="A365">
        <v>364</v>
      </c>
      <c r="B365">
        <v>653808</v>
      </c>
      <c r="C365">
        <v>35974</v>
      </c>
      <c r="D365">
        <v>35386</v>
      </c>
      <c r="E365" t="s">
        <v>665</v>
      </c>
    </row>
    <row r="366" spans="1:5">
      <c r="A366">
        <v>365</v>
      </c>
      <c r="B366">
        <v>658942</v>
      </c>
      <c r="C366">
        <v>36203</v>
      </c>
      <c r="D366">
        <v>35525</v>
      </c>
      <c r="E366" t="s">
        <v>665</v>
      </c>
    </row>
    <row r="367" spans="1:5">
      <c r="A367">
        <v>366</v>
      </c>
      <c r="B367">
        <v>664107</v>
      </c>
      <c r="C367">
        <v>36434</v>
      </c>
      <c r="D367">
        <v>35664</v>
      </c>
      <c r="E367" t="s">
        <v>665</v>
      </c>
    </row>
    <row r="368" spans="1:5">
      <c r="A368">
        <v>367</v>
      </c>
      <c r="B368">
        <v>669303</v>
      </c>
      <c r="C368">
        <v>36666</v>
      </c>
      <c r="D368">
        <v>35803</v>
      </c>
      <c r="E368" t="s">
        <v>665</v>
      </c>
    </row>
    <row r="369" spans="1:5">
      <c r="A369">
        <v>368</v>
      </c>
      <c r="B369">
        <v>674528</v>
      </c>
      <c r="C369">
        <v>36900</v>
      </c>
      <c r="D369">
        <v>35943</v>
      </c>
      <c r="E369" t="s">
        <v>665</v>
      </c>
    </row>
    <row r="370" spans="1:5">
      <c r="A370">
        <v>369</v>
      </c>
      <c r="B370">
        <v>679785</v>
      </c>
      <c r="C370">
        <v>37135</v>
      </c>
      <c r="D370">
        <v>36082</v>
      </c>
      <c r="E370" t="s">
        <v>665</v>
      </c>
    </row>
    <row r="371" spans="1:5">
      <c r="A371">
        <v>370</v>
      </c>
      <c r="B371">
        <v>685072</v>
      </c>
      <c r="C371">
        <v>37371</v>
      </c>
      <c r="D371">
        <v>36222</v>
      </c>
      <c r="E371" t="s">
        <v>665</v>
      </c>
    </row>
    <row r="372" spans="1:5">
      <c r="A372">
        <v>371</v>
      </c>
      <c r="B372">
        <v>690390</v>
      </c>
      <c r="C372">
        <v>37609</v>
      </c>
      <c r="D372">
        <v>36362</v>
      </c>
      <c r="E372" t="s">
        <v>665</v>
      </c>
    </row>
    <row r="373" spans="1:5">
      <c r="A373">
        <v>372</v>
      </c>
      <c r="B373">
        <v>695739</v>
      </c>
      <c r="C373">
        <v>37849</v>
      </c>
      <c r="D373">
        <v>36502</v>
      </c>
      <c r="E373" t="s">
        <v>665</v>
      </c>
    </row>
    <row r="374" spans="1:5">
      <c r="A374">
        <v>373</v>
      </c>
      <c r="B374">
        <v>701120</v>
      </c>
      <c r="C374">
        <v>38089</v>
      </c>
      <c r="D374">
        <v>36643</v>
      </c>
      <c r="E374" t="s">
        <v>665</v>
      </c>
    </row>
    <row r="375" spans="1:5">
      <c r="A375">
        <v>374</v>
      </c>
      <c r="B375">
        <v>706532</v>
      </c>
      <c r="C375">
        <v>38331</v>
      </c>
      <c r="D375">
        <v>36784</v>
      </c>
      <c r="E375" t="s">
        <v>665</v>
      </c>
    </row>
    <row r="376" spans="1:5">
      <c r="A376">
        <v>375</v>
      </c>
      <c r="B376">
        <v>711975</v>
      </c>
      <c r="C376">
        <v>38575</v>
      </c>
      <c r="D376">
        <v>36925</v>
      </c>
      <c r="E376" t="s">
        <v>665</v>
      </c>
    </row>
    <row r="377" spans="1:5">
      <c r="A377">
        <v>376</v>
      </c>
      <c r="B377">
        <v>717450</v>
      </c>
      <c r="C377">
        <v>38820</v>
      </c>
      <c r="D377">
        <v>37066</v>
      </c>
      <c r="E377" t="s">
        <v>665</v>
      </c>
    </row>
    <row r="378" spans="1:5">
      <c r="A378">
        <v>377</v>
      </c>
      <c r="B378">
        <v>722957</v>
      </c>
      <c r="C378">
        <v>39067</v>
      </c>
      <c r="D378">
        <v>37207</v>
      </c>
      <c r="E378" t="s">
        <v>665</v>
      </c>
    </row>
    <row r="379" spans="1:5">
      <c r="A379">
        <v>378</v>
      </c>
      <c r="B379">
        <v>728495</v>
      </c>
      <c r="C379">
        <v>39315</v>
      </c>
      <c r="D379">
        <v>37349</v>
      </c>
      <c r="E379" t="s">
        <v>665</v>
      </c>
    </row>
    <row r="380" spans="1:5">
      <c r="A380">
        <v>379</v>
      </c>
      <c r="B380">
        <v>734066</v>
      </c>
      <c r="C380">
        <v>39564</v>
      </c>
      <c r="D380">
        <v>37491</v>
      </c>
      <c r="E380" t="s">
        <v>665</v>
      </c>
    </row>
    <row r="381" spans="1:5">
      <c r="A381">
        <v>380</v>
      </c>
      <c r="B381">
        <v>739668</v>
      </c>
      <c r="C381">
        <v>39815</v>
      </c>
      <c r="D381">
        <v>37633</v>
      </c>
      <c r="E381" t="s">
        <v>665</v>
      </c>
    </row>
    <row r="382" spans="1:5">
      <c r="A382">
        <v>381</v>
      </c>
      <c r="B382">
        <v>745303</v>
      </c>
      <c r="C382">
        <v>40068</v>
      </c>
      <c r="D382">
        <v>37776</v>
      </c>
      <c r="E382" t="s">
        <v>665</v>
      </c>
    </row>
    <row r="383" spans="1:5">
      <c r="A383">
        <v>382</v>
      </c>
      <c r="B383">
        <v>750971</v>
      </c>
      <c r="C383">
        <v>40322</v>
      </c>
      <c r="D383">
        <v>37918</v>
      </c>
      <c r="E383" t="s">
        <v>665</v>
      </c>
    </row>
    <row r="384" spans="1:5">
      <c r="A384">
        <v>383</v>
      </c>
      <c r="B384">
        <v>756671</v>
      </c>
      <c r="C384">
        <v>40577</v>
      </c>
      <c r="D384">
        <v>38061</v>
      </c>
      <c r="E384" t="s">
        <v>665</v>
      </c>
    </row>
    <row r="385" spans="1:5">
      <c r="A385">
        <v>384</v>
      </c>
      <c r="B385">
        <v>762404</v>
      </c>
      <c r="C385">
        <v>40834</v>
      </c>
      <c r="D385">
        <v>38204</v>
      </c>
      <c r="E385" t="s">
        <v>665</v>
      </c>
    </row>
    <row r="386" spans="1:5">
      <c r="A386">
        <v>385</v>
      </c>
      <c r="B386">
        <v>768169</v>
      </c>
      <c r="C386">
        <v>41093</v>
      </c>
      <c r="D386">
        <v>38347</v>
      </c>
      <c r="E386" t="s">
        <v>665</v>
      </c>
    </row>
    <row r="387" spans="1:5">
      <c r="A387">
        <v>386</v>
      </c>
      <c r="B387">
        <v>773968</v>
      </c>
      <c r="C387">
        <v>41353</v>
      </c>
      <c r="D387">
        <v>38491</v>
      </c>
      <c r="E387" t="s">
        <v>665</v>
      </c>
    </row>
    <row r="388" spans="1:5">
      <c r="A388">
        <v>387</v>
      </c>
      <c r="B388">
        <v>779799</v>
      </c>
      <c r="C388">
        <v>41615</v>
      </c>
      <c r="D388">
        <v>38634</v>
      </c>
      <c r="E388" t="s">
        <v>665</v>
      </c>
    </row>
    <row r="389" spans="1:5">
      <c r="A389">
        <v>388</v>
      </c>
      <c r="B389">
        <v>785664</v>
      </c>
      <c r="C389">
        <v>41878</v>
      </c>
      <c r="D389">
        <v>38778</v>
      </c>
      <c r="E389" t="s">
        <v>665</v>
      </c>
    </row>
    <row r="390" spans="1:5">
      <c r="A390">
        <v>389</v>
      </c>
      <c r="B390">
        <v>791562</v>
      </c>
      <c r="C390">
        <v>42143</v>
      </c>
      <c r="D390">
        <v>38923</v>
      </c>
      <c r="E390" t="s">
        <v>665</v>
      </c>
    </row>
    <row r="391" spans="1:5">
      <c r="A391">
        <v>390</v>
      </c>
      <c r="B391">
        <v>797494</v>
      </c>
      <c r="C391">
        <v>42410</v>
      </c>
      <c r="D391">
        <v>39067</v>
      </c>
      <c r="E391" t="s">
        <v>665</v>
      </c>
    </row>
    <row r="392" spans="1:5">
      <c r="A392">
        <v>391</v>
      </c>
      <c r="B392">
        <v>803460</v>
      </c>
      <c r="C392">
        <v>42678</v>
      </c>
      <c r="D392">
        <v>39212</v>
      </c>
      <c r="E392" t="s">
        <v>665</v>
      </c>
    </row>
    <row r="393" spans="1:5">
      <c r="A393">
        <v>392</v>
      </c>
      <c r="B393">
        <v>809459</v>
      </c>
      <c r="C393">
        <v>42948</v>
      </c>
      <c r="D393">
        <v>39357</v>
      </c>
      <c r="E393" t="s">
        <v>665</v>
      </c>
    </row>
    <row r="394" spans="1:5">
      <c r="A394">
        <v>393</v>
      </c>
      <c r="B394">
        <v>815492</v>
      </c>
      <c r="C394">
        <v>43219</v>
      </c>
      <c r="D394">
        <v>39502</v>
      </c>
      <c r="E394" t="s">
        <v>665</v>
      </c>
    </row>
    <row r="395" spans="1:5">
      <c r="A395">
        <v>394</v>
      </c>
      <c r="B395">
        <v>821560</v>
      </c>
      <c r="C395">
        <v>43492</v>
      </c>
      <c r="D395">
        <v>39647</v>
      </c>
      <c r="E395" t="s">
        <v>665</v>
      </c>
    </row>
    <row r="396" spans="1:5">
      <c r="A396">
        <v>395</v>
      </c>
      <c r="B396">
        <v>827661</v>
      </c>
      <c r="C396">
        <v>43767</v>
      </c>
      <c r="D396">
        <v>39792</v>
      </c>
      <c r="E396" t="s">
        <v>665</v>
      </c>
    </row>
    <row r="397" spans="1:5">
      <c r="A397">
        <v>396</v>
      </c>
      <c r="B397">
        <v>833797</v>
      </c>
      <c r="C397">
        <v>44043</v>
      </c>
      <c r="D397">
        <v>39938</v>
      </c>
      <c r="E397" t="s">
        <v>665</v>
      </c>
    </row>
    <row r="398" spans="1:5">
      <c r="A398">
        <v>397</v>
      </c>
      <c r="B398">
        <v>839968</v>
      </c>
      <c r="C398">
        <v>44322</v>
      </c>
      <c r="D398">
        <v>40084</v>
      </c>
      <c r="E398" t="s">
        <v>665</v>
      </c>
    </row>
    <row r="399" spans="1:5">
      <c r="A399">
        <v>398</v>
      </c>
      <c r="B399">
        <v>846173</v>
      </c>
      <c r="C399">
        <v>44601</v>
      </c>
      <c r="D399">
        <v>40230</v>
      </c>
      <c r="E399" t="s">
        <v>665</v>
      </c>
    </row>
    <row r="400" spans="1:5">
      <c r="A400">
        <v>399</v>
      </c>
      <c r="B400">
        <v>852413</v>
      </c>
      <c r="C400">
        <v>44883</v>
      </c>
      <c r="D400">
        <v>40377</v>
      </c>
      <c r="E400" t="s">
        <v>665</v>
      </c>
    </row>
    <row r="401" spans="1:5">
      <c r="A401">
        <v>400</v>
      </c>
      <c r="B401">
        <v>858688</v>
      </c>
      <c r="C401">
        <v>45166</v>
      </c>
      <c r="D401">
        <v>40524</v>
      </c>
      <c r="E401" t="s">
        <v>665</v>
      </c>
    </row>
    <row r="402" spans="1:5">
      <c r="A402">
        <v>401</v>
      </c>
      <c r="B402">
        <v>864998</v>
      </c>
      <c r="C402">
        <v>45451</v>
      </c>
      <c r="D402">
        <v>40671</v>
      </c>
      <c r="E402" t="s">
        <v>665</v>
      </c>
    </row>
    <row r="403" spans="1:5">
      <c r="A403">
        <v>402</v>
      </c>
      <c r="B403">
        <v>871344</v>
      </c>
      <c r="C403">
        <v>45738</v>
      </c>
      <c r="D403">
        <v>40818</v>
      </c>
      <c r="E403" t="s">
        <v>665</v>
      </c>
    </row>
    <row r="404" spans="1:5">
      <c r="A404">
        <v>403</v>
      </c>
      <c r="B404">
        <v>877724</v>
      </c>
      <c r="C404">
        <v>46026</v>
      </c>
      <c r="D404">
        <v>40965</v>
      </c>
      <c r="E404" t="s">
        <v>665</v>
      </c>
    </row>
    <row r="405" spans="1:5">
      <c r="A405">
        <v>404</v>
      </c>
      <c r="B405">
        <v>884141</v>
      </c>
      <c r="C405">
        <v>46316</v>
      </c>
      <c r="D405">
        <v>41113</v>
      </c>
      <c r="E405" t="s">
        <v>665</v>
      </c>
    </row>
    <row r="406" spans="1:5">
      <c r="A406">
        <v>405</v>
      </c>
      <c r="B406">
        <v>890593</v>
      </c>
      <c r="C406">
        <v>46608</v>
      </c>
      <c r="D406">
        <v>41260</v>
      </c>
      <c r="E406" t="s">
        <v>665</v>
      </c>
    </row>
    <row r="407" spans="1:5">
      <c r="A407">
        <v>406</v>
      </c>
      <c r="B407">
        <v>897081</v>
      </c>
      <c r="C407">
        <v>46902</v>
      </c>
      <c r="D407">
        <v>41408</v>
      </c>
      <c r="E407" t="s">
        <v>665</v>
      </c>
    </row>
    <row r="408" spans="1:5">
      <c r="A408">
        <v>407</v>
      </c>
      <c r="B408">
        <v>903605</v>
      </c>
      <c r="C408">
        <v>47198</v>
      </c>
      <c r="D408">
        <v>41557</v>
      </c>
      <c r="E408" t="s">
        <v>665</v>
      </c>
    </row>
    <row r="409" spans="1:5">
      <c r="A409">
        <v>408</v>
      </c>
      <c r="B409">
        <v>910165</v>
      </c>
      <c r="C409">
        <v>47495</v>
      </c>
      <c r="D409">
        <v>41705</v>
      </c>
      <c r="E409" t="s">
        <v>665</v>
      </c>
    </row>
    <row r="410" spans="1:5">
      <c r="A410">
        <v>409</v>
      </c>
      <c r="B410">
        <v>916761</v>
      </c>
      <c r="C410">
        <v>47794</v>
      </c>
      <c r="D410">
        <v>41854</v>
      </c>
      <c r="E410" t="s">
        <v>665</v>
      </c>
    </row>
    <row r="411" spans="1:5">
      <c r="A411">
        <v>410</v>
      </c>
      <c r="B411">
        <v>923394</v>
      </c>
      <c r="C411">
        <v>48095</v>
      </c>
      <c r="D411">
        <v>42003</v>
      </c>
      <c r="E411" t="s">
        <v>665</v>
      </c>
    </row>
    <row r="412" spans="1:5">
      <c r="A412">
        <v>411</v>
      </c>
      <c r="B412">
        <v>930063</v>
      </c>
      <c r="C412">
        <v>48398</v>
      </c>
      <c r="D412">
        <v>42152</v>
      </c>
      <c r="E412" t="s">
        <v>665</v>
      </c>
    </row>
    <row r="413" spans="1:5">
      <c r="A413">
        <v>412</v>
      </c>
      <c r="B413">
        <v>936769</v>
      </c>
      <c r="C413">
        <v>48703</v>
      </c>
      <c r="D413">
        <v>42302</v>
      </c>
      <c r="E413" t="s">
        <v>665</v>
      </c>
    </row>
    <row r="414" spans="1:5">
      <c r="A414">
        <v>413</v>
      </c>
      <c r="B414">
        <v>943512</v>
      </c>
      <c r="C414">
        <v>49009</v>
      </c>
      <c r="D414">
        <v>42451</v>
      </c>
      <c r="E414" t="s">
        <v>665</v>
      </c>
    </row>
    <row r="415" spans="1:5">
      <c r="A415">
        <v>414</v>
      </c>
      <c r="B415">
        <v>950292</v>
      </c>
      <c r="C415">
        <v>49318</v>
      </c>
      <c r="D415">
        <v>42601</v>
      </c>
      <c r="E415" t="s">
        <v>665</v>
      </c>
    </row>
    <row r="416" spans="1:5">
      <c r="A416">
        <v>415</v>
      </c>
      <c r="B416">
        <v>957110</v>
      </c>
      <c r="C416">
        <v>49628</v>
      </c>
      <c r="D416">
        <v>42751</v>
      </c>
      <c r="E416" t="s">
        <v>665</v>
      </c>
    </row>
    <row r="417" spans="1:5">
      <c r="A417">
        <v>416</v>
      </c>
      <c r="B417">
        <v>963964</v>
      </c>
      <c r="C417">
        <v>49941</v>
      </c>
      <c r="D417">
        <v>42901</v>
      </c>
      <c r="E417" t="s">
        <v>665</v>
      </c>
    </row>
    <row r="418" spans="1:5">
      <c r="A418">
        <v>417</v>
      </c>
      <c r="B418">
        <v>970856</v>
      </c>
      <c r="C418">
        <v>50255</v>
      </c>
      <c r="D418">
        <v>43052</v>
      </c>
      <c r="E418" t="s">
        <v>665</v>
      </c>
    </row>
    <row r="419" spans="1:5">
      <c r="A419">
        <v>418</v>
      </c>
      <c r="B419">
        <v>977786</v>
      </c>
      <c r="C419">
        <v>50571</v>
      </c>
      <c r="D419">
        <v>43203</v>
      </c>
      <c r="E419" t="s">
        <v>665</v>
      </c>
    </row>
    <row r="420" spans="1:5">
      <c r="A420">
        <v>419</v>
      </c>
      <c r="B420">
        <v>984754</v>
      </c>
      <c r="C420">
        <v>50889</v>
      </c>
      <c r="D420">
        <v>43354</v>
      </c>
      <c r="E420" t="s">
        <v>665</v>
      </c>
    </row>
    <row r="421" spans="1:5">
      <c r="A421">
        <v>420</v>
      </c>
      <c r="B421">
        <v>991760</v>
      </c>
      <c r="C421">
        <v>51209</v>
      </c>
      <c r="D421">
        <v>43505</v>
      </c>
      <c r="E421" t="s">
        <v>665</v>
      </c>
    </row>
    <row r="422" spans="1:5">
      <c r="A422">
        <v>421</v>
      </c>
      <c r="B422">
        <v>998803</v>
      </c>
      <c r="C422">
        <v>51531</v>
      </c>
      <c r="D422">
        <v>43656</v>
      </c>
      <c r="E422" t="s">
        <v>665</v>
      </c>
    </row>
    <row r="423" spans="1:5">
      <c r="A423">
        <v>422</v>
      </c>
      <c r="B423">
        <v>1005885</v>
      </c>
      <c r="C423">
        <v>51855</v>
      </c>
      <c r="D423">
        <v>43808</v>
      </c>
      <c r="E423" t="s">
        <v>665</v>
      </c>
    </row>
    <row r="424" spans="1:5">
      <c r="A424">
        <v>423</v>
      </c>
      <c r="B424">
        <v>1013006</v>
      </c>
      <c r="C424">
        <v>52181</v>
      </c>
      <c r="D424">
        <v>43960</v>
      </c>
      <c r="E424" t="s">
        <v>665</v>
      </c>
    </row>
    <row r="425" spans="1:5">
      <c r="A425">
        <v>424</v>
      </c>
      <c r="B425">
        <v>1020165</v>
      </c>
      <c r="C425">
        <v>52509</v>
      </c>
      <c r="D425">
        <v>44112</v>
      </c>
      <c r="E425" t="s">
        <v>665</v>
      </c>
    </row>
    <row r="426" spans="1:5">
      <c r="A426">
        <v>425</v>
      </c>
      <c r="B426">
        <v>1027363</v>
      </c>
      <c r="C426">
        <v>52839</v>
      </c>
      <c r="D426">
        <v>44265</v>
      </c>
      <c r="E426" t="s">
        <v>665</v>
      </c>
    </row>
    <row r="427" spans="1:5">
      <c r="A427">
        <v>426</v>
      </c>
      <c r="B427">
        <v>1034600</v>
      </c>
      <c r="C427">
        <v>53171</v>
      </c>
      <c r="D427">
        <v>44417</v>
      </c>
      <c r="E427" t="s">
        <v>665</v>
      </c>
    </row>
    <row r="428" spans="1:5">
      <c r="A428">
        <v>427</v>
      </c>
      <c r="B428">
        <v>1041875</v>
      </c>
      <c r="C428">
        <v>53505</v>
      </c>
      <c r="D428">
        <v>44570</v>
      </c>
      <c r="E428" t="s">
        <v>665</v>
      </c>
    </row>
    <row r="429" spans="1:5">
      <c r="A429">
        <v>428</v>
      </c>
      <c r="B429">
        <v>1049190</v>
      </c>
      <c r="C429">
        <v>53842</v>
      </c>
      <c r="D429">
        <v>44723</v>
      </c>
      <c r="E429" t="s">
        <v>665</v>
      </c>
    </row>
    <row r="430" spans="1:5">
      <c r="A430">
        <v>429</v>
      </c>
      <c r="B430">
        <v>1056545</v>
      </c>
      <c r="C430">
        <v>54180</v>
      </c>
      <c r="D430">
        <v>44876</v>
      </c>
      <c r="E430" t="s">
        <v>665</v>
      </c>
    </row>
    <row r="431" spans="1:5">
      <c r="A431">
        <v>430</v>
      </c>
      <c r="B431">
        <v>1063939</v>
      </c>
      <c r="C431">
        <v>54520</v>
      </c>
      <c r="D431">
        <v>45030</v>
      </c>
      <c r="E431" t="s">
        <v>665</v>
      </c>
    </row>
    <row r="432" spans="1:5">
      <c r="A432">
        <v>431</v>
      </c>
      <c r="B432">
        <v>1071373</v>
      </c>
      <c r="C432">
        <v>54863</v>
      </c>
      <c r="D432">
        <v>45184</v>
      </c>
      <c r="E432" t="s">
        <v>665</v>
      </c>
    </row>
    <row r="433" spans="1:5">
      <c r="A433">
        <v>432</v>
      </c>
      <c r="B433">
        <v>1078846</v>
      </c>
      <c r="C433">
        <v>55208</v>
      </c>
      <c r="D433">
        <v>45337</v>
      </c>
      <c r="E433" t="s">
        <v>665</v>
      </c>
    </row>
    <row r="434" spans="1:5">
      <c r="A434">
        <v>433</v>
      </c>
      <c r="B434">
        <v>1086360</v>
      </c>
      <c r="C434">
        <v>55554</v>
      </c>
      <c r="D434">
        <v>45492</v>
      </c>
      <c r="E434" t="s">
        <v>665</v>
      </c>
    </row>
    <row r="435" spans="1:5">
      <c r="A435">
        <v>434</v>
      </c>
      <c r="B435">
        <v>1093914</v>
      </c>
      <c r="C435">
        <v>55903</v>
      </c>
      <c r="D435">
        <v>45646</v>
      </c>
      <c r="E435" t="s">
        <v>665</v>
      </c>
    </row>
    <row r="436" spans="1:5">
      <c r="A436">
        <v>435</v>
      </c>
      <c r="B436">
        <v>1101508</v>
      </c>
      <c r="C436">
        <v>56254</v>
      </c>
      <c r="D436">
        <v>45801</v>
      </c>
      <c r="E436" t="s">
        <v>665</v>
      </c>
    </row>
    <row r="437" spans="1:5">
      <c r="A437">
        <v>436</v>
      </c>
      <c r="B437">
        <v>1109143</v>
      </c>
      <c r="C437">
        <v>56608</v>
      </c>
      <c r="D437">
        <v>45956</v>
      </c>
      <c r="E437" t="s">
        <v>665</v>
      </c>
    </row>
    <row r="438" spans="1:5">
      <c r="A438">
        <v>437</v>
      </c>
      <c r="B438">
        <v>1116818</v>
      </c>
      <c r="C438">
        <v>56963</v>
      </c>
      <c r="D438">
        <v>46111</v>
      </c>
      <c r="E438" t="s">
        <v>665</v>
      </c>
    </row>
    <row r="439" spans="1:5">
      <c r="A439">
        <v>438</v>
      </c>
      <c r="B439">
        <v>1124534</v>
      </c>
      <c r="C439">
        <v>57321</v>
      </c>
      <c r="D439">
        <v>46266</v>
      </c>
      <c r="E439" t="s">
        <v>665</v>
      </c>
    </row>
    <row r="440" spans="1:5">
      <c r="A440">
        <v>439</v>
      </c>
      <c r="B440">
        <v>1132292</v>
      </c>
      <c r="C440">
        <v>57681</v>
      </c>
      <c r="D440">
        <v>46422</v>
      </c>
      <c r="E440" t="s">
        <v>665</v>
      </c>
    </row>
    <row r="441" spans="1:5">
      <c r="A441">
        <v>440</v>
      </c>
      <c r="B441">
        <v>1140090</v>
      </c>
      <c r="C441">
        <v>58043</v>
      </c>
      <c r="D441">
        <v>46577</v>
      </c>
      <c r="E441" t="s">
        <v>665</v>
      </c>
    </row>
    <row r="442" spans="1:5">
      <c r="A442">
        <v>441</v>
      </c>
      <c r="B442">
        <v>1147930</v>
      </c>
      <c r="C442">
        <v>58407</v>
      </c>
      <c r="D442">
        <v>46733</v>
      </c>
      <c r="E442" t="s">
        <v>665</v>
      </c>
    </row>
    <row r="443" spans="1:5">
      <c r="A443">
        <v>442</v>
      </c>
      <c r="B443">
        <v>1155811</v>
      </c>
      <c r="C443">
        <v>58774</v>
      </c>
      <c r="D443">
        <v>46890</v>
      </c>
      <c r="E443" t="s">
        <v>665</v>
      </c>
    </row>
    <row r="444" spans="1:5">
      <c r="A444">
        <v>443</v>
      </c>
      <c r="B444">
        <v>1163734</v>
      </c>
      <c r="C444">
        <v>59143</v>
      </c>
      <c r="D444">
        <v>47046</v>
      </c>
      <c r="E444" t="s">
        <v>665</v>
      </c>
    </row>
    <row r="445" spans="1:5">
      <c r="A445">
        <v>444</v>
      </c>
      <c r="B445">
        <v>1171699</v>
      </c>
      <c r="C445">
        <v>59514</v>
      </c>
      <c r="D445">
        <v>47203</v>
      </c>
      <c r="E445" t="s">
        <v>665</v>
      </c>
    </row>
    <row r="446" spans="1:5">
      <c r="A446">
        <v>445</v>
      </c>
      <c r="B446">
        <v>1179706</v>
      </c>
      <c r="C446">
        <v>59888</v>
      </c>
      <c r="D446">
        <v>47360</v>
      </c>
      <c r="E446" t="s">
        <v>665</v>
      </c>
    </row>
    <row r="447" spans="1:5">
      <c r="A447">
        <v>446</v>
      </c>
      <c r="B447">
        <v>1187755</v>
      </c>
      <c r="C447">
        <v>60264</v>
      </c>
      <c r="D447">
        <v>47517</v>
      </c>
      <c r="E447" t="s">
        <v>665</v>
      </c>
    </row>
    <row r="448" spans="1:5">
      <c r="A448">
        <v>447</v>
      </c>
      <c r="B448">
        <v>1195846</v>
      </c>
      <c r="C448">
        <v>60642</v>
      </c>
      <c r="D448">
        <v>47674</v>
      </c>
      <c r="E448" t="s">
        <v>665</v>
      </c>
    </row>
    <row r="449" spans="1:5">
      <c r="A449">
        <v>448</v>
      </c>
      <c r="B449">
        <v>1203980</v>
      </c>
      <c r="C449">
        <v>61023</v>
      </c>
      <c r="D449">
        <v>47832</v>
      </c>
      <c r="E449" t="s">
        <v>665</v>
      </c>
    </row>
    <row r="450" spans="1:5">
      <c r="A450">
        <v>449</v>
      </c>
      <c r="B450">
        <v>1212157</v>
      </c>
      <c r="C450">
        <v>61406</v>
      </c>
      <c r="D450">
        <v>47990</v>
      </c>
      <c r="E450" t="s">
        <v>665</v>
      </c>
    </row>
    <row r="451" spans="1:5">
      <c r="A451">
        <v>450</v>
      </c>
      <c r="B451">
        <v>1220377</v>
      </c>
      <c r="C451">
        <v>61791</v>
      </c>
      <c r="D451">
        <v>48148</v>
      </c>
      <c r="E451" t="s">
        <v>665</v>
      </c>
    </row>
    <row r="452" spans="1:5">
      <c r="A452">
        <v>451</v>
      </c>
      <c r="B452">
        <v>1228639</v>
      </c>
      <c r="C452">
        <v>62179</v>
      </c>
      <c r="D452">
        <v>48306</v>
      </c>
      <c r="E452" t="s">
        <v>665</v>
      </c>
    </row>
    <row r="453" spans="1:5">
      <c r="A453">
        <v>452</v>
      </c>
      <c r="B453">
        <v>1236945</v>
      </c>
      <c r="C453">
        <v>62570</v>
      </c>
      <c r="D453">
        <v>48464</v>
      </c>
      <c r="E453" t="s">
        <v>665</v>
      </c>
    </row>
    <row r="454" spans="1:5">
      <c r="A454">
        <v>453</v>
      </c>
      <c r="B454">
        <v>1245294</v>
      </c>
      <c r="C454">
        <v>62962</v>
      </c>
      <c r="D454">
        <v>48623</v>
      </c>
      <c r="E454" t="s">
        <v>665</v>
      </c>
    </row>
    <row r="455" spans="1:5">
      <c r="A455">
        <v>454</v>
      </c>
      <c r="B455">
        <v>1253687</v>
      </c>
      <c r="C455">
        <v>63358</v>
      </c>
      <c r="D455">
        <v>48782</v>
      </c>
      <c r="E455" t="s">
        <v>665</v>
      </c>
    </row>
    <row r="456" spans="1:5">
      <c r="A456">
        <v>455</v>
      </c>
      <c r="B456">
        <v>1262123</v>
      </c>
      <c r="C456">
        <v>63755</v>
      </c>
      <c r="D456">
        <v>48941</v>
      </c>
      <c r="E456" t="s">
        <v>665</v>
      </c>
    </row>
    <row r="457" spans="1:5">
      <c r="A457">
        <v>456</v>
      </c>
      <c r="B457">
        <v>1270603</v>
      </c>
      <c r="C457">
        <v>64155</v>
      </c>
      <c r="D457">
        <v>49101</v>
      </c>
      <c r="E457" t="s">
        <v>665</v>
      </c>
    </row>
    <row r="458" spans="1:5">
      <c r="A458">
        <v>457</v>
      </c>
      <c r="B458">
        <v>1279128</v>
      </c>
      <c r="C458">
        <v>64558</v>
      </c>
      <c r="D458">
        <v>49260</v>
      </c>
      <c r="E458" t="s">
        <v>665</v>
      </c>
    </row>
    <row r="459" spans="1:5">
      <c r="A459">
        <v>458</v>
      </c>
      <c r="B459">
        <v>1287696</v>
      </c>
      <c r="C459">
        <v>64963</v>
      </c>
      <c r="D459">
        <v>49420</v>
      </c>
      <c r="E459" t="s">
        <v>665</v>
      </c>
    </row>
    <row r="460" spans="1:5">
      <c r="A460">
        <v>459</v>
      </c>
      <c r="B460">
        <v>1296309</v>
      </c>
      <c r="C460">
        <v>65371</v>
      </c>
      <c r="D460">
        <v>49580</v>
      </c>
      <c r="E460" t="s">
        <v>665</v>
      </c>
    </row>
    <row r="461" spans="1:5">
      <c r="A461">
        <v>460</v>
      </c>
      <c r="B461">
        <v>1304967</v>
      </c>
      <c r="C461">
        <v>65781</v>
      </c>
      <c r="D461">
        <v>49741</v>
      </c>
      <c r="E461" t="s">
        <v>665</v>
      </c>
    </row>
    <row r="462" spans="1:5">
      <c r="A462">
        <v>461</v>
      </c>
      <c r="B462">
        <v>1313669</v>
      </c>
      <c r="C462">
        <v>66194</v>
      </c>
      <c r="D462">
        <v>49901</v>
      </c>
      <c r="E462" t="s">
        <v>665</v>
      </c>
    </row>
    <row r="463" spans="1:5">
      <c r="A463">
        <v>462</v>
      </c>
      <c r="B463">
        <v>1322417</v>
      </c>
      <c r="C463">
        <v>66610</v>
      </c>
      <c r="D463">
        <v>50062</v>
      </c>
      <c r="E463" t="s">
        <v>665</v>
      </c>
    </row>
    <row r="464" spans="1:5">
      <c r="A464">
        <v>463</v>
      </c>
      <c r="B464">
        <v>1331209</v>
      </c>
      <c r="C464">
        <v>67028</v>
      </c>
      <c r="D464">
        <v>50223</v>
      </c>
      <c r="E464" t="s">
        <v>665</v>
      </c>
    </row>
    <row r="465" spans="1:5">
      <c r="A465">
        <v>464</v>
      </c>
      <c r="B465">
        <v>1340047</v>
      </c>
      <c r="C465">
        <v>67449</v>
      </c>
      <c r="D465">
        <v>50384</v>
      </c>
      <c r="E465" t="s">
        <v>665</v>
      </c>
    </row>
    <row r="466" spans="1:5">
      <c r="A466">
        <v>465</v>
      </c>
      <c r="B466">
        <v>1348930</v>
      </c>
      <c r="C466">
        <v>67872</v>
      </c>
      <c r="D466">
        <v>50546</v>
      </c>
      <c r="E466" t="s">
        <v>665</v>
      </c>
    </row>
    <row r="467" spans="1:5">
      <c r="A467">
        <v>466</v>
      </c>
      <c r="B467">
        <v>1357859</v>
      </c>
      <c r="C467">
        <v>68298</v>
      </c>
      <c r="D467">
        <v>50707</v>
      </c>
      <c r="E467" t="s">
        <v>665</v>
      </c>
    </row>
    <row r="468" spans="1:5">
      <c r="A468">
        <v>467</v>
      </c>
      <c r="B468">
        <v>1366834</v>
      </c>
      <c r="C468">
        <v>68727</v>
      </c>
      <c r="D468">
        <v>50869</v>
      </c>
      <c r="E468" t="s">
        <v>665</v>
      </c>
    </row>
    <row r="469" spans="1:5">
      <c r="A469">
        <v>468</v>
      </c>
      <c r="B469">
        <v>1375855</v>
      </c>
      <c r="C469">
        <v>69159</v>
      </c>
      <c r="D469">
        <v>51031</v>
      </c>
      <c r="E469" t="s">
        <v>665</v>
      </c>
    </row>
    <row r="470" spans="1:5">
      <c r="A470">
        <v>469</v>
      </c>
      <c r="B470">
        <v>1384922</v>
      </c>
      <c r="C470">
        <v>69593</v>
      </c>
      <c r="D470">
        <v>51194</v>
      </c>
      <c r="E470" t="s">
        <v>665</v>
      </c>
    </row>
    <row r="471" spans="1:5">
      <c r="A471">
        <v>470</v>
      </c>
      <c r="B471">
        <v>1394036</v>
      </c>
      <c r="C471">
        <v>70030</v>
      </c>
      <c r="D471">
        <v>51356</v>
      </c>
      <c r="E471" t="s">
        <v>665</v>
      </c>
    </row>
    <row r="472" spans="1:5">
      <c r="A472">
        <v>471</v>
      </c>
      <c r="B472">
        <v>1403196</v>
      </c>
      <c r="C472">
        <v>70469</v>
      </c>
      <c r="D472">
        <v>51519</v>
      </c>
      <c r="E472" t="s">
        <v>665</v>
      </c>
    </row>
    <row r="473" spans="1:5">
      <c r="A473">
        <v>472</v>
      </c>
      <c r="B473">
        <v>1412403</v>
      </c>
      <c r="C473">
        <v>70912</v>
      </c>
      <c r="D473">
        <v>51682</v>
      </c>
      <c r="E473" t="s">
        <v>665</v>
      </c>
    </row>
    <row r="474" spans="1:5">
      <c r="A474">
        <v>473</v>
      </c>
      <c r="B474">
        <v>1421656</v>
      </c>
      <c r="C474">
        <v>71357</v>
      </c>
      <c r="D474">
        <v>51846</v>
      </c>
      <c r="E474" t="s">
        <v>665</v>
      </c>
    </row>
    <row r="475" spans="1:5">
      <c r="A475">
        <v>474</v>
      </c>
      <c r="B475">
        <v>1430957</v>
      </c>
      <c r="C475">
        <v>71805</v>
      </c>
      <c r="D475">
        <v>52009</v>
      </c>
      <c r="E475" t="s">
        <v>665</v>
      </c>
    </row>
    <row r="476" spans="1:5">
      <c r="A476">
        <v>475</v>
      </c>
      <c r="B476">
        <v>1440305</v>
      </c>
      <c r="C476">
        <v>72256</v>
      </c>
      <c r="D476">
        <v>52173</v>
      </c>
      <c r="E476" t="s">
        <v>665</v>
      </c>
    </row>
    <row r="477" spans="1:5">
      <c r="A477">
        <v>476</v>
      </c>
      <c r="B477">
        <v>1449701</v>
      </c>
      <c r="C477">
        <v>72710</v>
      </c>
      <c r="D477">
        <v>52337</v>
      </c>
      <c r="E477" t="s">
        <v>665</v>
      </c>
    </row>
    <row r="478" spans="1:5">
      <c r="A478">
        <v>477</v>
      </c>
      <c r="B478">
        <v>1459144</v>
      </c>
      <c r="C478">
        <v>73167</v>
      </c>
      <c r="D478">
        <v>52501</v>
      </c>
      <c r="E478" t="s">
        <v>665</v>
      </c>
    </row>
    <row r="479" spans="1:5">
      <c r="A479">
        <v>478</v>
      </c>
      <c r="B479">
        <v>1468636</v>
      </c>
      <c r="C479">
        <v>73626</v>
      </c>
      <c r="D479">
        <v>52665</v>
      </c>
      <c r="E479" t="s">
        <v>665</v>
      </c>
    </row>
    <row r="480" spans="1:5">
      <c r="A480">
        <v>479</v>
      </c>
      <c r="B480">
        <v>1478175</v>
      </c>
      <c r="C480">
        <v>74089</v>
      </c>
      <c r="D480">
        <v>52830</v>
      </c>
      <c r="E480" t="s">
        <v>665</v>
      </c>
    </row>
    <row r="481" spans="1:5">
      <c r="A481">
        <v>480</v>
      </c>
      <c r="B481">
        <v>1487762</v>
      </c>
      <c r="C481">
        <v>74554</v>
      </c>
      <c r="D481">
        <v>52995</v>
      </c>
      <c r="E481" t="s">
        <v>665</v>
      </c>
    </row>
    <row r="482" spans="1:5">
      <c r="A482">
        <v>481</v>
      </c>
      <c r="B482">
        <v>1497398</v>
      </c>
      <c r="C482">
        <v>75023</v>
      </c>
      <c r="D482">
        <v>53160</v>
      </c>
      <c r="E482" t="s">
        <v>665</v>
      </c>
    </row>
    <row r="483" spans="1:5">
      <c r="A483">
        <v>482</v>
      </c>
      <c r="B483">
        <v>1507083</v>
      </c>
      <c r="C483">
        <v>75494</v>
      </c>
      <c r="D483">
        <v>53325</v>
      </c>
      <c r="E483" t="s">
        <v>665</v>
      </c>
    </row>
    <row r="484" spans="1:5">
      <c r="A484">
        <v>483</v>
      </c>
      <c r="B484">
        <v>1516816</v>
      </c>
      <c r="C484">
        <v>75968</v>
      </c>
      <c r="D484">
        <v>53491</v>
      </c>
      <c r="E484" t="s">
        <v>665</v>
      </c>
    </row>
    <row r="485" spans="1:5">
      <c r="A485">
        <v>484</v>
      </c>
      <c r="B485">
        <v>1526599</v>
      </c>
      <c r="C485">
        <v>76446</v>
      </c>
      <c r="D485">
        <v>53657</v>
      </c>
      <c r="E485" t="s">
        <v>665</v>
      </c>
    </row>
    <row r="486" spans="1:5">
      <c r="A486">
        <v>485</v>
      </c>
      <c r="B486">
        <v>1536430</v>
      </c>
      <c r="C486">
        <v>76926</v>
      </c>
      <c r="D486">
        <v>53823</v>
      </c>
      <c r="E486" t="s">
        <v>665</v>
      </c>
    </row>
    <row r="487" spans="1:5">
      <c r="A487">
        <v>486</v>
      </c>
      <c r="B487">
        <v>1546311</v>
      </c>
      <c r="C487">
        <v>77410</v>
      </c>
      <c r="D487">
        <v>53989</v>
      </c>
      <c r="E487" t="s">
        <v>665</v>
      </c>
    </row>
    <row r="488" spans="1:5">
      <c r="A488">
        <v>487</v>
      </c>
      <c r="B488">
        <v>1556242</v>
      </c>
      <c r="C488">
        <v>77896</v>
      </c>
      <c r="D488">
        <v>54155</v>
      </c>
      <c r="E488" t="s">
        <v>665</v>
      </c>
    </row>
    <row r="489" spans="1:5">
      <c r="A489">
        <v>488</v>
      </c>
      <c r="B489">
        <v>1566222</v>
      </c>
      <c r="C489">
        <v>78386</v>
      </c>
      <c r="D489">
        <v>54322</v>
      </c>
      <c r="E489" t="s">
        <v>665</v>
      </c>
    </row>
    <row r="490" spans="1:5">
      <c r="A490">
        <v>489</v>
      </c>
      <c r="B490">
        <v>1576252</v>
      </c>
      <c r="C490">
        <v>78878</v>
      </c>
      <c r="D490">
        <v>54489</v>
      </c>
      <c r="E490" t="s">
        <v>665</v>
      </c>
    </row>
    <row r="491" spans="1:5">
      <c r="A491">
        <v>490</v>
      </c>
      <c r="B491">
        <v>1586333</v>
      </c>
      <c r="C491">
        <v>79374</v>
      </c>
      <c r="D491">
        <v>54656</v>
      </c>
      <c r="E491" t="s">
        <v>665</v>
      </c>
    </row>
    <row r="492" spans="1:5">
      <c r="A492">
        <v>491</v>
      </c>
      <c r="B492">
        <v>1596463</v>
      </c>
      <c r="C492">
        <v>79873</v>
      </c>
      <c r="D492">
        <v>54823</v>
      </c>
      <c r="E492" t="s">
        <v>665</v>
      </c>
    </row>
    <row r="493" spans="1:5">
      <c r="A493">
        <v>492</v>
      </c>
      <c r="B493">
        <v>1606645</v>
      </c>
      <c r="C493">
        <v>80375</v>
      </c>
      <c r="D493">
        <v>54991</v>
      </c>
      <c r="E493" t="s">
        <v>665</v>
      </c>
    </row>
    <row r="494" spans="1:5">
      <c r="A494">
        <v>493</v>
      </c>
      <c r="B494">
        <v>1616877</v>
      </c>
      <c r="C494">
        <v>80881</v>
      </c>
      <c r="D494">
        <v>55159</v>
      </c>
      <c r="E494" t="s">
        <v>665</v>
      </c>
    </row>
    <row r="495" spans="1:5">
      <c r="A495">
        <v>494</v>
      </c>
      <c r="B495">
        <v>1627159</v>
      </c>
      <c r="C495">
        <v>81389</v>
      </c>
      <c r="D495">
        <v>55327</v>
      </c>
      <c r="E495" t="s">
        <v>665</v>
      </c>
    </row>
    <row r="496" spans="1:5">
      <c r="A496">
        <v>495</v>
      </c>
      <c r="B496">
        <v>1637494</v>
      </c>
      <c r="C496">
        <v>81901</v>
      </c>
      <c r="D496">
        <v>55495</v>
      </c>
      <c r="E496" t="s">
        <v>665</v>
      </c>
    </row>
    <row r="497" spans="1:5">
      <c r="A497">
        <v>496</v>
      </c>
      <c r="B497">
        <v>1647879</v>
      </c>
      <c r="C497">
        <v>82416</v>
      </c>
      <c r="D497">
        <v>55664</v>
      </c>
      <c r="E497" t="s">
        <v>665</v>
      </c>
    </row>
    <row r="498" spans="1:5">
      <c r="A498">
        <v>497</v>
      </c>
      <c r="B498">
        <v>1658316</v>
      </c>
      <c r="C498">
        <v>82935</v>
      </c>
      <c r="D498">
        <v>55832</v>
      </c>
      <c r="E498" t="s">
        <v>665</v>
      </c>
    </row>
    <row r="499" spans="1:5">
      <c r="A499">
        <v>498</v>
      </c>
      <c r="B499">
        <v>1668804</v>
      </c>
      <c r="C499">
        <v>83457</v>
      </c>
      <c r="D499">
        <v>56001</v>
      </c>
      <c r="E499" t="s">
        <v>665</v>
      </c>
    </row>
    <row r="500" spans="1:5">
      <c r="A500">
        <v>499</v>
      </c>
      <c r="B500">
        <v>1679345</v>
      </c>
      <c r="C500">
        <v>83982</v>
      </c>
      <c r="D500">
        <v>56171</v>
      </c>
      <c r="E500" t="s">
        <v>665</v>
      </c>
    </row>
    <row r="501" spans="1:5">
      <c r="A501">
        <v>500</v>
      </c>
      <c r="B501">
        <v>1689937</v>
      </c>
      <c r="C501">
        <v>84510</v>
      </c>
      <c r="D501">
        <v>56340</v>
      </c>
      <c r="E501" t="s">
        <v>665</v>
      </c>
    </row>
  </sheetData>
  <pageMargins left="0.25" right="0.25" top="0.5" bottom="0.5" header="0.5" footer="0.5"/>
  <pageSetup paperSize="1" fitToHeight="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33"/>
  <sheetViews>
    <sheetView workbookViewId="0">
      <selection activeCell="A1" sqref="A1"/>
    </sheetView>
  </sheetViews>
  <sheetFormatPr defaultColWidth="9" defaultRowHeight="13.5" outlineLevelCol="3"/>
  <sheetData>
    <row r="1" spans="1:4">
      <c r="A1" t="s">
        <v>666</v>
      </c>
      <c r="B1" t="s">
        <v>667</v>
      </c>
      <c r="C1" t="s">
        <v>668</v>
      </c>
      <c r="D1" t="s">
        <v>25</v>
      </c>
    </row>
    <row r="2" spans="1:4">
      <c r="A2">
        <v>1000</v>
      </c>
      <c r="B2" t="s">
        <v>669</v>
      </c>
      <c r="C2" t="s">
        <v>29</v>
      </c>
      <c r="D2" t="s">
        <v>670</v>
      </c>
    </row>
    <row r="3" spans="1:4">
      <c r="A3">
        <v>1001</v>
      </c>
      <c r="B3" t="s">
        <v>671</v>
      </c>
      <c r="C3" t="s">
        <v>29</v>
      </c>
      <c r="D3" t="s">
        <v>670</v>
      </c>
    </row>
    <row r="4" spans="1:4">
      <c r="A4">
        <v>1002</v>
      </c>
      <c r="B4" t="s">
        <v>672</v>
      </c>
      <c r="C4" t="s">
        <v>26</v>
      </c>
      <c r="D4" t="s">
        <v>670</v>
      </c>
    </row>
    <row r="5" spans="1:4">
      <c r="A5">
        <v>1003</v>
      </c>
      <c r="B5" t="s">
        <v>673</v>
      </c>
      <c r="C5" t="s">
        <v>26</v>
      </c>
      <c r="D5" t="s">
        <v>670</v>
      </c>
    </row>
    <row r="6" spans="1:4">
      <c r="A6">
        <v>1004</v>
      </c>
      <c r="B6" t="s">
        <v>674</v>
      </c>
      <c r="C6" t="s">
        <v>26</v>
      </c>
      <c r="D6" t="s">
        <v>670</v>
      </c>
    </row>
    <row r="7" spans="1:4">
      <c r="A7">
        <v>1005</v>
      </c>
      <c r="B7" t="s">
        <v>675</v>
      </c>
      <c r="C7" t="s">
        <v>29</v>
      </c>
      <c r="D7" t="s">
        <v>670</v>
      </c>
    </row>
    <row r="8" spans="1:4">
      <c r="A8">
        <v>1006</v>
      </c>
      <c r="B8" t="s">
        <v>676</v>
      </c>
      <c r="C8" t="s">
        <v>29</v>
      </c>
      <c r="D8" t="s">
        <v>670</v>
      </c>
    </row>
    <row r="9" spans="1:4">
      <c r="A9">
        <v>1007</v>
      </c>
      <c r="B9" t="s">
        <v>677</v>
      </c>
      <c r="C9" t="s">
        <v>31</v>
      </c>
      <c r="D9" t="s">
        <v>670</v>
      </c>
    </row>
    <row r="10" spans="1:4">
      <c r="A10">
        <v>1008</v>
      </c>
      <c r="B10" t="s">
        <v>678</v>
      </c>
      <c r="C10" t="s">
        <v>29</v>
      </c>
      <c r="D10" t="s">
        <v>670</v>
      </c>
    </row>
    <row r="11" spans="1:4">
      <c r="A11">
        <v>1009</v>
      </c>
      <c r="B11" t="s">
        <v>679</v>
      </c>
      <c r="C11" t="s">
        <v>31</v>
      </c>
      <c r="D11" t="s">
        <v>670</v>
      </c>
    </row>
    <row r="12" spans="1:4">
      <c r="A12">
        <v>1011</v>
      </c>
      <c r="B12" t="s">
        <v>680</v>
      </c>
      <c r="C12" t="s">
        <v>31</v>
      </c>
      <c r="D12" t="s">
        <v>670</v>
      </c>
    </row>
    <row r="13" spans="1:4">
      <c r="A13">
        <v>1012</v>
      </c>
      <c r="B13" t="s">
        <v>681</v>
      </c>
      <c r="C13" t="s">
        <v>31</v>
      </c>
      <c r="D13" t="s">
        <v>670</v>
      </c>
    </row>
    <row r="14" spans="1:4">
      <c r="A14">
        <v>1013</v>
      </c>
      <c r="B14" t="s">
        <v>682</v>
      </c>
      <c r="C14" t="s">
        <v>29</v>
      </c>
      <c r="D14" t="s">
        <v>670</v>
      </c>
    </row>
    <row r="15" spans="1:4">
      <c r="A15">
        <v>1014</v>
      </c>
      <c r="B15" t="s">
        <v>683</v>
      </c>
      <c r="C15" t="s">
        <v>29</v>
      </c>
      <c r="D15" t="s">
        <v>670</v>
      </c>
    </row>
    <row r="16" spans="1:4">
      <c r="A16">
        <v>1015</v>
      </c>
      <c r="B16" t="s">
        <v>684</v>
      </c>
      <c r="C16" t="s">
        <v>31</v>
      </c>
      <c r="D16" t="s">
        <v>670</v>
      </c>
    </row>
    <row r="17" spans="1:4">
      <c r="A17">
        <v>1017</v>
      </c>
      <c r="B17" t="s">
        <v>685</v>
      </c>
      <c r="C17" t="s">
        <v>29</v>
      </c>
      <c r="D17" t="s">
        <v>670</v>
      </c>
    </row>
    <row r="18" spans="1:4">
      <c r="A18">
        <v>1018</v>
      </c>
      <c r="B18" t="s">
        <v>686</v>
      </c>
      <c r="C18" t="s">
        <v>31</v>
      </c>
      <c r="D18" t="s">
        <v>670</v>
      </c>
    </row>
    <row r="19" spans="1:4">
      <c r="A19">
        <v>1019</v>
      </c>
      <c r="B19" t="s">
        <v>687</v>
      </c>
      <c r="C19" t="s">
        <v>26</v>
      </c>
      <c r="D19" t="s">
        <v>670</v>
      </c>
    </row>
    <row r="20" spans="1:4">
      <c r="A20">
        <v>1020</v>
      </c>
      <c r="B20" t="s">
        <v>688</v>
      </c>
      <c r="C20" t="s">
        <v>31</v>
      </c>
      <c r="D20" t="s">
        <v>670</v>
      </c>
    </row>
    <row r="21" spans="1:4">
      <c r="A21">
        <v>1021</v>
      </c>
      <c r="B21" t="s">
        <v>689</v>
      </c>
      <c r="C21" t="s">
        <v>29</v>
      </c>
      <c r="D21" t="s">
        <v>670</v>
      </c>
    </row>
    <row r="22" spans="1:4">
      <c r="A22">
        <v>1022</v>
      </c>
      <c r="B22" t="s">
        <v>690</v>
      </c>
      <c r="C22" t="s">
        <v>26</v>
      </c>
      <c r="D22" t="s">
        <v>670</v>
      </c>
    </row>
    <row r="23" spans="1:4">
      <c r="A23">
        <v>1023</v>
      </c>
      <c r="B23" t="s">
        <v>691</v>
      </c>
      <c r="C23" t="s">
        <v>31</v>
      </c>
      <c r="D23" t="s">
        <v>670</v>
      </c>
    </row>
    <row r="24" spans="1:4">
      <c r="A24">
        <v>1024</v>
      </c>
      <c r="B24" t="s">
        <v>692</v>
      </c>
      <c r="C24" t="s">
        <v>29</v>
      </c>
      <c r="D24" t="s">
        <v>670</v>
      </c>
    </row>
    <row r="25" spans="1:4">
      <c r="A25">
        <v>1026</v>
      </c>
      <c r="B25" t="s">
        <v>693</v>
      </c>
      <c r="C25" t="s">
        <v>29</v>
      </c>
      <c r="D25" t="s">
        <v>670</v>
      </c>
    </row>
    <row r="26" spans="1:4">
      <c r="A26">
        <v>1029</v>
      </c>
      <c r="B26" t="s">
        <v>694</v>
      </c>
      <c r="C26" t="s">
        <v>31</v>
      </c>
      <c r="D26" t="s">
        <v>670</v>
      </c>
    </row>
    <row r="27" spans="1:4">
      <c r="A27">
        <v>1030</v>
      </c>
      <c r="B27" t="s">
        <v>695</v>
      </c>
      <c r="C27" t="s">
        <v>26</v>
      </c>
      <c r="D27" t="s">
        <v>670</v>
      </c>
    </row>
    <row r="28" spans="1:4">
      <c r="A28">
        <v>1035</v>
      </c>
      <c r="B28" t="s">
        <v>696</v>
      </c>
      <c r="C28" t="s">
        <v>29</v>
      </c>
      <c r="D28" t="s">
        <v>670</v>
      </c>
    </row>
    <row r="29" spans="1:4">
      <c r="A29">
        <v>1036</v>
      </c>
      <c r="B29" t="s">
        <v>697</v>
      </c>
      <c r="C29" t="s">
        <v>29</v>
      </c>
      <c r="D29" t="s">
        <v>670</v>
      </c>
    </row>
    <row r="30" spans="1:4">
      <c r="A30">
        <v>1037</v>
      </c>
      <c r="B30" t="s">
        <v>698</v>
      </c>
      <c r="C30" t="s">
        <v>29</v>
      </c>
      <c r="D30" t="s">
        <v>670</v>
      </c>
    </row>
    <row r="31" spans="1:4">
      <c r="A31">
        <v>1038</v>
      </c>
      <c r="B31" t="s">
        <v>699</v>
      </c>
      <c r="C31" t="s">
        <v>26</v>
      </c>
      <c r="D31" t="s">
        <v>670</v>
      </c>
    </row>
    <row r="32" spans="1:4">
      <c r="A32">
        <v>1039</v>
      </c>
      <c r="B32" t="s">
        <v>700</v>
      </c>
      <c r="C32" t="s">
        <v>29</v>
      </c>
      <c r="D32" t="s">
        <v>670</v>
      </c>
    </row>
    <row r="33" spans="1:4">
      <c r="A33">
        <v>1040</v>
      </c>
      <c r="B33" t="s">
        <v>701</v>
      </c>
      <c r="C33" t="s">
        <v>31</v>
      </c>
      <c r="D33" t="s">
        <v>670</v>
      </c>
    </row>
  </sheetData>
  <pageMargins left="0.25" right="0.25" top="0.5" bottom="0.5" header="0.5" footer="0.5"/>
  <pageSetup paperSize="1" fitToHeight="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  <pageSetUpPr fitToPage="1"/>
  </sheetPr>
  <dimension ref="A1:AG504"/>
  <sheetViews>
    <sheetView showGridLines="0" zoomScale="75" zoomScaleNormal="75" workbookViewId="0">
      <pane xSplit="3" ySplit="4" topLeftCell="D5" activePane="bottomRight" state="frozen"/>
      <selection/>
      <selection pane="topRight"/>
      <selection pane="bottomLeft"/>
      <selection pane="bottomRight" activeCell="B89" sqref="B89"/>
    </sheetView>
  </sheetViews>
  <sheetFormatPr defaultColWidth="9" defaultRowHeight="13.5"/>
  <cols>
    <col min="1" max="1" width="14" customWidth="1"/>
    <col min="2" max="2" width="10" customWidth="1"/>
    <col min="3" max="3" width="9" customWidth="1"/>
    <col min="4" max="4" width="14" customWidth="1"/>
    <col min="5" max="6" width="16" customWidth="1"/>
    <col min="7" max="7" width="12" customWidth="1"/>
    <col min="8" max="9" width="14" customWidth="1"/>
    <col min="10" max="10" width="10" customWidth="1"/>
    <col min="11" max="11" width="8" customWidth="1"/>
    <col min="12" max="12" width="12" customWidth="1"/>
    <col min="13" max="13" width="16" customWidth="1"/>
    <col min="14" max="14" width="12" customWidth="1"/>
    <col min="15" max="29" width="14" customWidth="1"/>
    <col min="30" max="30" width="12" customWidth="1"/>
    <col min="31" max="32" width="14" customWidth="1"/>
    <col min="33" max="33" width="10" customWidth="1"/>
  </cols>
  <sheetData>
    <row r="1" ht="30" customHeight="1" spans="1:33">
      <c r="A1" s="1" t="s">
        <v>702</v>
      </c>
    </row>
    <row r="2" ht="32" customHeight="1" spans="1:33">
      <c r="A2" s="2" t="s">
        <v>703</v>
      </c>
    </row>
    <row r="4" ht="38" customHeight="1" spans="1:33">
      <c r="A4" s="3" t="s">
        <v>704</v>
      </c>
      <c r="B4" s="3" t="s">
        <v>705</v>
      </c>
      <c r="C4" s="3" t="s">
        <v>706</v>
      </c>
      <c r="D4" s="3" t="s">
        <v>707</v>
      </c>
      <c r="E4" s="3" t="s">
        <v>708</v>
      </c>
      <c r="F4" s="3" t="s">
        <v>709</v>
      </c>
      <c r="G4" s="3" t="s">
        <v>710</v>
      </c>
      <c r="H4" s="3" t="s">
        <v>711</v>
      </c>
      <c r="I4" s="3" t="s">
        <v>712</v>
      </c>
      <c r="J4" s="3" t="s">
        <v>47</v>
      </c>
      <c r="K4" s="3" t="s">
        <v>46</v>
      </c>
      <c r="L4" s="3" t="s">
        <v>48</v>
      </c>
      <c r="M4" s="3" t="s">
        <v>667</v>
      </c>
      <c r="N4" s="3" t="s">
        <v>668</v>
      </c>
      <c r="O4" s="3" t="s">
        <v>662</v>
      </c>
      <c r="P4" s="3" t="s">
        <v>663</v>
      </c>
      <c r="Q4" s="3" t="s">
        <v>664</v>
      </c>
      <c r="R4" s="3" t="s">
        <v>713</v>
      </c>
      <c r="S4" s="3" t="s">
        <v>714</v>
      </c>
      <c r="T4" s="3" t="s">
        <v>715</v>
      </c>
      <c r="U4" s="3" t="s">
        <v>716</v>
      </c>
      <c r="V4" s="3" t="s">
        <v>717</v>
      </c>
      <c r="W4" s="3" t="s">
        <v>718</v>
      </c>
      <c r="X4" s="3" t="s">
        <v>719</v>
      </c>
      <c r="Y4" s="3" t="s">
        <v>720</v>
      </c>
      <c r="Z4" s="3" t="s">
        <v>721</v>
      </c>
      <c r="AA4" s="3" t="s">
        <v>722</v>
      </c>
      <c r="AB4" s="3" t="s">
        <v>723</v>
      </c>
      <c r="AC4" s="3" t="s">
        <v>724</v>
      </c>
      <c r="AD4" s="3" t="s">
        <v>725</v>
      </c>
      <c r="AE4" s="3" t="s">
        <v>726</v>
      </c>
      <c r="AF4" s="3" t="s">
        <v>727</v>
      </c>
      <c r="AG4" s="3" t="s">
        <v>728</v>
      </c>
    </row>
    <row r="5" ht="14.25" customHeight="1" spans="1:33">
      <c r="A5" s="4">
        <v>1</v>
      </c>
      <c r="B5" s="4">
        <v>1002</v>
      </c>
      <c r="C5" s="4">
        <v>10</v>
      </c>
      <c r="D5" s="5">
        <f>IFERROR(ROUND($U5*$X5*$AA5*参数!$B$13,0),"")</f>
        <v>34956</v>
      </c>
      <c r="E5" s="5">
        <f>IFERROR(ROUND($V5*$Y5*$AB5*参数!$C$13,0),"")</f>
        <v>1642</v>
      </c>
      <c r="F5" s="5">
        <f>IFERROR(ROUND($W5*$Z5*$AC5*参数!$D$13,0),"")</f>
        <v>3332</v>
      </c>
      <c r="G5" s="4">
        <v>17474</v>
      </c>
      <c r="H5" s="4">
        <v>847</v>
      </c>
      <c r="I5" s="4">
        <v>1394</v>
      </c>
      <c r="J5" s="4">
        <v>1</v>
      </c>
      <c r="K5" s="4">
        <v>1</v>
      </c>
      <c r="L5" s="4">
        <f>IFERROR(INDEX(楼层配置!$D$5:$D$104,MATCH($K5,楼层配置!$B$5:$B$104,0)),"")</f>
        <v>37</v>
      </c>
      <c r="M5" s="4" t="str">
        <f>IFERROR(INDEX(_角色基线!$B$2:$B$100,MATCH($B5,_角色基线!$A$2:$A$100,0)),"")</f>
        <v>大暑</v>
      </c>
      <c r="N5" s="4" t="str">
        <f>IFERROR(INDEX(_角色基线!$C$2:$C$100,MATCH($B5,_角色基线!$A$2:$A$100,0)),"")</f>
        <v>Tank</v>
      </c>
      <c r="O5" s="4">
        <f>IFERROR(INDEX(_怪物基线!$B$2:$B$501,MATCH(INT($L5),_怪物基线!$A$2:$A$501,0)),"")</f>
        <v>5826</v>
      </c>
      <c r="P5" s="4">
        <f>IFERROR(INDEX(_怪物基线!$C$2:$C$501,MATCH(INT($L5),_怪物基线!$A$2:$A$501,0)),"")</f>
        <v>1368</v>
      </c>
      <c r="Q5" s="4">
        <f>IFERROR(INDEX(_怪物基线!$D$2:$D$501,MATCH(INT($L5),_怪物基线!$A$2:$A$501,0)),"")</f>
        <v>2221</v>
      </c>
      <c r="R5" s="4">
        <f>参数!$B$10</f>
        <v>4</v>
      </c>
      <c r="S5" s="4">
        <f>参数!$C$10</f>
        <v>1.2</v>
      </c>
      <c r="T5" s="4">
        <f>参数!$D$10</f>
        <v>1</v>
      </c>
      <c r="U5" s="4">
        <f t="shared" ref="U5:U68" si="0">IF($O5="","",$O5*$R5)</f>
        <v>23304</v>
      </c>
      <c r="V5" s="4">
        <f t="shared" ref="V5:V68" si="1">IF($P5="","",$P5*$S5)</f>
        <v>1641.6</v>
      </c>
      <c r="W5" s="4">
        <f t="shared" ref="W5:W68" si="2">IF($Q5="","",$Q5*$T5)</f>
        <v>2221</v>
      </c>
      <c r="X5" s="4">
        <f>IFERROR(INDEX(参数!$B$5:$B$7,MATCH($N5,参数!$A$5:$A$7,0)),"")</f>
        <v>1.5</v>
      </c>
      <c r="Y5" s="4">
        <f>IFERROR(INDEX(参数!$C$5:$C$7,MATCH($N5,参数!$A$5:$A$7,0)),"")</f>
        <v>1</v>
      </c>
      <c r="Z5" s="4">
        <f>IFERROR(INDEX(参数!$D$5:$D$7,MATCH($N5,参数!$A$5:$A$7,0)),"")</f>
        <v>1.5</v>
      </c>
      <c r="AA5" s="4">
        <f>IFERROR(INDEX(楼层配置!$E$5:$E$104,MATCH($K5,楼层配置!$B$5:$B$104,0)),1)</f>
        <v>1</v>
      </c>
      <c r="AB5" s="4">
        <f>IFERROR(INDEX(楼层配置!$F$5:$F$104,MATCH($K5,楼层配置!$B$5:$B$104,0)),1)</f>
        <v>1</v>
      </c>
      <c r="AC5" s="4">
        <f>IFERROR(INDEX(楼层配置!$G$5:$G$104,MATCH($K5,楼层配置!$B$5:$B$104,0)),1)</f>
        <v>1</v>
      </c>
      <c r="AD5" s="6">
        <f t="shared" ref="AD5:AD68" si="3">IFERROR($D5/$G5-1,"")</f>
        <v>1.00045782305139</v>
      </c>
      <c r="AE5" s="6">
        <f t="shared" ref="AE5:AE68" si="4">IFERROR($E5/$H5-1,"")</f>
        <v>0.938606847697757</v>
      </c>
      <c r="AF5" s="6">
        <f t="shared" ref="AF5:AF68" si="5">IFERROR($F5/$I5-1,"")</f>
        <v>1.39024390243902</v>
      </c>
      <c r="AG5" s="4" t="str">
        <f t="shared" ref="AG5:AG68" si="6">IF(AND($A5&gt;=1,$L5&gt;=1,$L5&lt;=500,OR($N5="Tank",$N5="DPS",$N5="Support"),ISNUMBER($D5),ISNUMBER($E5),ISNUMBER($F5)),"有效","异常")</f>
        <v>有效</v>
      </c>
    </row>
    <row r="6" ht="14.25" customHeight="1" spans="1:33">
      <c r="A6" s="4">
        <v>2</v>
      </c>
      <c r="B6" s="4">
        <v>1001</v>
      </c>
      <c r="C6" s="4">
        <v>10</v>
      </c>
      <c r="D6" s="5">
        <f>IFERROR(ROUND($U6*$X6*$AA6*参数!$B$13,0),"")</f>
        <v>23304</v>
      </c>
      <c r="E6" s="5">
        <f>IFERROR(ROUND($V6*$Y6*$AB6*参数!$C$13,0),"")</f>
        <v>1970</v>
      </c>
      <c r="F6" s="5">
        <f>IFERROR(ROUND($W6*$Z6*$AC6*参数!$D$13,0),"")</f>
        <v>2221</v>
      </c>
      <c r="G6" s="4">
        <v>11649</v>
      </c>
      <c r="H6" s="4">
        <v>1016</v>
      </c>
      <c r="I6" s="4">
        <v>929</v>
      </c>
      <c r="J6" s="4">
        <v>1</v>
      </c>
      <c r="K6" s="4">
        <v>1</v>
      </c>
      <c r="L6" s="4">
        <f>IFERROR(INDEX(楼层配置!$D$5:$D$104,MATCH($K6,楼层配置!$B$5:$B$104,0)),"")</f>
        <v>37</v>
      </c>
      <c r="M6" s="4" t="str">
        <f>IFERROR(INDEX(_角色基线!$B$2:$B$100,MATCH($B6,_角色基线!$A$2:$A$100,0)),"")</f>
        <v>星海</v>
      </c>
      <c r="N6" s="4" t="str">
        <f>IFERROR(INDEX(_角色基线!$C$2:$C$100,MATCH($B6,_角色基线!$A$2:$A$100,0)),"")</f>
        <v>DPS</v>
      </c>
      <c r="O6" s="4">
        <f>IFERROR(INDEX(_怪物基线!$B$2:$B$501,MATCH(INT($L6),_怪物基线!$A$2:$A$501,0)),"")</f>
        <v>5826</v>
      </c>
      <c r="P6" s="4">
        <f>IFERROR(INDEX(_怪物基线!$C$2:$C$501,MATCH(INT($L6),_怪物基线!$A$2:$A$501,0)),"")</f>
        <v>1368</v>
      </c>
      <c r="Q6" s="4">
        <f>IFERROR(INDEX(_怪物基线!$D$2:$D$501,MATCH(INT($L6),_怪物基线!$A$2:$A$501,0)),"")</f>
        <v>2221</v>
      </c>
      <c r="R6" s="4">
        <f>参数!$B$10</f>
        <v>4</v>
      </c>
      <c r="S6" s="4">
        <f>参数!$C$10</f>
        <v>1.2</v>
      </c>
      <c r="T6" s="4">
        <f>参数!$D$10</f>
        <v>1</v>
      </c>
      <c r="U6" s="4">
        <f t="shared" si="0"/>
        <v>23304</v>
      </c>
      <c r="V6" s="4">
        <f t="shared" si="1"/>
        <v>1641.6</v>
      </c>
      <c r="W6" s="4">
        <f t="shared" si="2"/>
        <v>2221</v>
      </c>
      <c r="X6" s="4">
        <f>IFERROR(INDEX(参数!$B$5:$B$7,MATCH($N6,参数!$A$5:$A$7,0)),"")</f>
        <v>1</v>
      </c>
      <c r="Y6" s="4">
        <f>IFERROR(INDEX(参数!$C$5:$C$7,MATCH($N6,参数!$A$5:$A$7,0)),"")</f>
        <v>1.2</v>
      </c>
      <c r="Z6" s="4">
        <f>IFERROR(INDEX(参数!$D$5:$D$7,MATCH($N6,参数!$A$5:$A$7,0)),"")</f>
        <v>1</v>
      </c>
      <c r="AA6" s="4">
        <f>IFERROR(INDEX(楼层配置!$E$5:$E$104,MATCH($K6,楼层配置!$B$5:$B$104,0)),1)</f>
        <v>1</v>
      </c>
      <c r="AB6" s="4">
        <f>IFERROR(INDEX(楼层配置!$F$5:$F$104,MATCH($K6,楼层配置!$B$5:$B$104,0)),1)</f>
        <v>1</v>
      </c>
      <c r="AC6" s="4">
        <f>IFERROR(INDEX(楼层配置!$G$5:$G$104,MATCH($K6,楼层配置!$B$5:$B$104,0)),1)</f>
        <v>1</v>
      </c>
      <c r="AD6" s="6">
        <f t="shared" si="3"/>
        <v>1.00051506567087</v>
      </c>
      <c r="AE6" s="6">
        <f t="shared" si="4"/>
        <v>0.938976377952756</v>
      </c>
      <c r="AF6" s="6">
        <f t="shared" si="5"/>
        <v>1.39074273412271</v>
      </c>
      <c r="AG6" s="4" t="str">
        <f t="shared" si="6"/>
        <v>有效</v>
      </c>
    </row>
    <row r="7" ht="14.25" customHeight="1" spans="1:33">
      <c r="A7" s="4">
        <v>3</v>
      </c>
      <c r="B7" s="4">
        <v>1001</v>
      </c>
      <c r="C7" s="4">
        <v>10</v>
      </c>
      <c r="D7" s="5">
        <f>IFERROR(ROUND($U7*$X7*$AA7*参数!$B$13,0),"")</f>
        <v>23304</v>
      </c>
      <c r="E7" s="5">
        <f>IFERROR(ROUND($V7*$Y7*$AB7*参数!$C$13,0),"")</f>
        <v>1970</v>
      </c>
      <c r="F7" s="5">
        <f>IFERROR(ROUND($W7*$Z7*$AC7*参数!$D$13,0),"")</f>
        <v>2221</v>
      </c>
      <c r="G7" s="4">
        <v>11649</v>
      </c>
      <c r="H7" s="4">
        <v>1016</v>
      </c>
      <c r="I7" s="4">
        <v>929</v>
      </c>
      <c r="J7" s="4">
        <v>1</v>
      </c>
      <c r="K7" s="4">
        <v>1</v>
      </c>
      <c r="L7" s="4">
        <f>IFERROR(INDEX(楼层配置!$D$5:$D$104,MATCH($K7,楼层配置!$B$5:$B$104,0)),"")</f>
        <v>37</v>
      </c>
      <c r="M7" s="4" t="str">
        <f>IFERROR(INDEX(_角色基线!$B$2:$B$100,MATCH($B7,_角色基线!$A$2:$A$100,0)),"")</f>
        <v>星海</v>
      </c>
      <c r="N7" s="4" t="str">
        <f>IFERROR(INDEX(_角色基线!$C$2:$C$100,MATCH($B7,_角色基线!$A$2:$A$100,0)),"")</f>
        <v>DPS</v>
      </c>
      <c r="O7" s="4">
        <f>IFERROR(INDEX(_怪物基线!$B$2:$B$501,MATCH(INT($L7),_怪物基线!$A$2:$A$501,0)),"")</f>
        <v>5826</v>
      </c>
      <c r="P7" s="4">
        <f>IFERROR(INDEX(_怪物基线!$C$2:$C$501,MATCH(INT($L7),_怪物基线!$A$2:$A$501,0)),"")</f>
        <v>1368</v>
      </c>
      <c r="Q7" s="4">
        <f>IFERROR(INDEX(_怪物基线!$D$2:$D$501,MATCH(INT($L7),_怪物基线!$A$2:$A$501,0)),"")</f>
        <v>2221</v>
      </c>
      <c r="R7" s="4">
        <f>参数!$B$10</f>
        <v>4</v>
      </c>
      <c r="S7" s="4">
        <f>参数!$C$10</f>
        <v>1.2</v>
      </c>
      <c r="T7" s="4">
        <f>参数!$D$10</f>
        <v>1</v>
      </c>
      <c r="U7" s="4">
        <f t="shared" si="0"/>
        <v>23304</v>
      </c>
      <c r="V7" s="4">
        <f t="shared" si="1"/>
        <v>1641.6</v>
      </c>
      <c r="W7" s="4">
        <f t="shared" si="2"/>
        <v>2221</v>
      </c>
      <c r="X7" s="4">
        <f>IFERROR(INDEX(参数!$B$5:$B$7,MATCH($N7,参数!$A$5:$A$7,0)),"")</f>
        <v>1</v>
      </c>
      <c r="Y7" s="4">
        <f>IFERROR(INDEX(参数!$C$5:$C$7,MATCH($N7,参数!$A$5:$A$7,0)),"")</f>
        <v>1.2</v>
      </c>
      <c r="Z7" s="4">
        <f>IFERROR(INDEX(参数!$D$5:$D$7,MATCH($N7,参数!$A$5:$A$7,0)),"")</f>
        <v>1</v>
      </c>
      <c r="AA7" s="4">
        <f>IFERROR(INDEX(楼层配置!$E$5:$E$104,MATCH($K7,楼层配置!$B$5:$B$104,0)),1)</f>
        <v>1</v>
      </c>
      <c r="AB7" s="4">
        <f>IFERROR(INDEX(楼层配置!$F$5:$F$104,MATCH($K7,楼层配置!$B$5:$B$104,0)),1)</f>
        <v>1</v>
      </c>
      <c r="AC7" s="4">
        <f>IFERROR(INDEX(楼层配置!$G$5:$G$104,MATCH($K7,楼层配置!$B$5:$B$104,0)),1)</f>
        <v>1</v>
      </c>
      <c r="AD7" s="6">
        <f t="shared" si="3"/>
        <v>1.00051506567087</v>
      </c>
      <c r="AE7" s="6">
        <f t="shared" si="4"/>
        <v>0.938976377952756</v>
      </c>
      <c r="AF7" s="6">
        <f t="shared" si="5"/>
        <v>1.39074273412271</v>
      </c>
      <c r="AG7" s="4" t="str">
        <f t="shared" si="6"/>
        <v>有效</v>
      </c>
    </row>
    <row r="8" ht="14.25" customHeight="1" spans="1:33">
      <c r="A8" s="4">
        <v>4</v>
      </c>
      <c r="B8" s="4">
        <v>1001</v>
      </c>
      <c r="C8" s="4">
        <v>10</v>
      </c>
      <c r="D8" s="5">
        <f>IFERROR(ROUND($U8*$X8*$AA8*参数!$B$13,0),"")</f>
        <v>23304</v>
      </c>
      <c r="E8" s="5">
        <f>IFERROR(ROUND($V8*$Y8*$AB8*参数!$C$13,0),"")</f>
        <v>1970</v>
      </c>
      <c r="F8" s="5">
        <f>IFERROR(ROUND($W8*$Z8*$AC8*参数!$D$13,0),"")</f>
        <v>2221</v>
      </c>
      <c r="G8" s="4">
        <v>11649</v>
      </c>
      <c r="H8" s="4">
        <v>1016</v>
      </c>
      <c r="I8" s="4">
        <v>929</v>
      </c>
      <c r="J8" s="4">
        <v>1</v>
      </c>
      <c r="K8" s="4">
        <v>1</v>
      </c>
      <c r="L8" s="4">
        <f>IFERROR(INDEX(楼层配置!$D$5:$D$104,MATCH($K8,楼层配置!$B$5:$B$104,0)),"")</f>
        <v>37</v>
      </c>
      <c r="M8" s="4" t="str">
        <f>IFERROR(INDEX(_角色基线!$B$2:$B$100,MATCH($B8,_角色基线!$A$2:$A$100,0)),"")</f>
        <v>星海</v>
      </c>
      <c r="N8" s="4" t="str">
        <f>IFERROR(INDEX(_角色基线!$C$2:$C$100,MATCH($B8,_角色基线!$A$2:$A$100,0)),"")</f>
        <v>DPS</v>
      </c>
      <c r="O8" s="4">
        <f>IFERROR(INDEX(_怪物基线!$B$2:$B$501,MATCH(INT($L8),_怪物基线!$A$2:$A$501,0)),"")</f>
        <v>5826</v>
      </c>
      <c r="P8" s="4">
        <f>IFERROR(INDEX(_怪物基线!$C$2:$C$501,MATCH(INT($L8),_怪物基线!$A$2:$A$501,0)),"")</f>
        <v>1368</v>
      </c>
      <c r="Q8" s="4">
        <f>IFERROR(INDEX(_怪物基线!$D$2:$D$501,MATCH(INT($L8),_怪物基线!$A$2:$A$501,0)),"")</f>
        <v>2221</v>
      </c>
      <c r="R8" s="4">
        <f>参数!$B$10</f>
        <v>4</v>
      </c>
      <c r="S8" s="4">
        <f>参数!$C$10</f>
        <v>1.2</v>
      </c>
      <c r="T8" s="4">
        <f>参数!$D$10</f>
        <v>1</v>
      </c>
      <c r="U8" s="4">
        <f t="shared" si="0"/>
        <v>23304</v>
      </c>
      <c r="V8" s="4">
        <f t="shared" si="1"/>
        <v>1641.6</v>
      </c>
      <c r="W8" s="4">
        <f t="shared" si="2"/>
        <v>2221</v>
      </c>
      <c r="X8" s="4">
        <f>IFERROR(INDEX(参数!$B$5:$B$7,MATCH($N8,参数!$A$5:$A$7,0)),"")</f>
        <v>1</v>
      </c>
      <c r="Y8" s="4">
        <f>IFERROR(INDEX(参数!$C$5:$C$7,MATCH($N8,参数!$A$5:$A$7,0)),"")</f>
        <v>1.2</v>
      </c>
      <c r="Z8" s="4">
        <f>IFERROR(INDEX(参数!$D$5:$D$7,MATCH($N8,参数!$A$5:$A$7,0)),"")</f>
        <v>1</v>
      </c>
      <c r="AA8" s="4">
        <f>IFERROR(INDEX(楼层配置!$E$5:$E$104,MATCH($K8,楼层配置!$B$5:$B$104,0)),1)</f>
        <v>1</v>
      </c>
      <c r="AB8" s="4">
        <f>IFERROR(INDEX(楼层配置!$F$5:$F$104,MATCH($K8,楼层配置!$B$5:$B$104,0)),1)</f>
        <v>1</v>
      </c>
      <c r="AC8" s="4">
        <f>IFERROR(INDEX(楼层配置!$G$5:$G$104,MATCH($K8,楼层配置!$B$5:$B$104,0)),1)</f>
        <v>1</v>
      </c>
      <c r="AD8" s="6">
        <f t="shared" si="3"/>
        <v>1.00051506567087</v>
      </c>
      <c r="AE8" s="6">
        <f t="shared" si="4"/>
        <v>0.938976377952756</v>
      </c>
      <c r="AF8" s="6">
        <f t="shared" si="5"/>
        <v>1.39074273412271</v>
      </c>
      <c r="AG8" s="4" t="str">
        <f t="shared" si="6"/>
        <v>有效</v>
      </c>
    </row>
    <row r="9" ht="14.25" customHeight="1" spans="1:33">
      <c r="A9" s="4">
        <v>5</v>
      </c>
      <c r="B9" s="4">
        <v>1040</v>
      </c>
      <c r="C9" s="4">
        <v>10</v>
      </c>
      <c r="D9" s="5">
        <f>IFERROR(ROUND($U9*$X9*$AA9*参数!$B$13,0),"")</f>
        <v>29130</v>
      </c>
      <c r="E9" s="5">
        <f>IFERROR(ROUND($V9*$Y9*$AB9*参数!$C$13,0),"")</f>
        <v>1642</v>
      </c>
      <c r="F9" s="5">
        <f>IFERROR(ROUND($W9*$Z9*$AC9*参数!$D$13,0),"")</f>
        <v>2776</v>
      </c>
      <c r="G9" s="4">
        <v>14562</v>
      </c>
      <c r="H9" s="4">
        <v>847</v>
      </c>
      <c r="I9" s="4">
        <v>1162</v>
      </c>
      <c r="J9" s="4">
        <v>1</v>
      </c>
      <c r="K9" s="4">
        <v>1</v>
      </c>
      <c r="L9" s="4">
        <f>IFERROR(INDEX(楼层配置!$D$5:$D$104,MATCH($K9,楼层配置!$B$5:$B$104,0)),"")</f>
        <v>37</v>
      </c>
      <c r="M9" s="4" t="str">
        <f>IFERROR(INDEX(_角色基线!$B$2:$B$100,MATCH($B9,_角色基线!$A$2:$A$100,0)),"")</f>
        <v>小寒</v>
      </c>
      <c r="N9" s="4" t="str">
        <f>IFERROR(INDEX(_角色基线!$C$2:$C$100,MATCH($B9,_角色基线!$A$2:$A$100,0)),"")</f>
        <v>Support</v>
      </c>
      <c r="O9" s="4">
        <f>IFERROR(INDEX(_怪物基线!$B$2:$B$501,MATCH(INT($L9),_怪物基线!$A$2:$A$501,0)),"")</f>
        <v>5826</v>
      </c>
      <c r="P9" s="4">
        <f>IFERROR(INDEX(_怪物基线!$C$2:$C$501,MATCH(INT($L9),_怪物基线!$A$2:$A$501,0)),"")</f>
        <v>1368</v>
      </c>
      <c r="Q9" s="4">
        <f>IFERROR(INDEX(_怪物基线!$D$2:$D$501,MATCH(INT($L9),_怪物基线!$A$2:$A$501,0)),"")</f>
        <v>2221</v>
      </c>
      <c r="R9" s="4">
        <f>参数!$B$10</f>
        <v>4</v>
      </c>
      <c r="S9" s="4">
        <f>参数!$C$10</f>
        <v>1.2</v>
      </c>
      <c r="T9" s="4">
        <f>参数!$D$10</f>
        <v>1</v>
      </c>
      <c r="U9" s="4">
        <f t="shared" si="0"/>
        <v>23304</v>
      </c>
      <c r="V9" s="4">
        <f t="shared" si="1"/>
        <v>1641.6</v>
      </c>
      <c r="W9" s="4">
        <f t="shared" si="2"/>
        <v>2221</v>
      </c>
      <c r="X9" s="4">
        <f>IFERROR(INDEX(参数!$B$5:$B$7,MATCH($N9,参数!$A$5:$A$7,0)),"")</f>
        <v>1.25</v>
      </c>
      <c r="Y9" s="4">
        <f>IFERROR(INDEX(参数!$C$5:$C$7,MATCH($N9,参数!$A$5:$A$7,0)),"")</f>
        <v>1</v>
      </c>
      <c r="Z9" s="4">
        <f>IFERROR(INDEX(参数!$D$5:$D$7,MATCH($N9,参数!$A$5:$A$7,0)),"")</f>
        <v>1.25</v>
      </c>
      <c r="AA9" s="4">
        <f>IFERROR(INDEX(楼层配置!$E$5:$E$104,MATCH($K9,楼层配置!$B$5:$B$104,0)),1)</f>
        <v>1</v>
      </c>
      <c r="AB9" s="4">
        <f>IFERROR(INDEX(楼层配置!$F$5:$F$104,MATCH($K9,楼层配置!$B$5:$B$104,0)),1)</f>
        <v>1</v>
      </c>
      <c r="AC9" s="4">
        <f>IFERROR(INDEX(楼层配置!$G$5:$G$104,MATCH($K9,楼层配置!$B$5:$B$104,0)),1)</f>
        <v>1</v>
      </c>
      <c r="AD9" s="6">
        <f t="shared" si="3"/>
        <v>1.00041203131438</v>
      </c>
      <c r="AE9" s="6">
        <f t="shared" si="4"/>
        <v>0.938606847697757</v>
      </c>
      <c r="AF9" s="6">
        <f t="shared" si="5"/>
        <v>1.38898450946644</v>
      </c>
      <c r="AG9" s="4" t="str">
        <f t="shared" si="6"/>
        <v>有效</v>
      </c>
    </row>
    <row r="10" ht="14.25" customHeight="1" spans="1:33">
      <c r="A10" s="4">
        <v>6</v>
      </c>
      <c r="B10" s="4">
        <v>1038</v>
      </c>
      <c r="C10" s="4">
        <v>11</v>
      </c>
      <c r="D10" s="5">
        <f>IFERROR(ROUND($U10*$X10*$AA10*参数!$B$13,0),"")</f>
        <v>45528</v>
      </c>
      <c r="E10" s="5">
        <f>IFERROR(ROUND($V10*$Y10*$AB10*参数!$C$13,0),"")</f>
        <v>1990</v>
      </c>
      <c r="F10" s="5">
        <f>IFERROR(ROUND($W10*$Z10*$AC10*参数!$D$13,0),"")</f>
        <v>4014</v>
      </c>
      <c r="G10" s="4">
        <v>22442</v>
      </c>
      <c r="H10" s="4">
        <v>1028</v>
      </c>
      <c r="I10" s="4">
        <v>1686</v>
      </c>
      <c r="J10" s="4">
        <v>2</v>
      </c>
      <c r="K10" s="4">
        <v>2</v>
      </c>
      <c r="L10" s="4">
        <f>IFERROR(INDEX(楼层配置!$D$5:$D$104,MATCH($K10,楼层配置!$B$5:$B$104,0)),"")</f>
        <v>44</v>
      </c>
      <c r="M10" s="4" t="str">
        <f>IFERROR(INDEX(_角色基线!$B$2:$B$100,MATCH($B10,_角色基线!$A$2:$A$100,0)),"")</f>
        <v>商队战斗员</v>
      </c>
      <c r="N10" s="4" t="str">
        <f>IFERROR(INDEX(_角色基线!$C$2:$C$100,MATCH($B10,_角色基线!$A$2:$A$100,0)),"")</f>
        <v>Tank</v>
      </c>
      <c r="O10" s="4">
        <f>IFERROR(INDEX(_怪物基线!$B$2:$B$501,MATCH(INT($L10),_怪物基线!$A$2:$A$501,0)),"")</f>
        <v>7588</v>
      </c>
      <c r="P10" s="4">
        <f>IFERROR(INDEX(_怪物基线!$C$2:$C$501,MATCH(INT($L10),_怪物基线!$A$2:$A$501,0)),"")</f>
        <v>1658</v>
      </c>
      <c r="Q10" s="4">
        <f>IFERROR(INDEX(_怪物基线!$D$2:$D$501,MATCH(INT($L10),_怪物基线!$A$2:$A$501,0)),"")</f>
        <v>2676</v>
      </c>
      <c r="R10" s="4">
        <f>参数!$B$10</f>
        <v>4</v>
      </c>
      <c r="S10" s="4">
        <f>参数!$C$10</f>
        <v>1.2</v>
      </c>
      <c r="T10" s="4">
        <f>参数!$D$10</f>
        <v>1</v>
      </c>
      <c r="U10" s="4">
        <f t="shared" si="0"/>
        <v>30352</v>
      </c>
      <c r="V10" s="4">
        <f t="shared" si="1"/>
        <v>1989.6</v>
      </c>
      <c r="W10" s="4">
        <f t="shared" si="2"/>
        <v>2676</v>
      </c>
      <c r="X10" s="4">
        <f>IFERROR(INDEX(参数!$B$5:$B$7,MATCH($N10,参数!$A$5:$A$7,0)),"")</f>
        <v>1.5</v>
      </c>
      <c r="Y10" s="4">
        <f>IFERROR(INDEX(参数!$C$5:$C$7,MATCH($N10,参数!$A$5:$A$7,0)),"")</f>
        <v>1</v>
      </c>
      <c r="Z10" s="4">
        <f>IFERROR(INDEX(参数!$D$5:$D$7,MATCH($N10,参数!$A$5:$A$7,0)),"")</f>
        <v>1.5</v>
      </c>
      <c r="AA10" s="4">
        <f>IFERROR(INDEX(楼层配置!$E$5:$E$104,MATCH($K10,楼层配置!$B$5:$B$104,0)),1)</f>
        <v>1</v>
      </c>
      <c r="AB10" s="4">
        <f>IFERROR(INDEX(楼层配置!$F$5:$F$104,MATCH($K10,楼层配置!$B$5:$B$104,0)),1)</f>
        <v>1</v>
      </c>
      <c r="AC10" s="4">
        <f>IFERROR(INDEX(楼层配置!$G$5:$G$104,MATCH($K10,楼层配置!$B$5:$B$104,0)),1)</f>
        <v>1</v>
      </c>
      <c r="AD10" s="6">
        <f t="shared" si="3"/>
        <v>1.02869619463506</v>
      </c>
      <c r="AE10" s="6">
        <f t="shared" si="4"/>
        <v>0.93579766536965</v>
      </c>
      <c r="AF10" s="6">
        <f t="shared" si="5"/>
        <v>1.38078291814947</v>
      </c>
      <c r="AG10" s="4" t="str">
        <f t="shared" si="6"/>
        <v>有效</v>
      </c>
    </row>
    <row r="11" ht="14.25" customHeight="1" spans="1:33">
      <c r="A11" s="4">
        <v>7</v>
      </c>
      <c r="B11" s="4">
        <v>1035</v>
      </c>
      <c r="C11" s="4">
        <v>11</v>
      </c>
      <c r="D11" s="5">
        <f>IFERROR(ROUND($U11*$X11*$AA11*参数!$B$13,0),"")</f>
        <v>30352</v>
      </c>
      <c r="E11" s="5">
        <f>IFERROR(ROUND($V11*$Y11*$AB11*参数!$C$13,0),"")</f>
        <v>2388</v>
      </c>
      <c r="F11" s="5">
        <f>IFERROR(ROUND($W11*$Z11*$AC11*参数!$D$13,0),"")</f>
        <v>2676</v>
      </c>
      <c r="G11" s="4">
        <v>14961</v>
      </c>
      <c r="H11" s="4">
        <v>1233</v>
      </c>
      <c r="I11" s="4">
        <v>1124</v>
      </c>
      <c r="J11" s="4">
        <v>2</v>
      </c>
      <c r="K11" s="4">
        <v>2</v>
      </c>
      <c r="L11" s="4">
        <f>IFERROR(INDEX(楼层配置!$D$5:$D$104,MATCH($K11,楼层配置!$B$5:$B$104,0)),"")</f>
        <v>44</v>
      </c>
      <c r="M11" s="4" t="str">
        <f>IFERROR(INDEX(_角色基线!$B$2:$B$100,MATCH($B11,_角色基线!$A$2:$A$100,0)),"")</f>
        <v>碎冰者</v>
      </c>
      <c r="N11" s="4" t="str">
        <f>IFERROR(INDEX(_角色基线!$C$2:$C$100,MATCH($B11,_角色基线!$A$2:$A$100,0)),"")</f>
        <v>DPS</v>
      </c>
      <c r="O11" s="4">
        <f>IFERROR(INDEX(_怪物基线!$B$2:$B$501,MATCH(INT($L11),_怪物基线!$A$2:$A$501,0)),"")</f>
        <v>7588</v>
      </c>
      <c r="P11" s="4">
        <f>IFERROR(INDEX(_怪物基线!$C$2:$C$501,MATCH(INT($L11),_怪物基线!$A$2:$A$501,0)),"")</f>
        <v>1658</v>
      </c>
      <c r="Q11" s="4">
        <f>IFERROR(INDEX(_怪物基线!$D$2:$D$501,MATCH(INT($L11),_怪物基线!$A$2:$A$501,0)),"")</f>
        <v>2676</v>
      </c>
      <c r="R11" s="4">
        <f>参数!$B$10</f>
        <v>4</v>
      </c>
      <c r="S11" s="4">
        <f>参数!$C$10</f>
        <v>1.2</v>
      </c>
      <c r="T11" s="4">
        <f>参数!$D$10</f>
        <v>1</v>
      </c>
      <c r="U11" s="4">
        <f t="shared" si="0"/>
        <v>30352</v>
      </c>
      <c r="V11" s="4">
        <f t="shared" si="1"/>
        <v>1989.6</v>
      </c>
      <c r="W11" s="4">
        <f t="shared" si="2"/>
        <v>2676</v>
      </c>
      <c r="X11" s="4">
        <f>IFERROR(INDEX(参数!$B$5:$B$7,MATCH($N11,参数!$A$5:$A$7,0)),"")</f>
        <v>1</v>
      </c>
      <c r="Y11" s="4">
        <f>IFERROR(INDEX(参数!$C$5:$C$7,MATCH($N11,参数!$A$5:$A$7,0)),"")</f>
        <v>1.2</v>
      </c>
      <c r="Z11" s="4">
        <f>IFERROR(INDEX(参数!$D$5:$D$7,MATCH($N11,参数!$A$5:$A$7,0)),"")</f>
        <v>1</v>
      </c>
      <c r="AA11" s="4">
        <f>IFERROR(INDEX(楼层配置!$E$5:$E$104,MATCH($K11,楼层配置!$B$5:$B$104,0)),1)</f>
        <v>1</v>
      </c>
      <c r="AB11" s="4">
        <f>IFERROR(INDEX(楼层配置!$F$5:$F$104,MATCH($K11,楼层配置!$B$5:$B$104,0)),1)</f>
        <v>1</v>
      </c>
      <c r="AC11" s="4">
        <f>IFERROR(INDEX(楼层配置!$G$5:$G$104,MATCH($K11,楼层配置!$B$5:$B$104,0)),1)</f>
        <v>1</v>
      </c>
      <c r="AD11" s="6">
        <f t="shared" si="3"/>
        <v>1.02874139429183</v>
      </c>
      <c r="AE11" s="6">
        <f t="shared" si="4"/>
        <v>0.936739659367397</v>
      </c>
      <c r="AF11" s="6">
        <f t="shared" si="5"/>
        <v>1.38078291814947</v>
      </c>
      <c r="AG11" s="4" t="str">
        <f t="shared" si="6"/>
        <v>有效</v>
      </c>
    </row>
    <row r="12" ht="14.25" customHeight="1" spans="1:33">
      <c r="A12" s="4">
        <v>8</v>
      </c>
      <c r="B12" s="4">
        <v>1035</v>
      </c>
      <c r="C12" s="4">
        <v>11</v>
      </c>
      <c r="D12" s="5">
        <f>IFERROR(ROUND($U12*$X12*$AA12*参数!$B$13,0),"")</f>
        <v>30352</v>
      </c>
      <c r="E12" s="5">
        <f>IFERROR(ROUND($V12*$Y12*$AB12*参数!$C$13,0),"")</f>
        <v>2388</v>
      </c>
      <c r="F12" s="5">
        <f>IFERROR(ROUND($W12*$Z12*$AC12*参数!$D$13,0),"")</f>
        <v>2676</v>
      </c>
      <c r="G12" s="4">
        <v>14961</v>
      </c>
      <c r="H12" s="4">
        <v>1233</v>
      </c>
      <c r="I12" s="4">
        <v>1124</v>
      </c>
      <c r="J12" s="4">
        <v>2</v>
      </c>
      <c r="K12" s="4">
        <v>2</v>
      </c>
      <c r="L12" s="4">
        <f>IFERROR(INDEX(楼层配置!$D$5:$D$104,MATCH($K12,楼层配置!$B$5:$B$104,0)),"")</f>
        <v>44</v>
      </c>
      <c r="M12" s="4" t="str">
        <f>IFERROR(INDEX(_角色基线!$B$2:$B$100,MATCH($B12,_角色基线!$A$2:$A$100,0)),"")</f>
        <v>碎冰者</v>
      </c>
      <c r="N12" s="4" t="str">
        <f>IFERROR(INDEX(_角色基线!$C$2:$C$100,MATCH($B12,_角色基线!$A$2:$A$100,0)),"")</f>
        <v>DPS</v>
      </c>
      <c r="O12" s="4">
        <f>IFERROR(INDEX(_怪物基线!$B$2:$B$501,MATCH(INT($L12),_怪物基线!$A$2:$A$501,0)),"")</f>
        <v>7588</v>
      </c>
      <c r="P12" s="4">
        <f>IFERROR(INDEX(_怪物基线!$C$2:$C$501,MATCH(INT($L12),_怪物基线!$A$2:$A$501,0)),"")</f>
        <v>1658</v>
      </c>
      <c r="Q12" s="4">
        <f>IFERROR(INDEX(_怪物基线!$D$2:$D$501,MATCH(INT($L12),_怪物基线!$A$2:$A$501,0)),"")</f>
        <v>2676</v>
      </c>
      <c r="R12" s="4">
        <f>参数!$B$10</f>
        <v>4</v>
      </c>
      <c r="S12" s="4">
        <f>参数!$C$10</f>
        <v>1.2</v>
      </c>
      <c r="T12" s="4">
        <f>参数!$D$10</f>
        <v>1</v>
      </c>
      <c r="U12" s="4">
        <f t="shared" si="0"/>
        <v>30352</v>
      </c>
      <c r="V12" s="4">
        <f t="shared" si="1"/>
        <v>1989.6</v>
      </c>
      <c r="W12" s="4">
        <f t="shared" si="2"/>
        <v>2676</v>
      </c>
      <c r="X12" s="4">
        <f>IFERROR(INDEX(参数!$B$5:$B$7,MATCH($N12,参数!$A$5:$A$7,0)),"")</f>
        <v>1</v>
      </c>
      <c r="Y12" s="4">
        <f>IFERROR(INDEX(参数!$C$5:$C$7,MATCH($N12,参数!$A$5:$A$7,0)),"")</f>
        <v>1.2</v>
      </c>
      <c r="Z12" s="4">
        <f>IFERROR(INDEX(参数!$D$5:$D$7,MATCH($N12,参数!$A$5:$A$7,0)),"")</f>
        <v>1</v>
      </c>
      <c r="AA12" s="4">
        <f>IFERROR(INDEX(楼层配置!$E$5:$E$104,MATCH($K12,楼层配置!$B$5:$B$104,0)),1)</f>
        <v>1</v>
      </c>
      <c r="AB12" s="4">
        <f>IFERROR(INDEX(楼层配置!$F$5:$F$104,MATCH($K12,楼层配置!$B$5:$B$104,0)),1)</f>
        <v>1</v>
      </c>
      <c r="AC12" s="4">
        <f>IFERROR(INDEX(楼层配置!$G$5:$G$104,MATCH($K12,楼层配置!$B$5:$B$104,0)),1)</f>
        <v>1</v>
      </c>
      <c r="AD12" s="6">
        <f t="shared" si="3"/>
        <v>1.02874139429183</v>
      </c>
      <c r="AE12" s="6">
        <f t="shared" si="4"/>
        <v>0.936739659367397</v>
      </c>
      <c r="AF12" s="6">
        <f t="shared" si="5"/>
        <v>1.38078291814947</v>
      </c>
      <c r="AG12" s="4" t="str">
        <f t="shared" si="6"/>
        <v>有效</v>
      </c>
    </row>
    <row r="13" ht="14.25" customHeight="1" spans="1:33">
      <c r="A13" s="4">
        <v>9</v>
      </c>
      <c r="B13" s="4">
        <v>1035</v>
      </c>
      <c r="C13" s="4">
        <v>11</v>
      </c>
      <c r="D13" s="5">
        <f>IFERROR(ROUND($U13*$X13*$AA13*参数!$B$13,0),"")</f>
        <v>30352</v>
      </c>
      <c r="E13" s="5">
        <f>IFERROR(ROUND($V13*$Y13*$AB13*参数!$C$13,0),"")</f>
        <v>2388</v>
      </c>
      <c r="F13" s="5">
        <f>IFERROR(ROUND($W13*$Z13*$AC13*参数!$D$13,0),"")</f>
        <v>2676</v>
      </c>
      <c r="G13" s="4">
        <v>14961</v>
      </c>
      <c r="H13" s="4">
        <v>1233</v>
      </c>
      <c r="I13" s="4">
        <v>1124</v>
      </c>
      <c r="J13" s="4">
        <v>2</v>
      </c>
      <c r="K13" s="4">
        <v>2</v>
      </c>
      <c r="L13" s="4">
        <f>IFERROR(INDEX(楼层配置!$D$5:$D$104,MATCH($K13,楼层配置!$B$5:$B$104,0)),"")</f>
        <v>44</v>
      </c>
      <c r="M13" s="4" t="str">
        <f>IFERROR(INDEX(_角色基线!$B$2:$B$100,MATCH($B13,_角色基线!$A$2:$A$100,0)),"")</f>
        <v>碎冰者</v>
      </c>
      <c r="N13" s="4" t="str">
        <f>IFERROR(INDEX(_角色基线!$C$2:$C$100,MATCH($B13,_角色基线!$A$2:$A$100,0)),"")</f>
        <v>DPS</v>
      </c>
      <c r="O13" s="4">
        <f>IFERROR(INDEX(_怪物基线!$B$2:$B$501,MATCH(INT($L13),_怪物基线!$A$2:$A$501,0)),"")</f>
        <v>7588</v>
      </c>
      <c r="P13" s="4">
        <f>IFERROR(INDEX(_怪物基线!$C$2:$C$501,MATCH(INT($L13),_怪物基线!$A$2:$A$501,0)),"")</f>
        <v>1658</v>
      </c>
      <c r="Q13" s="4">
        <f>IFERROR(INDEX(_怪物基线!$D$2:$D$501,MATCH(INT($L13),_怪物基线!$A$2:$A$501,0)),"")</f>
        <v>2676</v>
      </c>
      <c r="R13" s="4">
        <f>参数!$B$10</f>
        <v>4</v>
      </c>
      <c r="S13" s="4">
        <f>参数!$C$10</f>
        <v>1.2</v>
      </c>
      <c r="T13" s="4">
        <f>参数!$D$10</f>
        <v>1</v>
      </c>
      <c r="U13" s="4">
        <f t="shared" si="0"/>
        <v>30352</v>
      </c>
      <c r="V13" s="4">
        <f t="shared" si="1"/>
        <v>1989.6</v>
      </c>
      <c r="W13" s="4">
        <f t="shared" si="2"/>
        <v>2676</v>
      </c>
      <c r="X13" s="4">
        <f>IFERROR(INDEX(参数!$B$5:$B$7,MATCH($N13,参数!$A$5:$A$7,0)),"")</f>
        <v>1</v>
      </c>
      <c r="Y13" s="4">
        <f>IFERROR(INDEX(参数!$C$5:$C$7,MATCH($N13,参数!$A$5:$A$7,0)),"")</f>
        <v>1.2</v>
      </c>
      <c r="Z13" s="4">
        <f>IFERROR(INDEX(参数!$D$5:$D$7,MATCH($N13,参数!$A$5:$A$7,0)),"")</f>
        <v>1</v>
      </c>
      <c r="AA13" s="4">
        <f>IFERROR(INDEX(楼层配置!$E$5:$E$104,MATCH($K13,楼层配置!$B$5:$B$104,0)),1)</f>
        <v>1</v>
      </c>
      <c r="AB13" s="4">
        <f>IFERROR(INDEX(楼层配置!$F$5:$F$104,MATCH($K13,楼层配置!$B$5:$B$104,0)),1)</f>
        <v>1</v>
      </c>
      <c r="AC13" s="4">
        <f>IFERROR(INDEX(楼层配置!$G$5:$G$104,MATCH($K13,楼层配置!$B$5:$B$104,0)),1)</f>
        <v>1</v>
      </c>
      <c r="AD13" s="6">
        <f t="shared" si="3"/>
        <v>1.02874139429183</v>
      </c>
      <c r="AE13" s="6">
        <f t="shared" si="4"/>
        <v>0.936739659367397</v>
      </c>
      <c r="AF13" s="6">
        <f t="shared" si="5"/>
        <v>1.38078291814947</v>
      </c>
      <c r="AG13" s="4" t="str">
        <f t="shared" si="6"/>
        <v>有效</v>
      </c>
    </row>
    <row r="14" ht="14.25" customHeight="1" spans="1:33">
      <c r="A14" s="4">
        <v>10</v>
      </c>
      <c r="B14" s="4">
        <v>1036</v>
      </c>
      <c r="C14" s="4">
        <v>11</v>
      </c>
      <c r="D14" s="5">
        <f>IFERROR(ROUND($U14*$X14*$AA14*参数!$B$13,0),"")</f>
        <v>30352</v>
      </c>
      <c r="E14" s="5">
        <f>IFERROR(ROUND($V14*$Y14*$AB14*参数!$C$13,0),"")</f>
        <v>2388</v>
      </c>
      <c r="F14" s="5">
        <f>IFERROR(ROUND($W14*$Z14*$AC14*参数!$D$13,0),"")</f>
        <v>2676</v>
      </c>
      <c r="G14" s="4">
        <v>14961</v>
      </c>
      <c r="H14" s="4">
        <v>1233</v>
      </c>
      <c r="I14" s="4">
        <v>1124</v>
      </c>
      <c r="J14" s="4">
        <v>2</v>
      </c>
      <c r="K14" s="4">
        <v>2</v>
      </c>
      <c r="L14" s="4">
        <f>IFERROR(INDEX(楼层配置!$D$5:$D$104,MATCH($K14,楼层配置!$B$5:$B$104,0)),"")</f>
        <v>44</v>
      </c>
      <c r="M14" s="4" t="str">
        <f>IFERROR(INDEX(_角色基线!$B$2:$B$100,MATCH($B14,_角色基线!$A$2:$A$100,0)),"")</f>
        <v>霜狼法师</v>
      </c>
      <c r="N14" s="4" t="str">
        <f>IFERROR(INDEX(_角色基线!$C$2:$C$100,MATCH($B14,_角色基线!$A$2:$A$100,0)),"")</f>
        <v>DPS</v>
      </c>
      <c r="O14" s="4">
        <f>IFERROR(INDEX(_怪物基线!$B$2:$B$501,MATCH(INT($L14),_怪物基线!$A$2:$A$501,0)),"")</f>
        <v>7588</v>
      </c>
      <c r="P14" s="4">
        <f>IFERROR(INDEX(_怪物基线!$C$2:$C$501,MATCH(INT($L14),_怪物基线!$A$2:$A$501,0)),"")</f>
        <v>1658</v>
      </c>
      <c r="Q14" s="4">
        <f>IFERROR(INDEX(_怪物基线!$D$2:$D$501,MATCH(INT($L14),_怪物基线!$A$2:$A$501,0)),"")</f>
        <v>2676</v>
      </c>
      <c r="R14" s="4">
        <f>参数!$B$10</f>
        <v>4</v>
      </c>
      <c r="S14" s="4">
        <f>参数!$C$10</f>
        <v>1.2</v>
      </c>
      <c r="T14" s="4">
        <f>参数!$D$10</f>
        <v>1</v>
      </c>
      <c r="U14" s="4">
        <f t="shared" si="0"/>
        <v>30352</v>
      </c>
      <c r="V14" s="4">
        <f t="shared" si="1"/>
        <v>1989.6</v>
      </c>
      <c r="W14" s="4">
        <f t="shared" si="2"/>
        <v>2676</v>
      </c>
      <c r="X14" s="4">
        <f>IFERROR(INDEX(参数!$B$5:$B$7,MATCH($N14,参数!$A$5:$A$7,0)),"")</f>
        <v>1</v>
      </c>
      <c r="Y14" s="4">
        <f>IFERROR(INDEX(参数!$C$5:$C$7,MATCH($N14,参数!$A$5:$A$7,0)),"")</f>
        <v>1.2</v>
      </c>
      <c r="Z14" s="4">
        <f>IFERROR(INDEX(参数!$D$5:$D$7,MATCH($N14,参数!$A$5:$A$7,0)),"")</f>
        <v>1</v>
      </c>
      <c r="AA14" s="4">
        <f>IFERROR(INDEX(楼层配置!$E$5:$E$104,MATCH($K14,楼层配置!$B$5:$B$104,0)),1)</f>
        <v>1</v>
      </c>
      <c r="AB14" s="4">
        <f>IFERROR(INDEX(楼层配置!$F$5:$F$104,MATCH($K14,楼层配置!$B$5:$B$104,0)),1)</f>
        <v>1</v>
      </c>
      <c r="AC14" s="4">
        <f>IFERROR(INDEX(楼层配置!$G$5:$G$104,MATCH($K14,楼层配置!$B$5:$B$104,0)),1)</f>
        <v>1</v>
      </c>
      <c r="AD14" s="6">
        <f t="shared" si="3"/>
        <v>1.02874139429183</v>
      </c>
      <c r="AE14" s="6">
        <f t="shared" si="4"/>
        <v>0.936739659367397</v>
      </c>
      <c r="AF14" s="6">
        <f t="shared" si="5"/>
        <v>1.38078291814947</v>
      </c>
      <c r="AG14" s="4" t="str">
        <f t="shared" si="6"/>
        <v>有效</v>
      </c>
    </row>
    <row r="15" ht="14.25" customHeight="1" spans="1:33">
      <c r="A15" s="4">
        <v>11</v>
      </c>
      <c r="B15" s="4">
        <v>1002</v>
      </c>
      <c r="C15" s="4">
        <v>11</v>
      </c>
      <c r="D15" s="5">
        <f>IFERROR(ROUND($U15*$X15*$AA15*参数!$B$13,0),"")</f>
        <v>57432</v>
      </c>
      <c r="E15" s="5">
        <f>IFERROR(ROUND($V15*$Y15*$AB15*参数!$C$13,0),"")</f>
        <v>2350</v>
      </c>
      <c r="F15" s="5">
        <f>IFERROR(ROUND($W15*$Z15*$AC15*参数!$D$13,0),"")</f>
        <v>4713</v>
      </c>
      <c r="G15" s="4">
        <v>27900</v>
      </c>
      <c r="H15" s="4">
        <v>1213</v>
      </c>
      <c r="I15" s="4">
        <v>1982</v>
      </c>
      <c r="J15" s="4">
        <v>3</v>
      </c>
      <c r="K15" s="4">
        <v>3</v>
      </c>
      <c r="L15" s="4">
        <f>IFERROR(INDEX(楼层配置!$D$5:$D$104,MATCH($K15,楼层配置!$B$5:$B$104,0)),"")</f>
        <v>51</v>
      </c>
      <c r="M15" s="4" t="str">
        <f>IFERROR(INDEX(_角色基线!$B$2:$B$100,MATCH($B15,_角色基线!$A$2:$A$100,0)),"")</f>
        <v>大暑</v>
      </c>
      <c r="N15" s="4" t="str">
        <f>IFERROR(INDEX(_角色基线!$C$2:$C$100,MATCH($B15,_角色基线!$A$2:$A$100,0)),"")</f>
        <v>Tank</v>
      </c>
      <c r="O15" s="4">
        <f>IFERROR(INDEX(_怪物基线!$B$2:$B$501,MATCH(INT($L15),_怪物基线!$A$2:$A$501,0)),"")</f>
        <v>9572</v>
      </c>
      <c r="P15" s="4">
        <f>IFERROR(INDEX(_怪物基线!$C$2:$C$501,MATCH(INT($L15),_怪物基线!$A$2:$A$501,0)),"")</f>
        <v>1958</v>
      </c>
      <c r="Q15" s="4">
        <f>IFERROR(INDEX(_怪物基线!$D$2:$D$501,MATCH(INT($L15),_怪物基线!$A$2:$A$501,0)),"")</f>
        <v>3142</v>
      </c>
      <c r="R15" s="4">
        <f>参数!$B$10</f>
        <v>4</v>
      </c>
      <c r="S15" s="4">
        <f>参数!$C$10</f>
        <v>1.2</v>
      </c>
      <c r="T15" s="4">
        <f>参数!$D$10</f>
        <v>1</v>
      </c>
      <c r="U15" s="4">
        <f t="shared" si="0"/>
        <v>38288</v>
      </c>
      <c r="V15" s="4">
        <f t="shared" si="1"/>
        <v>2349.6</v>
      </c>
      <c r="W15" s="4">
        <f t="shared" si="2"/>
        <v>3142</v>
      </c>
      <c r="X15" s="4">
        <f>IFERROR(INDEX(参数!$B$5:$B$7,MATCH($N15,参数!$A$5:$A$7,0)),"")</f>
        <v>1.5</v>
      </c>
      <c r="Y15" s="4">
        <f>IFERROR(INDEX(参数!$C$5:$C$7,MATCH($N15,参数!$A$5:$A$7,0)),"")</f>
        <v>1</v>
      </c>
      <c r="Z15" s="4">
        <f>IFERROR(INDEX(参数!$D$5:$D$7,MATCH($N15,参数!$A$5:$A$7,0)),"")</f>
        <v>1.5</v>
      </c>
      <c r="AA15" s="4">
        <f>IFERROR(INDEX(楼层配置!$E$5:$E$104,MATCH($K15,楼层配置!$B$5:$B$104,0)),1)</f>
        <v>1</v>
      </c>
      <c r="AB15" s="4">
        <f>IFERROR(INDEX(楼层配置!$F$5:$F$104,MATCH($K15,楼层配置!$B$5:$B$104,0)),1)</f>
        <v>1</v>
      </c>
      <c r="AC15" s="4">
        <f>IFERROR(INDEX(楼层配置!$G$5:$G$104,MATCH($K15,楼层配置!$B$5:$B$104,0)),1)</f>
        <v>1</v>
      </c>
      <c r="AD15" s="6">
        <f t="shared" si="3"/>
        <v>1.05849462365591</v>
      </c>
      <c r="AE15" s="6">
        <f t="shared" si="4"/>
        <v>0.937345424567189</v>
      </c>
      <c r="AF15" s="6">
        <f t="shared" si="5"/>
        <v>1.37790110998991</v>
      </c>
      <c r="AG15" s="4" t="str">
        <f t="shared" si="6"/>
        <v>有效</v>
      </c>
    </row>
    <row r="16" ht="14.25" customHeight="1" spans="1:33">
      <c r="A16" s="4">
        <v>12</v>
      </c>
      <c r="B16" s="4">
        <v>1002</v>
      </c>
      <c r="C16" s="4">
        <v>11</v>
      </c>
      <c r="D16" s="5">
        <f>IFERROR(ROUND($U16*$X16*$AA16*参数!$B$13,0),"")</f>
        <v>57432</v>
      </c>
      <c r="E16" s="5">
        <f>IFERROR(ROUND($V16*$Y16*$AB16*参数!$C$13,0),"")</f>
        <v>2350</v>
      </c>
      <c r="F16" s="5">
        <f>IFERROR(ROUND($W16*$Z16*$AC16*参数!$D$13,0),"")</f>
        <v>4713</v>
      </c>
      <c r="G16" s="4">
        <v>27900</v>
      </c>
      <c r="H16" s="4">
        <v>1213</v>
      </c>
      <c r="I16" s="4">
        <v>1982</v>
      </c>
      <c r="J16" s="4">
        <v>3</v>
      </c>
      <c r="K16" s="4">
        <v>3</v>
      </c>
      <c r="L16" s="4">
        <f>IFERROR(INDEX(楼层配置!$D$5:$D$104,MATCH($K16,楼层配置!$B$5:$B$104,0)),"")</f>
        <v>51</v>
      </c>
      <c r="M16" s="4" t="str">
        <f>IFERROR(INDEX(_角色基线!$B$2:$B$100,MATCH($B16,_角色基线!$A$2:$A$100,0)),"")</f>
        <v>大暑</v>
      </c>
      <c r="N16" s="4" t="str">
        <f>IFERROR(INDEX(_角色基线!$C$2:$C$100,MATCH($B16,_角色基线!$A$2:$A$100,0)),"")</f>
        <v>Tank</v>
      </c>
      <c r="O16" s="4">
        <f>IFERROR(INDEX(_怪物基线!$B$2:$B$501,MATCH(INT($L16),_怪物基线!$A$2:$A$501,0)),"")</f>
        <v>9572</v>
      </c>
      <c r="P16" s="4">
        <f>IFERROR(INDEX(_怪物基线!$C$2:$C$501,MATCH(INT($L16),_怪物基线!$A$2:$A$501,0)),"")</f>
        <v>1958</v>
      </c>
      <c r="Q16" s="4">
        <f>IFERROR(INDEX(_怪物基线!$D$2:$D$501,MATCH(INT($L16),_怪物基线!$A$2:$A$501,0)),"")</f>
        <v>3142</v>
      </c>
      <c r="R16" s="4">
        <f>参数!$B$10</f>
        <v>4</v>
      </c>
      <c r="S16" s="4">
        <f>参数!$C$10</f>
        <v>1.2</v>
      </c>
      <c r="T16" s="4">
        <f>参数!$D$10</f>
        <v>1</v>
      </c>
      <c r="U16" s="4">
        <f t="shared" si="0"/>
        <v>38288</v>
      </c>
      <c r="V16" s="4">
        <f t="shared" si="1"/>
        <v>2349.6</v>
      </c>
      <c r="W16" s="4">
        <f t="shared" si="2"/>
        <v>3142</v>
      </c>
      <c r="X16" s="4">
        <f>IFERROR(INDEX(参数!$B$5:$B$7,MATCH($N16,参数!$A$5:$A$7,0)),"")</f>
        <v>1.5</v>
      </c>
      <c r="Y16" s="4">
        <f>IFERROR(INDEX(参数!$C$5:$C$7,MATCH($N16,参数!$A$5:$A$7,0)),"")</f>
        <v>1</v>
      </c>
      <c r="Z16" s="4">
        <f>IFERROR(INDEX(参数!$D$5:$D$7,MATCH($N16,参数!$A$5:$A$7,0)),"")</f>
        <v>1.5</v>
      </c>
      <c r="AA16" s="4">
        <f>IFERROR(INDEX(楼层配置!$E$5:$E$104,MATCH($K16,楼层配置!$B$5:$B$104,0)),1)</f>
        <v>1</v>
      </c>
      <c r="AB16" s="4">
        <f>IFERROR(INDEX(楼层配置!$F$5:$F$104,MATCH($K16,楼层配置!$B$5:$B$104,0)),1)</f>
        <v>1</v>
      </c>
      <c r="AC16" s="4">
        <f>IFERROR(INDEX(楼层配置!$G$5:$G$104,MATCH($K16,楼层配置!$B$5:$B$104,0)),1)</f>
        <v>1</v>
      </c>
      <c r="AD16" s="6">
        <f t="shared" si="3"/>
        <v>1.05849462365591</v>
      </c>
      <c r="AE16" s="6">
        <f t="shared" si="4"/>
        <v>0.937345424567189</v>
      </c>
      <c r="AF16" s="6">
        <f t="shared" si="5"/>
        <v>1.37790110998991</v>
      </c>
      <c r="AG16" s="4" t="str">
        <f t="shared" si="6"/>
        <v>有效</v>
      </c>
    </row>
    <row r="17" ht="14.25" customHeight="1" spans="1:33">
      <c r="A17" s="4">
        <v>13</v>
      </c>
      <c r="B17" s="4">
        <v>1002</v>
      </c>
      <c r="C17" s="4">
        <v>11</v>
      </c>
      <c r="D17" s="5">
        <f>IFERROR(ROUND($U17*$X17*$AA17*参数!$B$13,0),"")</f>
        <v>57432</v>
      </c>
      <c r="E17" s="5">
        <f>IFERROR(ROUND($V17*$Y17*$AB17*参数!$C$13,0),"")</f>
        <v>2350</v>
      </c>
      <c r="F17" s="5">
        <f>IFERROR(ROUND($W17*$Z17*$AC17*参数!$D$13,0),"")</f>
        <v>4713</v>
      </c>
      <c r="G17" s="4">
        <v>27900</v>
      </c>
      <c r="H17" s="4">
        <v>1213</v>
      </c>
      <c r="I17" s="4">
        <v>1982</v>
      </c>
      <c r="J17" s="4">
        <v>3</v>
      </c>
      <c r="K17" s="4">
        <v>3</v>
      </c>
      <c r="L17" s="4">
        <f>IFERROR(INDEX(楼层配置!$D$5:$D$104,MATCH($K17,楼层配置!$B$5:$B$104,0)),"")</f>
        <v>51</v>
      </c>
      <c r="M17" s="4" t="str">
        <f>IFERROR(INDEX(_角色基线!$B$2:$B$100,MATCH($B17,_角色基线!$A$2:$A$100,0)),"")</f>
        <v>大暑</v>
      </c>
      <c r="N17" s="4" t="str">
        <f>IFERROR(INDEX(_角色基线!$C$2:$C$100,MATCH($B17,_角色基线!$A$2:$A$100,0)),"")</f>
        <v>Tank</v>
      </c>
      <c r="O17" s="4">
        <f>IFERROR(INDEX(_怪物基线!$B$2:$B$501,MATCH(INT($L17),_怪物基线!$A$2:$A$501,0)),"")</f>
        <v>9572</v>
      </c>
      <c r="P17" s="4">
        <f>IFERROR(INDEX(_怪物基线!$C$2:$C$501,MATCH(INT($L17),_怪物基线!$A$2:$A$501,0)),"")</f>
        <v>1958</v>
      </c>
      <c r="Q17" s="4">
        <f>IFERROR(INDEX(_怪物基线!$D$2:$D$501,MATCH(INT($L17),_怪物基线!$A$2:$A$501,0)),"")</f>
        <v>3142</v>
      </c>
      <c r="R17" s="4">
        <f>参数!$B$10</f>
        <v>4</v>
      </c>
      <c r="S17" s="4">
        <f>参数!$C$10</f>
        <v>1.2</v>
      </c>
      <c r="T17" s="4">
        <f>参数!$D$10</f>
        <v>1</v>
      </c>
      <c r="U17" s="4">
        <f t="shared" si="0"/>
        <v>38288</v>
      </c>
      <c r="V17" s="4">
        <f t="shared" si="1"/>
        <v>2349.6</v>
      </c>
      <c r="W17" s="4">
        <f t="shared" si="2"/>
        <v>3142</v>
      </c>
      <c r="X17" s="4">
        <f>IFERROR(INDEX(参数!$B$5:$B$7,MATCH($N17,参数!$A$5:$A$7,0)),"")</f>
        <v>1.5</v>
      </c>
      <c r="Y17" s="4">
        <f>IFERROR(INDEX(参数!$C$5:$C$7,MATCH($N17,参数!$A$5:$A$7,0)),"")</f>
        <v>1</v>
      </c>
      <c r="Z17" s="4">
        <f>IFERROR(INDEX(参数!$D$5:$D$7,MATCH($N17,参数!$A$5:$A$7,0)),"")</f>
        <v>1.5</v>
      </c>
      <c r="AA17" s="4">
        <f>IFERROR(INDEX(楼层配置!$E$5:$E$104,MATCH($K17,楼层配置!$B$5:$B$104,0)),1)</f>
        <v>1</v>
      </c>
      <c r="AB17" s="4">
        <f>IFERROR(INDEX(楼层配置!$F$5:$F$104,MATCH($K17,楼层配置!$B$5:$B$104,0)),1)</f>
        <v>1</v>
      </c>
      <c r="AC17" s="4">
        <f>IFERROR(INDEX(楼层配置!$G$5:$G$104,MATCH($K17,楼层配置!$B$5:$B$104,0)),1)</f>
        <v>1</v>
      </c>
      <c r="AD17" s="6">
        <f t="shared" si="3"/>
        <v>1.05849462365591</v>
      </c>
      <c r="AE17" s="6">
        <f t="shared" si="4"/>
        <v>0.937345424567189</v>
      </c>
      <c r="AF17" s="6">
        <f t="shared" si="5"/>
        <v>1.37790110998991</v>
      </c>
      <c r="AG17" s="4" t="str">
        <f t="shared" si="6"/>
        <v>有效</v>
      </c>
    </row>
    <row r="18" ht="14.25" customHeight="1" spans="1:33">
      <c r="A18" s="4">
        <v>14</v>
      </c>
      <c r="B18" s="4">
        <v>1011</v>
      </c>
      <c r="C18" s="4">
        <v>11</v>
      </c>
      <c r="D18" s="5">
        <f>IFERROR(ROUND($U18*$X18*$AA18*参数!$B$13,0),"")</f>
        <v>47860</v>
      </c>
      <c r="E18" s="5">
        <f>IFERROR(ROUND($V18*$Y18*$AB18*参数!$C$13,0),"")</f>
        <v>2350</v>
      </c>
      <c r="F18" s="5">
        <f>IFERROR(ROUND($W18*$Z18*$AC18*参数!$D$13,0),"")</f>
        <v>3928</v>
      </c>
      <c r="G18" s="4">
        <v>23250</v>
      </c>
      <c r="H18" s="4">
        <v>1213</v>
      </c>
      <c r="I18" s="4">
        <v>1652</v>
      </c>
      <c r="J18" s="4">
        <v>3</v>
      </c>
      <c r="K18" s="4">
        <v>3</v>
      </c>
      <c r="L18" s="4">
        <f>IFERROR(INDEX(楼层配置!$D$5:$D$104,MATCH($K18,楼层配置!$B$5:$B$104,0)),"")</f>
        <v>51</v>
      </c>
      <c r="M18" s="4" t="str">
        <f>IFERROR(INDEX(_角色基线!$B$2:$B$100,MATCH($B18,_角色基线!$A$2:$A$100,0)),"")</f>
        <v>陈双双</v>
      </c>
      <c r="N18" s="4" t="str">
        <f>IFERROR(INDEX(_角色基线!$C$2:$C$100,MATCH($B18,_角色基线!$A$2:$A$100,0)),"")</f>
        <v>Support</v>
      </c>
      <c r="O18" s="4">
        <f>IFERROR(INDEX(_怪物基线!$B$2:$B$501,MATCH(INT($L18),_怪物基线!$A$2:$A$501,0)),"")</f>
        <v>9572</v>
      </c>
      <c r="P18" s="4">
        <f>IFERROR(INDEX(_怪物基线!$C$2:$C$501,MATCH(INT($L18),_怪物基线!$A$2:$A$501,0)),"")</f>
        <v>1958</v>
      </c>
      <c r="Q18" s="4">
        <f>IFERROR(INDEX(_怪物基线!$D$2:$D$501,MATCH(INT($L18),_怪物基线!$A$2:$A$501,0)),"")</f>
        <v>3142</v>
      </c>
      <c r="R18" s="4">
        <f>参数!$B$10</f>
        <v>4</v>
      </c>
      <c r="S18" s="4">
        <f>参数!$C$10</f>
        <v>1.2</v>
      </c>
      <c r="T18" s="4">
        <f>参数!$D$10</f>
        <v>1</v>
      </c>
      <c r="U18" s="4">
        <f t="shared" si="0"/>
        <v>38288</v>
      </c>
      <c r="V18" s="4">
        <f t="shared" si="1"/>
        <v>2349.6</v>
      </c>
      <c r="W18" s="4">
        <f t="shared" si="2"/>
        <v>3142</v>
      </c>
      <c r="X18" s="4">
        <f>IFERROR(INDEX(参数!$B$5:$B$7,MATCH($N18,参数!$A$5:$A$7,0)),"")</f>
        <v>1.25</v>
      </c>
      <c r="Y18" s="4">
        <f>IFERROR(INDEX(参数!$C$5:$C$7,MATCH($N18,参数!$A$5:$A$7,0)),"")</f>
        <v>1</v>
      </c>
      <c r="Z18" s="4">
        <f>IFERROR(INDEX(参数!$D$5:$D$7,MATCH($N18,参数!$A$5:$A$7,0)),"")</f>
        <v>1.25</v>
      </c>
      <c r="AA18" s="4">
        <f>IFERROR(INDEX(楼层配置!$E$5:$E$104,MATCH($K18,楼层配置!$B$5:$B$104,0)),1)</f>
        <v>1</v>
      </c>
      <c r="AB18" s="4">
        <f>IFERROR(INDEX(楼层配置!$F$5:$F$104,MATCH($K18,楼层配置!$B$5:$B$104,0)),1)</f>
        <v>1</v>
      </c>
      <c r="AC18" s="4">
        <f>IFERROR(INDEX(楼层配置!$G$5:$G$104,MATCH($K18,楼层配置!$B$5:$B$104,0)),1)</f>
        <v>1</v>
      </c>
      <c r="AD18" s="6">
        <f t="shared" si="3"/>
        <v>1.05849462365591</v>
      </c>
      <c r="AE18" s="6">
        <f t="shared" si="4"/>
        <v>0.937345424567189</v>
      </c>
      <c r="AF18" s="6">
        <f t="shared" si="5"/>
        <v>1.37772397094431</v>
      </c>
      <c r="AG18" s="4" t="str">
        <f t="shared" si="6"/>
        <v>有效</v>
      </c>
    </row>
    <row r="19" ht="14.25" customHeight="1" spans="1:33">
      <c r="A19" s="4">
        <v>15</v>
      </c>
      <c r="B19" s="4">
        <v>1015</v>
      </c>
      <c r="C19" s="4">
        <v>11</v>
      </c>
      <c r="D19" s="5">
        <f>IFERROR(ROUND($U19*$X19*$AA19*参数!$B$13,0),"")</f>
        <v>47860</v>
      </c>
      <c r="E19" s="5">
        <f>IFERROR(ROUND($V19*$Y19*$AB19*参数!$C$13,0),"")</f>
        <v>2350</v>
      </c>
      <c r="F19" s="5">
        <f>IFERROR(ROUND($W19*$Z19*$AC19*参数!$D$13,0),"")</f>
        <v>3928</v>
      </c>
      <c r="G19" s="4">
        <v>23250</v>
      </c>
      <c r="H19" s="4">
        <v>1213</v>
      </c>
      <c r="I19" s="4">
        <v>1652</v>
      </c>
      <c r="J19" s="4">
        <v>3</v>
      </c>
      <c r="K19" s="4">
        <v>3</v>
      </c>
      <c r="L19" s="4">
        <f>IFERROR(INDEX(楼层配置!$D$5:$D$104,MATCH($K19,楼层配置!$B$5:$B$104,0)),"")</f>
        <v>51</v>
      </c>
      <c r="M19" s="4" t="str">
        <f>IFERROR(INDEX(_角色基线!$B$2:$B$100,MATCH($B19,_角色基线!$A$2:$A$100,0)),"")</f>
        <v>阿莱克西娅</v>
      </c>
      <c r="N19" s="4" t="str">
        <f>IFERROR(INDEX(_角色基线!$C$2:$C$100,MATCH($B19,_角色基线!$A$2:$A$100,0)),"")</f>
        <v>Support</v>
      </c>
      <c r="O19" s="4">
        <f>IFERROR(INDEX(_怪物基线!$B$2:$B$501,MATCH(INT($L19),_怪物基线!$A$2:$A$501,0)),"")</f>
        <v>9572</v>
      </c>
      <c r="P19" s="4">
        <f>IFERROR(INDEX(_怪物基线!$C$2:$C$501,MATCH(INT($L19),_怪物基线!$A$2:$A$501,0)),"")</f>
        <v>1958</v>
      </c>
      <c r="Q19" s="4">
        <f>IFERROR(INDEX(_怪物基线!$D$2:$D$501,MATCH(INT($L19),_怪物基线!$A$2:$A$501,0)),"")</f>
        <v>3142</v>
      </c>
      <c r="R19" s="4">
        <f>参数!$B$10</f>
        <v>4</v>
      </c>
      <c r="S19" s="4">
        <f>参数!$C$10</f>
        <v>1.2</v>
      </c>
      <c r="T19" s="4">
        <f>参数!$D$10</f>
        <v>1</v>
      </c>
      <c r="U19" s="4">
        <f t="shared" si="0"/>
        <v>38288</v>
      </c>
      <c r="V19" s="4">
        <f t="shared" si="1"/>
        <v>2349.6</v>
      </c>
      <c r="W19" s="4">
        <f t="shared" si="2"/>
        <v>3142</v>
      </c>
      <c r="X19" s="4">
        <f>IFERROR(INDEX(参数!$B$5:$B$7,MATCH($N19,参数!$A$5:$A$7,0)),"")</f>
        <v>1.25</v>
      </c>
      <c r="Y19" s="4">
        <f>IFERROR(INDEX(参数!$C$5:$C$7,MATCH($N19,参数!$A$5:$A$7,0)),"")</f>
        <v>1</v>
      </c>
      <c r="Z19" s="4">
        <f>IFERROR(INDEX(参数!$D$5:$D$7,MATCH($N19,参数!$A$5:$A$7,0)),"")</f>
        <v>1.25</v>
      </c>
      <c r="AA19" s="4">
        <f>IFERROR(INDEX(楼层配置!$E$5:$E$104,MATCH($K19,楼层配置!$B$5:$B$104,0)),1)</f>
        <v>1</v>
      </c>
      <c r="AB19" s="4">
        <f>IFERROR(INDEX(楼层配置!$F$5:$F$104,MATCH($K19,楼层配置!$B$5:$B$104,0)),1)</f>
        <v>1</v>
      </c>
      <c r="AC19" s="4">
        <f>IFERROR(INDEX(楼层配置!$G$5:$G$104,MATCH($K19,楼层配置!$B$5:$B$104,0)),1)</f>
        <v>1</v>
      </c>
      <c r="AD19" s="6">
        <f t="shared" si="3"/>
        <v>1.05849462365591</v>
      </c>
      <c r="AE19" s="6">
        <f t="shared" si="4"/>
        <v>0.937345424567189</v>
      </c>
      <c r="AF19" s="6">
        <f t="shared" si="5"/>
        <v>1.37772397094431</v>
      </c>
      <c r="AG19" s="4" t="str">
        <f t="shared" si="6"/>
        <v>有效</v>
      </c>
    </row>
    <row r="20" ht="14.25" customHeight="1" spans="1:33">
      <c r="A20" s="4">
        <v>16</v>
      </c>
      <c r="B20" s="4">
        <v>1035</v>
      </c>
      <c r="C20" s="4">
        <v>12</v>
      </c>
      <c r="D20" s="5">
        <f>IFERROR(ROUND($U20*$X20*$AA20*参数!$B$13,0),"")</f>
        <v>48512</v>
      </c>
      <c r="E20" s="5">
        <f>IFERROR(ROUND($V20*$Y20*$AB20*参数!$C$13,0),"")</f>
        <v>3332</v>
      </c>
      <c r="F20" s="5">
        <f>IFERROR(ROUND($W20*$Z20*$AC20*参数!$D$13,0),"")</f>
        <v>3689</v>
      </c>
      <c r="G20" s="4">
        <v>22555</v>
      </c>
      <c r="H20" s="4">
        <v>1680</v>
      </c>
      <c r="I20" s="4">
        <v>1522</v>
      </c>
      <c r="J20" s="4">
        <v>4</v>
      </c>
      <c r="K20" s="4">
        <v>4</v>
      </c>
      <c r="L20" s="4">
        <f>IFERROR(INDEX(楼层配置!$D$5:$D$104,MATCH($K20,楼层配置!$B$5:$B$104,0)),"")</f>
        <v>59</v>
      </c>
      <c r="M20" s="4" t="str">
        <f>IFERROR(INDEX(_角色基线!$B$2:$B$100,MATCH($B20,_角色基线!$A$2:$A$100,0)),"")</f>
        <v>碎冰者</v>
      </c>
      <c r="N20" s="4" t="str">
        <f>IFERROR(INDEX(_角色基线!$C$2:$C$100,MATCH($B20,_角色基线!$A$2:$A$100,0)),"")</f>
        <v>DPS</v>
      </c>
      <c r="O20" s="4">
        <f>IFERROR(INDEX(_怪物基线!$B$2:$B$501,MATCH(INT($L20),_怪物基线!$A$2:$A$501,0)),"")</f>
        <v>12128</v>
      </c>
      <c r="P20" s="4">
        <f>IFERROR(INDEX(_怪物基线!$C$2:$C$501,MATCH(INT($L20),_怪物基线!$A$2:$A$501,0)),"")</f>
        <v>2314</v>
      </c>
      <c r="Q20" s="4">
        <f>IFERROR(INDEX(_怪物基线!$D$2:$D$501,MATCH(INT($L20),_怪物基线!$A$2:$A$501,0)),"")</f>
        <v>3689</v>
      </c>
      <c r="R20" s="4">
        <f>参数!$B$10</f>
        <v>4</v>
      </c>
      <c r="S20" s="4">
        <f>参数!$C$10</f>
        <v>1.2</v>
      </c>
      <c r="T20" s="4">
        <f>参数!$D$10</f>
        <v>1</v>
      </c>
      <c r="U20" s="4">
        <f t="shared" si="0"/>
        <v>48512</v>
      </c>
      <c r="V20" s="4">
        <f t="shared" si="1"/>
        <v>2776.8</v>
      </c>
      <c r="W20" s="4">
        <f t="shared" si="2"/>
        <v>3689</v>
      </c>
      <c r="X20" s="4">
        <f>IFERROR(INDEX(参数!$B$5:$B$7,MATCH($N20,参数!$A$5:$A$7,0)),"")</f>
        <v>1</v>
      </c>
      <c r="Y20" s="4">
        <f>IFERROR(INDEX(参数!$C$5:$C$7,MATCH($N20,参数!$A$5:$A$7,0)),"")</f>
        <v>1.2</v>
      </c>
      <c r="Z20" s="4">
        <f>IFERROR(INDEX(参数!$D$5:$D$7,MATCH($N20,参数!$A$5:$A$7,0)),"")</f>
        <v>1</v>
      </c>
      <c r="AA20" s="4">
        <f>IFERROR(INDEX(楼层配置!$E$5:$E$104,MATCH($K20,楼层配置!$B$5:$B$104,0)),1)</f>
        <v>1</v>
      </c>
      <c r="AB20" s="4">
        <f>IFERROR(INDEX(楼层配置!$F$5:$F$104,MATCH($K20,楼层配置!$B$5:$B$104,0)),1)</f>
        <v>1</v>
      </c>
      <c r="AC20" s="4">
        <f>IFERROR(INDEX(楼层配置!$G$5:$G$104,MATCH($K20,楼层配置!$B$5:$B$104,0)),1)</f>
        <v>1</v>
      </c>
      <c r="AD20" s="6">
        <f t="shared" si="3"/>
        <v>1.15083130126358</v>
      </c>
      <c r="AE20" s="6">
        <f t="shared" si="4"/>
        <v>0.983333333333333</v>
      </c>
      <c r="AF20" s="6">
        <f t="shared" si="5"/>
        <v>1.42378449408673</v>
      </c>
      <c r="AG20" s="4" t="str">
        <f t="shared" si="6"/>
        <v>有效</v>
      </c>
    </row>
    <row r="21" ht="14.25" customHeight="1" spans="1:33">
      <c r="A21" s="4">
        <v>17</v>
      </c>
      <c r="B21" s="4">
        <v>1037</v>
      </c>
      <c r="C21" s="4">
        <v>12</v>
      </c>
      <c r="D21" s="5">
        <f>IFERROR(ROUND($U21*$X21*$AA21*参数!$B$13,0),"")</f>
        <v>48512</v>
      </c>
      <c r="E21" s="5">
        <f>IFERROR(ROUND($V21*$Y21*$AB21*参数!$C$13,0),"")</f>
        <v>3332</v>
      </c>
      <c r="F21" s="5">
        <f>IFERROR(ROUND($W21*$Z21*$AC21*参数!$D$13,0),"")</f>
        <v>3689</v>
      </c>
      <c r="G21" s="4">
        <v>22555</v>
      </c>
      <c r="H21" s="4">
        <v>1680</v>
      </c>
      <c r="I21" s="4">
        <v>1522</v>
      </c>
      <c r="J21" s="4">
        <v>4</v>
      </c>
      <c r="K21" s="4">
        <v>4</v>
      </c>
      <c r="L21" s="4">
        <f>IFERROR(INDEX(楼层配置!$D$5:$D$104,MATCH($K21,楼层配置!$B$5:$B$104,0)),"")</f>
        <v>59</v>
      </c>
      <c r="M21" s="4" t="str">
        <f>IFERROR(INDEX(_角色基线!$B$2:$B$100,MATCH($B21,_角色基线!$A$2:$A$100,0)),"")</f>
        <v>霜狼战士</v>
      </c>
      <c r="N21" s="4" t="str">
        <f>IFERROR(INDEX(_角色基线!$C$2:$C$100,MATCH($B21,_角色基线!$A$2:$A$100,0)),"")</f>
        <v>DPS</v>
      </c>
      <c r="O21" s="4">
        <f>IFERROR(INDEX(_怪物基线!$B$2:$B$501,MATCH(INT($L21),_怪物基线!$A$2:$A$501,0)),"")</f>
        <v>12128</v>
      </c>
      <c r="P21" s="4">
        <f>IFERROR(INDEX(_怪物基线!$C$2:$C$501,MATCH(INT($L21),_怪物基线!$A$2:$A$501,0)),"")</f>
        <v>2314</v>
      </c>
      <c r="Q21" s="4">
        <f>IFERROR(INDEX(_怪物基线!$D$2:$D$501,MATCH(INT($L21),_怪物基线!$A$2:$A$501,0)),"")</f>
        <v>3689</v>
      </c>
      <c r="R21" s="4">
        <f>参数!$B$10</f>
        <v>4</v>
      </c>
      <c r="S21" s="4">
        <f>参数!$C$10</f>
        <v>1.2</v>
      </c>
      <c r="T21" s="4">
        <f>参数!$D$10</f>
        <v>1</v>
      </c>
      <c r="U21" s="4">
        <f t="shared" si="0"/>
        <v>48512</v>
      </c>
      <c r="V21" s="4">
        <f t="shared" si="1"/>
        <v>2776.8</v>
      </c>
      <c r="W21" s="4">
        <f t="shared" si="2"/>
        <v>3689</v>
      </c>
      <c r="X21" s="4">
        <f>IFERROR(INDEX(参数!$B$5:$B$7,MATCH($N21,参数!$A$5:$A$7,0)),"")</f>
        <v>1</v>
      </c>
      <c r="Y21" s="4">
        <f>IFERROR(INDEX(参数!$C$5:$C$7,MATCH($N21,参数!$A$5:$A$7,0)),"")</f>
        <v>1.2</v>
      </c>
      <c r="Z21" s="4">
        <f>IFERROR(INDEX(参数!$D$5:$D$7,MATCH($N21,参数!$A$5:$A$7,0)),"")</f>
        <v>1</v>
      </c>
      <c r="AA21" s="4">
        <f>IFERROR(INDEX(楼层配置!$E$5:$E$104,MATCH($K21,楼层配置!$B$5:$B$104,0)),1)</f>
        <v>1</v>
      </c>
      <c r="AB21" s="4">
        <f>IFERROR(INDEX(楼层配置!$F$5:$F$104,MATCH($K21,楼层配置!$B$5:$B$104,0)),1)</f>
        <v>1</v>
      </c>
      <c r="AC21" s="4">
        <f>IFERROR(INDEX(楼层配置!$G$5:$G$104,MATCH($K21,楼层配置!$B$5:$B$104,0)),1)</f>
        <v>1</v>
      </c>
      <c r="AD21" s="6">
        <f t="shared" si="3"/>
        <v>1.15083130126358</v>
      </c>
      <c r="AE21" s="6">
        <f t="shared" si="4"/>
        <v>0.983333333333333</v>
      </c>
      <c r="AF21" s="6">
        <f t="shared" si="5"/>
        <v>1.42378449408673</v>
      </c>
      <c r="AG21" s="4" t="str">
        <f t="shared" si="6"/>
        <v>有效</v>
      </c>
    </row>
    <row r="22" ht="14.25" customHeight="1" spans="1:33">
      <c r="A22" s="4">
        <v>18</v>
      </c>
      <c r="B22" s="4">
        <v>1014</v>
      </c>
      <c r="C22" s="4">
        <v>12</v>
      </c>
      <c r="D22" s="5">
        <f>IFERROR(ROUND($U22*$X22*$AA22*参数!$B$13,0),"")</f>
        <v>48512</v>
      </c>
      <c r="E22" s="5">
        <f>IFERROR(ROUND($V22*$Y22*$AB22*参数!$C$13,0),"")</f>
        <v>3332</v>
      </c>
      <c r="F22" s="5">
        <f>IFERROR(ROUND($W22*$Z22*$AC22*参数!$D$13,0),"")</f>
        <v>3689</v>
      </c>
      <c r="G22" s="4">
        <v>22555</v>
      </c>
      <c r="H22" s="4">
        <v>1680</v>
      </c>
      <c r="I22" s="4">
        <v>1522</v>
      </c>
      <c r="J22" s="4">
        <v>4</v>
      </c>
      <c r="K22" s="4">
        <v>4</v>
      </c>
      <c r="L22" s="4">
        <f>IFERROR(INDEX(楼层配置!$D$5:$D$104,MATCH($K22,楼层配置!$B$5:$B$104,0)),"")</f>
        <v>59</v>
      </c>
      <c r="M22" s="4" t="str">
        <f>IFERROR(INDEX(_角色基线!$B$2:$B$100,MATCH($B22,_角色基线!$A$2:$A$100,0)),"")</f>
        <v>克莉丝汀</v>
      </c>
      <c r="N22" s="4" t="str">
        <f>IFERROR(INDEX(_角色基线!$C$2:$C$100,MATCH($B22,_角色基线!$A$2:$A$100,0)),"")</f>
        <v>DPS</v>
      </c>
      <c r="O22" s="4">
        <f>IFERROR(INDEX(_怪物基线!$B$2:$B$501,MATCH(INT($L22),_怪物基线!$A$2:$A$501,0)),"")</f>
        <v>12128</v>
      </c>
      <c r="P22" s="4">
        <f>IFERROR(INDEX(_怪物基线!$C$2:$C$501,MATCH(INT($L22),_怪物基线!$A$2:$A$501,0)),"")</f>
        <v>2314</v>
      </c>
      <c r="Q22" s="4">
        <f>IFERROR(INDEX(_怪物基线!$D$2:$D$501,MATCH(INT($L22),_怪物基线!$A$2:$A$501,0)),"")</f>
        <v>3689</v>
      </c>
      <c r="R22" s="4">
        <f>参数!$B$10</f>
        <v>4</v>
      </c>
      <c r="S22" s="4">
        <f>参数!$C$10</f>
        <v>1.2</v>
      </c>
      <c r="T22" s="4">
        <f>参数!$D$10</f>
        <v>1</v>
      </c>
      <c r="U22" s="4">
        <f t="shared" si="0"/>
        <v>48512</v>
      </c>
      <c r="V22" s="4">
        <f t="shared" si="1"/>
        <v>2776.8</v>
      </c>
      <c r="W22" s="4">
        <f t="shared" si="2"/>
        <v>3689</v>
      </c>
      <c r="X22" s="4">
        <f>IFERROR(INDEX(参数!$B$5:$B$7,MATCH($N22,参数!$A$5:$A$7,0)),"")</f>
        <v>1</v>
      </c>
      <c r="Y22" s="4">
        <f>IFERROR(INDEX(参数!$C$5:$C$7,MATCH($N22,参数!$A$5:$A$7,0)),"")</f>
        <v>1.2</v>
      </c>
      <c r="Z22" s="4">
        <f>IFERROR(INDEX(参数!$D$5:$D$7,MATCH($N22,参数!$A$5:$A$7,0)),"")</f>
        <v>1</v>
      </c>
      <c r="AA22" s="4">
        <f>IFERROR(INDEX(楼层配置!$E$5:$E$104,MATCH($K22,楼层配置!$B$5:$B$104,0)),1)</f>
        <v>1</v>
      </c>
      <c r="AB22" s="4">
        <f>IFERROR(INDEX(楼层配置!$F$5:$F$104,MATCH($K22,楼层配置!$B$5:$B$104,0)),1)</f>
        <v>1</v>
      </c>
      <c r="AC22" s="4">
        <f>IFERROR(INDEX(楼层配置!$G$5:$G$104,MATCH($K22,楼层配置!$B$5:$B$104,0)),1)</f>
        <v>1</v>
      </c>
      <c r="AD22" s="6">
        <f t="shared" si="3"/>
        <v>1.15083130126358</v>
      </c>
      <c r="AE22" s="6">
        <f t="shared" si="4"/>
        <v>0.983333333333333</v>
      </c>
      <c r="AF22" s="6">
        <f t="shared" si="5"/>
        <v>1.42378449408673</v>
      </c>
      <c r="AG22" s="4" t="str">
        <f t="shared" si="6"/>
        <v>有效</v>
      </c>
    </row>
    <row r="23" ht="14.25" customHeight="1" spans="1:33">
      <c r="A23" s="4">
        <v>19</v>
      </c>
      <c r="B23" s="4">
        <v>1036</v>
      </c>
      <c r="C23" s="4">
        <v>12</v>
      </c>
      <c r="D23" s="5">
        <f>IFERROR(ROUND($U23*$X23*$AA23*参数!$B$13,0),"")</f>
        <v>48512</v>
      </c>
      <c r="E23" s="5">
        <f>IFERROR(ROUND($V23*$Y23*$AB23*参数!$C$13,0),"")</f>
        <v>3332</v>
      </c>
      <c r="F23" s="5">
        <f>IFERROR(ROUND($W23*$Z23*$AC23*参数!$D$13,0),"")</f>
        <v>3689</v>
      </c>
      <c r="G23" s="4">
        <v>22555</v>
      </c>
      <c r="H23" s="4">
        <v>1680</v>
      </c>
      <c r="I23" s="4">
        <v>1522</v>
      </c>
      <c r="J23" s="4">
        <v>4</v>
      </c>
      <c r="K23" s="4">
        <v>4</v>
      </c>
      <c r="L23" s="4">
        <f>IFERROR(INDEX(楼层配置!$D$5:$D$104,MATCH($K23,楼层配置!$B$5:$B$104,0)),"")</f>
        <v>59</v>
      </c>
      <c r="M23" s="4" t="str">
        <f>IFERROR(INDEX(_角色基线!$B$2:$B$100,MATCH($B23,_角色基线!$A$2:$A$100,0)),"")</f>
        <v>霜狼法师</v>
      </c>
      <c r="N23" s="4" t="str">
        <f>IFERROR(INDEX(_角色基线!$C$2:$C$100,MATCH($B23,_角色基线!$A$2:$A$100,0)),"")</f>
        <v>DPS</v>
      </c>
      <c r="O23" s="4">
        <f>IFERROR(INDEX(_怪物基线!$B$2:$B$501,MATCH(INT($L23),_怪物基线!$A$2:$A$501,0)),"")</f>
        <v>12128</v>
      </c>
      <c r="P23" s="4">
        <f>IFERROR(INDEX(_怪物基线!$C$2:$C$501,MATCH(INT($L23),_怪物基线!$A$2:$A$501,0)),"")</f>
        <v>2314</v>
      </c>
      <c r="Q23" s="4">
        <f>IFERROR(INDEX(_怪物基线!$D$2:$D$501,MATCH(INT($L23),_怪物基线!$A$2:$A$501,0)),"")</f>
        <v>3689</v>
      </c>
      <c r="R23" s="4">
        <f>参数!$B$10</f>
        <v>4</v>
      </c>
      <c r="S23" s="4">
        <f>参数!$C$10</f>
        <v>1.2</v>
      </c>
      <c r="T23" s="4">
        <f>参数!$D$10</f>
        <v>1</v>
      </c>
      <c r="U23" s="4">
        <f t="shared" si="0"/>
        <v>48512</v>
      </c>
      <c r="V23" s="4">
        <f t="shared" si="1"/>
        <v>2776.8</v>
      </c>
      <c r="W23" s="4">
        <f t="shared" si="2"/>
        <v>3689</v>
      </c>
      <c r="X23" s="4">
        <f>IFERROR(INDEX(参数!$B$5:$B$7,MATCH($N23,参数!$A$5:$A$7,0)),"")</f>
        <v>1</v>
      </c>
      <c r="Y23" s="4">
        <f>IFERROR(INDEX(参数!$C$5:$C$7,MATCH($N23,参数!$A$5:$A$7,0)),"")</f>
        <v>1.2</v>
      </c>
      <c r="Z23" s="4">
        <f>IFERROR(INDEX(参数!$D$5:$D$7,MATCH($N23,参数!$A$5:$A$7,0)),"")</f>
        <v>1</v>
      </c>
      <c r="AA23" s="4">
        <f>IFERROR(INDEX(楼层配置!$E$5:$E$104,MATCH($K23,楼层配置!$B$5:$B$104,0)),1)</f>
        <v>1</v>
      </c>
      <c r="AB23" s="4">
        <f>IFERROR(INDEX(楼层配置!$F$5:$F$104,MATCH($K23,楼层配置!$B$5:$B$104,0)),1)</f>
        <v>1</v>
      </c>
      <c r="AC23" s="4">
        <f>IFERROR(INDEX(楼层配置!$G$5:$G$104,MATCH($K23,楼层配置!$B$5:$B$104,0)),1)</f>
        <v>1</v>
      </c>
      <c r="AD23" s="6">
        <f t="shared" si="3"/>
        <v>1.15083130126358</v>
      </c>
      <c r="AE23" s="6">
        <f t="shared" si="4"/>
        <v>0.983333333333333</v>
      </c>
      <c r="AF23" s="6">
        <f t="shared" si="5"/>
        <v>1.42378449408673</v>
      </c>
      <c r="AG23" s="4" t="str">
        <f t="shared" si="6"/>
        <v>有效</v>
      </c>
    </row>
    <row r="24" ht="14.25" customHeight="1" spans="1:33">
      <c r="A24" s="4">
        <v>20</v>
      </c>
      <c r="B24" s="4">
        <v>1015</v>
      </c>
      <c r="C24" s="4">
        <v>12</v>
      </c>
      <c r="D24" s="5">
        <f>IFERROR(ROUND($U24*$X24*$AA24*参数!$B$13,0),"")</f>
        <v>60640</v>
      </c>
      <c r="E24" s="5">
        <f>IFERROR(ROUND($V24*$Y24*$AB24*参数!$C$13,0),"")</f>
        <v>2777</v>
      </c>
      <c r="F24" s="5">
        <f>IFERROR(ROUND($W24*$Z24*$AC24*参数!$D$13,0),"")</f>
        <v>4611</v>
      </c>
      <c r="G24" s="4">
        <v>28194</v>
      </c>
      <c r="H24" s="4">
        <v>1400</v>
      </c>
      <c r="I24" s="4">
        <v>1903</v>
      </c>
      <c r="J24" s="4">
        <v>4</v>
      </c>
      <c r="K24" s="4">
        <v>4</v>
      </c>
      <c r="L24" s="4">
        <f>IFERROR(INDEX(楼层配置!$D$5:$D$104,MATCH($K24,楼层配置!$B$5:$B$104,0)),"")</f>
        <v>59</v>
      </c>
      <c r="M24" s="4" t="str">
        <f>IFERROR(INDEX(_角色基线!$B$2:$B$100,MATCH($B24,_角色基线!$A$2:$A$100,0)),"")</f>
        <v>阿莱克西娅</v>
      </c>
      <c r="N24" s="4" t="str">
        <f>IFERROR(INDEX(_角色基线!$C$2:$C$100,MATCH($B24,_角色基线!$A$2:$A$100,0)),"")</f>
        <v>Support</v>
      </c>
      <c r="O24" s="4">
        <f>IFERROR(INDEX(_怪物基线!$B$2:$B$501,MATCH(INT($L24),_怪物基线!$A$2:$A$501,0)),"")</f>
        <v>12128</v>
      </c>
      <c r="P24" s="4">
        <f>IFERROR(INDEX(_怪物基线!$C$2:$C$501,MATCH(INT($L24),_怪物基线!$A$2:$A$501,0)),"")</f>
        <v>2314</v>
      </c>
      <c r="Q24" s="4">
        <f>IFERROR(INDEX(_怪物基线!$D$2:$D$501,MATCH(INT($L24),_怪物基线!$A$2:$A$501,0)),"")</f>
        <v>3689</v>
      </c>
      <c r="R24" s="4">
        <f>参数!$B$10</f>
        <v>4</v>
      </c>
      <c r="S24" s="4">
        <f>参数!$C$10</f>
        <v>1.2</v>
      </c>
      <c r="T24" s="4">
        <f>参数!$D$10</f>
        <v>1</v>
      </c>
      <c r="U24" s="4">
        <f t="shared" si="0"/>
        <v>48512</v>
      </c>
      <c r="V24" s="4">
        <f t="shared" si="1"/>
        <v>2776.8</v>
      </c>
      <c r="W24" s="4">
        <f t="shared" si="2"/>
        <v>3689</v>
      </c>
      <c r="X24" s="4">
        <f>IFERROR(INDEX(参数!$B$5:$B$7,MATCH($N24,参数!$A$5:$A$7,0)),"")</f>
        <v>1.25</v>
      </c>
      <c r="Y24" s="4">
        <f>IFERROR(INDEX(参数!$C$5:$C$7,MATCH($N24,参数!$A$5:$A$7,0)),"")</f>
        <v>1</v>
      </c>
      <c r="Z24" s="4">
        <f>IFERROR(INDEX(参数!$D$5:$D$7,MATCH($N24,参数!$A$5:$A$7,0)),"")</f>
        <v>1.25</v>
      </c>
      <c r="AA24" s="4">
        <f>IFERROR(INDEX(楼层配置!$E$5:$E$104,MATCH($K24,楼层配置!$B$5:$B$104,0)),1)</f>
        <v>1</v>
      </c>
      <c r="AB24" s="4">
        <f>IFERROR(INDEX(楼层配置!$F$5:$F$104,MATCH($K24,楼层配置!$B$5:$B$104,0)),1)</f>
        <v>1</v>
      </c>
      <c r="AC24" s="4">
        <f>IFERROR(INDEX(楼层配置!$G$5:$G$104,MATCH($K24,楼层配置!$B$5:$B$104,0)),1)</f>
        <v>1</v>
      </c>
      <c r="AD24" s="6">
        <f t="shared" si="3"/>
        <v>1.15081222955239</v>
      </c>
      <c r="AE24" s="6">
        <f t="shared" si="4"/>
        <v>0.983571428571429</v>
      </c>
      <c r="AF24" s="6">
        <f t="shared" si="5"/>
        <v>1.42301629006831</v>
      </c>
      <c r="AG24" s="4" t="str">
        <f t="shared" si="6"/>
        <v>有效</v>
      </c>
    </row>
    <row r="25" ht="14.25" customHeight="1" spans="1:33">
      <c r="A25" s="4">
        <v>21</v>
      </c>
      <c r="B25" s="4">
        <v>1002</v>
      </c>
      <c r="C25" s="4">
        <v>12</v>
      </c>
      <c r="D25" s="5">
        <f>IFERROR(ROUND($U25*$X25*$AA25*参数!$B$13,0),"")</f>
        <v>85548</v>
      </c>
      <c r="E25" s="5">
        <f>IFERROR(ROUND($V25*$Y25*$AB25*参数!$C$13,0),"")</f>
        <v>3109</v>
      </c>
      <c r="F25" s="5">
        <f>IFERROR(ROUND($W25*$Z25*$AC25*参数!$D$13,0),"")</f>
        <v>6164</v>
      </c>
      <c r="G25" s="4">
        <v>40262</v>
      </c>
      <c r="H25" s="4">
        <v>1594</v>
      </c>
      <c r="I25" s="4">
        <v>2588</v>
      </c>
      <c r="J25" s="4">
        <v>5</v>
      </c>
      <c r="K25" s="4">
        <v>5</v>
      </c>
      <c r="L25" s="4">
        <f>IFERROR(INDEX(楼层配置!$D$5:$D$104,MATCH($K25,楼层配置!$B$5:$B$104,0)),"")</f>
        <v>65</v>
      </c>
      <c r="M25" s="4" t="str">
        <f>IFERROR(INDEX(_角色基线!$B$2:$B$100,MATCH($B25,_角色基线!$A$2:$A$100,0)),"")</f>
        <v>大暑</v>
      </c>
      <c r="N25" s="4" t="str">
        <f>IFERROR(INDEX(_角色基线!$C$2:$C$100,MATCH($B25,_角色基线!$A$2:$A$100,0)),"")</f>
        <v>Tank</v>
      </c>
      <c r="O25" s="4">
        <f>IFERROR(INDEX(_怪物基线!$B$2:$B$501,MATCH(INT($L25),_怪物基线!$A$2:$A$501,0)),"")</f>
        <v>14258</v>
      </c>
      <c r="P25" s="4">
        <f>IFERROR(INDEX(_怪物基线!$C$2:$C$501,MATCH(INT($L25),_怪物基线!$A$2:$A$501,0)),"")</f>
        <v>2591</v>
      </c>
      <c r="Q25" s="4">
        <f>IFERROR(INDEX(_怪物基线!$D$2:$D$501,MATCH(INT($L25),_怪物基线!$A$2:$A$501,0)),"")</f>
        <v>4109</v>
      </c>
      <c r="R25" s="4">
        <f>参数!$B$10</f>
        <v>4</v>
      </c>
      <c r="S25" s="4">
        <f>参数!$C$10</f>
        <v>1.2</v>
      </c>
      <c r="T25" s="4">
        <f>参数!$D$10</f>
        <v>1</v>
      </c>
      <c r="U25" s="4">
        <f t="shared" si="0"/>
        <v>57032</v>
      </c>
      <c r="V25" s="4">
        <f t="shared" si="1"/>
        <v>3109.2</v>
      </c>
      <c r="W25" s="4">
        <f t="shared" si="2"/>
        <v>4109</v>
      </c>
      <c r="X25" s="4">
        <f>IFERROR(INDEX(参数!$B$5:$B$7,MATCH($N25,参数!$A$5:$A$7,0)),"")</f>
        <v>1.5</v>
      </c>
      <c r="Y25" s="4">
        <f>IFERROR(INDEX(参数!$C$5:$C$7,MATCH($N25,参数!$A$5:$A$7,0)),"")</f>
        <v>1</v>
      </c>
      <c r="Z25" s="4">
        <f>IFERROR(INDEX(参数!$D$5:$D$7,MATCH($N25,参数!$A$5:$A$7,0)),"")</f>
        <v>1.5</v>
      </c>
      <c r="AA25" s="4">
        <f>IFERROR(INDEX(楼层配置!$E$5:$E$104,MATCH($K25,楼层配置!$B$5:$B$104,0)),1)</f>
        <v>1</v>
      </c>
      <c r="AB25" s="4">
        <f>IFERROR(INDEX(楼层配置!$F$5:$F$104,MATCH($K25,楼层配置!$B$5:$B$104,0)),1)</f>
        <v>1</v>
      </c>
      <c r="AC25" s="4">
        <f>IFERROR(INDEX(楼层配置!$G$5:$G$104,MATCH($K25,楼层配置!$B$5:$B$104,0)),1)</f>
        <v>1</v>
      </c>
      <c r="AD25" s="6">
        <f t="shared" si="3"/>
        <v>1.12478267348865</v>
      </c>
      <c r="AE25" s="6">
        <f t="shared" si="4"/>
        <v>0.950439146800502</v>
      </c>
      <c r="AF25" s="6">
        <f t="shared" si="5"/>
        <v>1.38176197836167</v>
      </c>
      <c r="AG25" s="4" t="str">
        <f t="shared" si="6"/>
        <v>有效</v>
      </c>
    </row>
    <row r="26" ht="14.25" customHeight="1" spans="1:33">
      <c r="A26" s="4">
        <v>22</v>
      </c>
      <c r="B26" s="4">
        <v>1005</v>
      </c>
      <c r="C26" s="4">
        <v>12</v>
      </c>
      <c r="D26" s="5">
        <f>IFERROR(ROUND($U26*$X26*$AA26*参数!$B$13,0),"")</f>
        <v>57032</v>
      </c>
      <c r="E26" s="5">
        <f>IFERROR(ROUND($V26*$Y26*$AB26*参数!$C$13,0),"")</f>
        <v>3731</v>
      </c>
      <c r="F26" s="5">
        <f>IFERROR(ROUND($W26*$Z26*$AC26*参数!$D$13,0),"")</f>
        <v>4109</v>
      </c>
      <c r="G26" s="4">
        <v>26841</v>
      </c>
      <c r="H26" s="4">
        <v>1912</v>
      </c>
      <c r="I26" s="4">
        <v>1725</v>
      </c>
      <c r="J26" s="4">
        <v>5</v>
      </c>
      <c r="K26" s="4">
        <v>5</v>
      </c>
      <c r="L26" s="4">
        <f>IFERROR(INDEX(楼层配置!$D$5:$D$104,MATCH($K26,楼层配置!$B$5:$B$104,0)),"")</f>
        <v>65</v>
      </c>
      <c r="M26" s="4" t="str">
        <f>IFERROR(INDEX(_角色基线!$B$2:$B$100,MATCH($B26,_角色基线!$A$2:$A$100,0)),"")</f>
        <v>陈单单</v>
      </c>
      <c r="N26" s="4" t="str">
        <f>IFERROR(INDEX(_角色基线!$C$2:$C$100,MATCH($B26,_角色基线!$A$2:$A$100,0)),"")</f>
        <v>DPS</v>
      </c>
      <c r="O26" s="4">
        <f>IFERROR(INDEX(_怪物基线!$B$2:$B$501,MATCH(INT($L26),_怪物基线!$A$2:$A$501,0)),"")</f>
        <v>14258</v>
      </c>
      <c r="P26" s="4">
        <f>IFERROR(INDEX(_怪物基线!$C$2:$C$501,MATCH(INT($L26),_怪物基线!$A$2:$A$501,0)),"")</f>
        <v>2591</v>
      </c>
      <c r="Q26" s="4">
        <f>IFERROR(INDEX(_怪物基线!$D$2:$D$501,MATCH(INT($L26),_怪物基线!$A$2:$A$501,0)),"")</f>
        <v>4109</v>
      </c>
      <c r="R26" s="4">
        <f>参数!$B$10</f>
        <v>4</v>
      </c>
      <c r="S26" s="4">
        <f>参数!$C$10</f>
        <v>1.2</v>
      </c>
      <c r="T26" s="4">
        <f>参数!$D$10</f>
        <v>1</v>
      </c>
      <c r="U26" s="4">
        <f t="shared" si="0"/>
        <v>57032</v>
      </c>
      <c r="V26" s="4">
        <f t="shared" si="1"/>
        <v>3109.2</v>
      </c>
      <c r="W26" s="4">
        <f t="shared" si="2"/>
        <v>4109</v>
      </c>
      <c r="X26" s="4">
        <f>IFERROR(INDEX(参数!$B$5:$B$7,MATCH($N26,参数!$A$5:$A$7,0)),"")</f>
        <v>1</v>
      </c>
      <c r="Y26" s="4">
        <f>IFERROR(INDEX(参数!$C$5:$C$7,MATCH($N26,参数!$A$5:$A$7,0)),"")</f>
        <v>1.2</v>
      </c>
      <c r="Z26" s="4">
        <f>IFERROR(INDEX(参数!$D$5:$D$7,MATCH($N26,参数!$A$5:$A$7,0)),"")</f>
        <v>1</v>
      </c>
      <c r="AA26" s="4">
        <f>IFERROR(INDEX(楼层配置!$E$5:$E$104,MATCH($K26,楼层配置!$B$5:$B$104,0)),1)</f>
        <v>1</v>
      </c>
      <c r="AB26" s="4">
        <f>IFERROR(INDEX(楼层配置!$F$5:$F$104,MATCH($K26,楼层配置!$B$5:$B$104,0)),1)</f>
        <v>1</v>
      </c>
      <c r="AC26" s="4">
        <f>IFERROR(INDEX(楼层配置!$G$5:$G$104,MATCH($K26,楼层配置!$B$5:$B$104,0)),1)</f>
        <v>1</v>
      </c>
      <c r="AD26" s="6">
        <f t="shared" si="3"/>
        <v>1.12480906076525</v>
      </c>
      <c r="AE26" s="6">
        <f t="shared" si="4"/>
        <v>0.951359832635983</v>
      </c>
      <c r="AF26" s="6">
        <f t="shared" si="5"/>
        <v>1.38202898550725</v>
      </c>
      <c r="AG26" s="4" t="str">
        <f t="shared" si="6"/>
        <v>有效</v>
      </c>
    </row>
    <row r="27" ht="14.25" customHeight="1" spans="1:33">
      <c r="A27" s="4">
        <v>23</v>
      </c>
      <c r="B27" s="4">
        <v>1029</v>
      </c>
      <c r="C27" s="4">
        <v>12</v>
      </c>
      <c r="D27" s="5">
        <f>IFERROR(ROUND($U27*$X27*$AA27*参数!$B$13,0),"")</f>
        <v>71290</v>
      </c>
      <c r="E27" s="5">
        <f>IFERROR(ROUND($V27*$Y27*$AB27*参数!$C$13,0),"")</f>
        <v>3109</v>
      </c>
      <c r="F27" s="5">
        <f>IFERROR(ROUND($W27*$Z27*$AC27*参数!$D$13,0),"")</f>
        <v>5136</v>
      </c>
      <c r="G27" s="4">
        <v>33552</v>
      </c>
      <c r="H27" s="4">
        <v>1594</v>
      </c>
      <c r="I27" s="4">
        <v>2157</v>
      </c>
      <c r="J27" s="4">
        <v>5</v>
      </c>
      <c r="K27" s="4">
        <v>5</v>
      </c>
      <c r="L27" s="4">
        <f>IFERROR(INDEX(楼层配置!$D$5:$D$104,MATCH($K27,楼层配置!$B$5:$B$104,0)),"")</f>
        <v>65</v>
      </c>
      <c r="M27" s="4" t="str">
        <f>IFERROR(INDEX(_角色基线!$B$2:$B$100,MATCH($B27,_角色基线!$A$2:$A$100,0)),"")</f>
        <v>凯兰</v>
      </c>
      <c r="N27" s="4" t="str">
        <f>IFERROR(INDEX(_角色基线!$C$2:$C$100,MATCH($B27,_角色基线!$A$2:$A$100,0)),"")</f>
        <v>Support</v>
      </c>
      <c r="O27" s="4">
        <f>IFERROR(INDEX(_怪物基线!$B$2:$B$501,MATCH(INT($L27),_怪物基线!$A$2:$A$501,0)),"")</f>
        <v>14258</v>
      </c>
      <c r="P27" s="4">
        <f>IFERROR(INDEX(_怪物基线!$C$2:$C$501,MATCH(INT($L27),_怪物基线!$A$2:$A$501,0)),"")</f>
        <v>2591</v>
      </c>
      <c r="Q27" s="4">
        <f>IFERROR(INDEX(_怪物基线!$D$2:$D$501,MATCH(INT($L27),_怪物基线!$A$2:$A$501,0)),"")</f>
        <v>4109</v>
      </c>
      <c r="R27" s="4">
        <f>参数!$B$10</f>
        <v>4</v>
      </c>
      <c r="S27" s="4">
        <f>参数!$C$10</f>
        <v>1.2</v>
      </c>
      <c r="T27" s="4">
        <f>参数!$D$10</f>
        <v>1</v>
      </c>
      <c r="U27" s="4">
        <f t="shared" si="0"/>
        <v>57032</v>
      </c>
      <c r="V27" s="4">
        <f t="shared" si="1"/>
        <v>3109.2</v>
      </c>
      <c r="W27" s="4">
        <f t="shared" si="2"/>
        <v>4109</v>
      </c>
      <c r="X27" s="4">
        <f>IFERROR(INDEX(参数!$B$5:$B$7,MATCH($N27,参数!$A$5:$A$7,0)),"")</f>
        <v>1.25</v>
      </c>
      <c r="Y27" s="4">
        <f>IFERROR(INDEX(参数!$C$5:$C$7,MATCH($N27,参数!$A$5:$A$7,0)),"")</f>
        <v>1</v>
      </c>
      <c r="Z27" s="4">
        <f>IFERROR(INDEX(参数!$D$5:$D$7,MATCH($N27,参数!$A$5:$A$7,0)),"")</f>
        <v>1.25</v>
      </c>
      <c r="AA27" s="4">
        <f>IFERROR(INDEX(楼层配置!$E$5:$E$104,MATCH($K27,楼层配置!$B$5:$B$104,0)),1)</f>
        <v>1</v>
      </c>
      <c r="AB27" s="4">
        <f>IFERROR(INDEX(楼层配置!$F$5:$F$104,MATCH($K27,楼层配置!$B$5:$B$104,0)),1)</f>
        <v>1</v>
      </c>
      <c r="AC27" s="4">
        <f>IFERROR(INDEX(楼层配置!$G$5:$G$104,MATCH($K27,楼层配置!$B$5:$B$104,0)),1)</f>
        <v>1</v>
      </c>
      <c r="AD27" s="6">
        <f t="shared" si="3"/>
        <v>1.12476156413925</v>
      </c>
      <c r="AE27" s="6">
        <f t="shared" si="4"/>
        <v>0.950439146800502</v>
      </c>
      <c r="AF27" s="6">
        <f t="shared" si="5"/>
        <v>1.38108484005563</v>
      </c>
      <c r="AG27" s="4" t="str">
        <f t="shared" si="6"/>
        <v>有效</v>
      </c>
    </row>
    <row r="28" ht="14.25" customHeight="1" spans="1:33">
      <c r="A28" s="4">
        <v>24</v>
      </c>
      <c r="B28" s="4">
        <v>1012</v>
      </c>
      <c r="C28" s="4">
        <v>12</v>
      </c>
      <c r="D28" s="5">
        <f>IFERROR(ROUND($U28*$X28*$AA28*参数!$B$13,0),"")</f>
        <v>71290</v>
      </c>
      <c r="E28" s="5">
        <f>IFERROR(ROUND($V28*$Y28*$AB28*参数!$C$13,0),"")</f>
        <v>3109</v>
      </c>
      <c r="F28" s="5">
        <f>IFERROR(ROUND($W28*$Z28*$AC28*参数!$D$13,0),"")</f>
        <v>5136</v>
      </c>
      <c r="G28" s="4">
        <v>33552</v>
      </c>
      <c r="H28" s="4">
        <v>1594</v>
      </c>
      <c r="I28" s="4">
        <v>2157</v>
      </c>
      <c r="J28" s="4">
        <v>5</v>
      </c>
      <c r="K28" s="4">
        <v>5</v>
      </c>
      <c r="L28" s="4">
        <f>IFERROR(INDEX(楼层配置!$D$5:$D$104,MATCH($K28,楼层配置!$B$5:$B$104,0)),"")</f>
        <v>65</v>
      </c>
      <c r="M28" s="4" t="str">
        <f>IFERROR(INDEX(_角色基线!$B$2:$B$100,MATCH($B28,_角色基线!$A$2:$A$100,0)),"")</f>
        <v>艾德琳</v>
      </c>
      <c r="N28" s="4" t="str">
        <f>IFERROR(INDEX(_角色基线!$C$2:$C$100,MATCH($B28,_角色基线!$A$2:$A$100,0)),"")</f>
        <v>Support</v>
      </c>
      <c r="O28" s="4">
        <f>IFERROR(INDEX(_怪物基线!$B$2:$B$501,MATCH(INT($L28),_怪物基线!$A$2:$A$501,0)),"")</f>
        <v>14258</v>
      </c>
      <c r="P28" s="4">
        <f>IFERROR(INDEX(_怪物基线!$C$2:$C$501,MATCH(INT($L28),_怪物基线!$A$2:$A$501,0)),"")</f>
        <v>2591</v>
      </c>
      <c r="Q28" s="4">
        <f>IFERROR(INDEX(_怪物基线!$D$2:$D$501,MATCH(INT($L28),_怪物基线!$A$2:$A$501,0)),"")</f>
        <v>4109</v>
      </c>
      <c r="R28" s="4">
        <f>参数!$B$10</f>
        <v>4</v>
      </c>
      <c r="S28" s="4">
        <f>参数!$C$10</f>
        <v>1.2</v>
      </c>
      <c r="T28" s="4">
        <f>参数!$D$10</f>
        <v>1</v>
      </c>
      <c r="U28" s="4">
        <f t="shared" si="0"/>
        <v>57032</v>
      </c>
      <c r="V28" s="4">
        <f t="shared" si="1"/>
        <v>3109.2</v>
      </c>
      <c r="W28" s="4">
        <f t="shared" si="2"/>
        <v>4109</v>
      </c>
      <c r="X28" s="4">
        <f>IFERROR(INDEX(参数!$B$5:$B$7,MATCH($N28,参数!$A$5:$A$7,0)),"")</f>
        <v>1.25</v>
      </c>
      <c r="Y28" s="4">
        <f>IFERROR(INDEX(参数!$C$5:$C$7,MATCH($N28,参数!$A$5:$A$7,0)),"")</f>
        <v>1</v>
      </c>
      <c r="Z28" s="4">
        <f>IFERROR(INDEX(参数!$D$5:$D$7,MATCH($N28,参数!$A$5:$A$7,0)),"")</f>
        <v>1.25</v>
      </c>
      <c r="AA28" s="4">
        <f>IFERROR(INDEX(楼层配置!$E$5:$E$104,MATCH($K28,楼层配置!$B$5:$B$104,0)),1)</f>
        <v>1</v>
      </c>
      <c r="AB28" s="4">
        <f>IFERROR(INDEX(楼层配置!$F$5:$F$104,MATCH($K28,楼层配置!$B$5:$B$104,0)),1)</f>
        <v>1</v>
      </c>
      <c r="AC28" s="4">
        <f>IFERROR(INDEX(楼层配置!$G$5:$G$104,MATCH($K28,楼层配置!$B$5:$B$104,0)),1)</f>
        <v>1</v>
      </c>
      <c r="AD28" s="6">
        <f t="shared" si="3"/>
        <v>1.12476156413925</v>
      </c>
      <c r="AE28" s="6">
        <f t="shared" si="4"/>
        <v>0.950439146800502</v>
      </c>
      <c r="AF28" s="6">
        <f t="shared" si="5"/>
        <v>1.38108484005563</v>
      </c>
      <c r="AG28" s="4" t="str">
        <f t="shared" si="6"/>
        <v>有效</v>
      </c>
    </row>
    <row r="29" ht="14.25" customHeight="1" spans="1:33">
      <c r="A29" s="4">
        <v>25</v>
      </c>
      <c r="B29" s="4">
        <v>1011</v>
      </c>
      <c r="C29" s="4">
        <v>12</v>
      </c>
      <c r="D29" s="5">
        <f>IFERROR(ROUND($U29*$X29*$AA29*参数!$B$13,0),"")</f>
        <v>71290</v>
      </c>
      <c r="E29" s="5">
        <f>IFERROR(ROUND($V29*$Y29*$AB29*参数!$C$13,0),"")</f>
        <v>3109</v>
      </c>
      <c r="F29" s="5">
        <f>IFERROR(ROUND($W29*$Z29*$AC29*参数!$D$13,0),"")</f>
        <v>5136</v>
      </c>
      <c r="G29" s="4">
        <v>33552</v>
      </c>
      <c r="H29" s="4">
        <v>1594</v>
      </c>
      <c r="I29" s="4">
        <v>2157</v>
      </c>
      <c r="J29" s="4">
        <v>5</v>
      </c>
      <c r="K29" s="4">
        <v>5</v>
      </c>
      <c r="L29" s="4">
        <f>IFERROR(INDEX(楼层配置!$D$5:$D$104,MATCH($K29,楼层配置!$B$5:$B$104,0)),"")</f>
        <v>65</v>
      </c>
      <c r="M29" s="4" t="str">
        <f>IFERROR(INDEX(_角色基线!$B$2:$B$100,MATCH($B29,_角色基线!$A$2:$A$100,0)),"")</f>
        <v>陈双双</v>
      </c>
      <c r="N29" s="4" t="str">
        <f>IFERROR(INDEX(_角色基线!$C$2:$C$100,MATCH($B29,_角色基线!$A$2:$A$100,0)),"")</f>
        <v>Support</v>
      </c>
      <c r="O29" s="4">
        <f>IFERROR(INDEX(_怪物基线!$B$2:$B$501,MATCH(INT($L29),_怪物基线!$A$2:$A$501,0)),"")</f>
        <v>14258</v>
      </c>
      <c r="P29" s="4">
        <f>IFERROR(INDEX(_怪物基线!$C$2:$C$501,MATCH(INT($L29),_怪物基线!$A$2:$A$501,0)),"")</f>
        <v>2591</v>
      </c>
      <c r="Q29" s="4">
        <f>IFERROR(INDEX(_怪物基线!$D$2:$D$501,MATCH(INT($L29),_怪物基线!$A$2:$A$501,0)),"")</f>
        <v>4109</v>
      </c>
      <c r="R29" s="4">
        <f>参数!$B$10</f>
        <v>4</v>
      </c>
      <c r="S29" s="4">
        <f>参数!$C$10</f>
        <v>1.2</v>
      </c>
      <c r="T29" s="4">
        <f>参数!$D$10</f>
        <v>1</v>
      </c>
      <c r="U29" s="4">
        <f t="shared" si="0"/>
        <v>57032</v>
      </c>
      <c r="V29" s="4">
        <f t="shared" si="1"/>
        <v>3109.2</v>
      </c>
      <c r="W29" s="4">
        <f t="shared" si="2"/>
        <v>4109</v>
      </c>
      <c r="X29" s="4">
        <f>IFERROR(INDEX(参数!$B$5:$B$7,MATCH($N29,参数!$A$5:$A$7,0)),"")</f>
        <v>1.25</v>
      </c>
      <c r="Y29" s="4">
        <f>IFERROR(INDEX(参数!$C$5:$C$7,MATCH($N29,参数!$A$5:$A$7,0)),"")</f>
        <v>1</v>
      </c>
      <c r="Z29" s="4">
        <f>IFERROR(INDEX(参数!$D$5:$D$7,MATCH($N29,参数!$A$5:$A$7,0)),"")</f>
        <v>1.25</v>
      </c>
      <c r="AA29" s="4">
        <f>IFERROR(INDEX(楼层配置!$E$5:$E$104,MATCH($K29,楼层配置!$B$5:$B$104,0)),1)</f>
        <v>1</v>
      </c>
      <c r="AB29" s="4">
        <f>IFERROR(INDEX(楼层配置!$F$5:$F$104,MATCH($K29,楼层配置!$B$5:$B$104,0)),1)</f>
        <v>1</v>
      </c>
      <c r="AC29" s="4">
        <f>IFERROR(INDEX(楼层配置!$G$5:$G$104,MATCH($K29,楼层配置!$B$5:$B$104,0)),1)</f>
        <v>1</v>
      </c>
      <c r="AD29" s="6">
        <f t="shared" si="3"/>
        <v>1.12476156413925</v>
      </c>
      <c r="AE29" s="6">
        <f t="shared" si="4"/>
        <v>0.950439146800502</v>
      </c>
      <c r="AF29" s="6">
        <f t="shared" si="5"/>
        <v>1.38108484005563</v>
      </c>
      <c r="AG29" s="4" t="str">
        <f t="shared" si="6"/>
        <v>有效</v>
      </c>
    </row>
    <row r="30" ht="14.25" customHeight="1" spans="1:33">
      <c r="A30" s="4">
        <v>26</v>
      </c>
      <c r="B30" s="4">
        <v>1030</v>
      </c>
      <c r="C30" s="4">
        <v>13</v>
      </c>
      <c r="D30" s="5">
        <f>IFERROR(ROUND($U30*$X30*$AA30*参数!$B$13,0),"")</f>
        <v>104400</v>
      </c>
      <c r="E30" s="5">
        <f>IFERROR(ROUND($V30*$Y30*$AB30*参数!$C$13,0),"")</f>
        <v>3568</v>
      </c>
      <c r="F30" s="5">
        <f>IFERROR(ROUND($W30*$Z30*$AC30*参数!$D$13,0),"")</f>
        <v>7022</v>
      </c>
      <c r="G30" s="4">
        <v>47188</v>
      </c>
      <c r="H30" s="4">
        <v>1789</v>
      </c>
      <c r="I30" s="4">
        <v>2898</v>
      </c>
      <c r="J30" s="4">
        <v>6</v>
      </c>
      <c r="K30" s="4">
        <v>6</v>
      </c>
      <c r="L30" s="4">
        <f>IFERROR(INDEX(楼层配置!$D$5:$D$104,MATCH($K30,楼层配置!$B$5:$B$104,0)),"")</f>
        <v>73</v>
      </c>
      <c r="M30" s="4" t="str">
        <f>IFERROR(INDEX(_角色基线!$B$2:$B$100,MATCH($B30,_角色基线!$A$2:$A$100,0)),"")</f>
        <v>莫莉</v>
      </c>
      <c r="N30" s="4" t="str">
        <f>IFERROR(INDEX(_角色基线!$C$2:$C$100,MATCH($B30,_角色基线!$A$2:$A$100,0)),"")</f>
        <v>Tank</v>
      </c>
      <c r="O30" s="4">
        <f>IFERROR(INDEX(_怪物基线!$B$2:$B$501,MATCH(INT($L30),_怪物基线!$A$2:$A$501,0)),"")</f>
        <v>17400</v>
      </c>
      <c r="P30" s="4">
        <f>IFERROR(INDEX(_怪物基线!$C$2:$C$501,MATCH(INT($L30),_怪物基线!$A$2:$A$501,0)),"")</f>
        <v>2973</v>
      </c>
      <c r="Q30" s="4">
        <f>IFERROR(INDEX(_怪物基线!$D$2:$D$501,MATCH(INT($L30),_怪物基线!$A$2:$A$501,0)),"")</f>
        <v>4681</v>
      </c>
      <c r="R30" s="4">
        <f>参数!$B$10</f>
        <v>4</v>
      </c>
      <c r="S30" s="4">
        <f>参数!$C$10</f>
        <v>1.2</v>
      </c>
      <c r="T30" s="4">
        <f>参数!$D$10</f>
        <v>1</v>
      </c>
      <c r="U30" s="4">
        <f t="shared" si="0"/>
        <v>69600</v>
      </c>
      <c r="V30" s="4">
        <f t="shared" si="1"/>
        <v>3567.6</v>
      </c>
      <c r="W30" s="4">
        <f t="shared" si="2"/>
        <v>4681</v>
      </c>
      <c r="X30" s="4">
        <f>IFERROR(INDEX(参数!$B$5:$B$7,MATCH($N30,参数!$A$5:$A$7,0)),"")</f>
        <v>1.5</v>
      </c>
      <c r="Y30" s="4">
        <f>IFERROR(INDEX(参数!$C$5:$C$7,MATCH($N30,参数!$A$5:$A$7,0)),"")</f>
        <v>1</v>
      </c>
      <c r="Z30" s="4">
        <f>IFERROR(INDEX(参数!$D$5:$D$7,MATCH($N30,参数!$A$5:$A$7,0)),"")</f>
        <v>1.5</v>
      </c>
      <c r="AA30" s="4">
        <f>IFERROR(INDEX(楼层配置!$E$5:$E$104,MATCH($K30,楼层配置!$B$5:$B$104,0)),1)</f>
        <v>1</v>
      </c>
      <c r="AB30" s="4">
        <f>IFERROR(INDEX(楼层配置!$F$5:$F$104,MATCH($K30,楼层配置!$B$5:$B$104,0)),1)</f>
        <v>1</v>
      </c>
      <c r="AC30" s="4">
        <f>IFERROR(INDEX(楼层配置!$G$5:$G$104,MATCH($K30,楼层配置!$B$5:$B$104,0)),1)</f>
        <v>1</v>
      </c>
      <c r="AD30" s="6">
        <f t="shared" si="3"/>
        <v>1.21242688819191</v>
      </c>
      <c r="AE30" s="6">
        <f t="shared" si="4"/>
        <v>0.994410285075461</v>
      </c>
      <c r="AF30" s="6">
        <f t="shared" si="5"/>
        <v>1.42305037957212</v>
      </c>
      <c r="AG30" s="4" t="str">
        <f t="shared" si="6"/>
        <v>有效</v>
      </c>
    </row>
    <row r="31" ht="14.25" customHeight="1" spans="1:33">
      <c r="A31" s="4">
        <v>27</v>
      </c>
      <c r="B31" s="4">
        <v>1021</v>
      </c>
      <c r="C31" s="4">
        <v>13</v>
      </c>
      <c r="D31" s="5">
        <f>IFERROR(ROUND($U31*$X31*$AA31*参数!$B$13,0),"")</f>
        <v>69600</v>
      </c>
      <c r="E31" s="5">
        <f>IFERROR(ROUND($V31*$Y31*$AB31*参数!$C$13,0),"")</f>
        <v>4281</v>
      </c>
      <c r="F31" s="5">
        <f>IFERROR(ROUND($W31*$Z31*$AC31*参数!$D$13,0),"")</f>
        <v>4681</v>
      </c>
      <c r="G31" s="4">
        <v>31459</v>
      </c>
      <c r="H31" s="4">
        <v>2146</v>
      </c>
      <c r="I31" s="4">
        <v>1932</v>
      </c>
      <c r="J31" s="4">
        <v>6</v>
      </c>
      <c r="K31" s="4">
        <v>6</v>
      </c>
      <c r="L31" s="4">
        <f>IFERROR(INDEX(楼层配置!$D$5:$D$104,MATCH($K31,楼层配置!$B$5:$B$104,0)),"")</f>
        <v>73</v>
      </c>
      <c r="M31" s="4" t="str">
        <f>IFERROR(INDEX(_角色基线!$B$2:$B$100,MATCH($B31,_角色基线!$A$2:$A$100,0)),"")</f>
        <v>梅梅</v>
      </c>
      <c r="N31" s="4" t="str">
        <f>IFERROR(INDEX(_角色基线!$C$2:$C$100,MATCH($B31,_角色基线!$A$2:$A$100,0)),"")</f>
        <v>DPS</v>
      </c>
      <c r="O31" s="4">
        <f>IFERROR(INDEX(_怪物基线!$B$2:$B$501,MATCH(INT($L31),_怪物基线!$A$2:$A$501,0)),"")</f>
        <v>17400</v>
      </c>
      <c r="P31" s="4">
        <f>IFERROR(INDEX(_怪物基线!$C$2:$C$501,MATCH(INT($L31),_怪物基线!$A$2:$A$501,0)),"")</f>
        <v>2973</v>
      </c>
      <c r="Q31" s="4">
        <f>IFERROR(INDEX(_怪物基线!$D$2:$D$501,MATCH(INT($L31),_怪物基线!$A$2:$A$501,0)),"")</f>
        <v>4681</v>
      </c>
      <c r="R31" s="4">
        <f>参数!$B$10</f>
        <v>4</v>
      </c>
      <c r="S31" s="4">
        <f>参数!$C$10</f>
        <v>1.2</v>
      </c>
      <c r="T31" s="4">
        <f>参数!$D$10</f>
        <v>1</v>
      </c>
      <c r="U31" s="4">
        <f t="shared" si="0"/>
        <v>69600</v>
      </c>
      <c r="V31" s="4">
        <f t="shared" si="1"/>
        <v>3567.6</v>
      </c>
      <c r="W31" s="4">
        <f t="shared" si="2"/>
        <v>4681</v>
      </c>
      <c r="X31" s="4">
        <f>IFERROR(INDEX(参数!$B$5:$B$7,MATCH($N31,参数!$A$5:$A$7,0)),"")</f>
        <v>1</v>
      </c>
      <c r="Y31" s="4">
        <f>IFERROR(INDEX(参数!$C$5:$C$7,MATCH($N31,参数!$A$5:$A$7,0)),"")</f>
        <v>1.2</v>
      </c>
      <c r="Z31" s="4">
        <f>IFERROR(INDEX(参数!$D$5:$D$7,MATCH($N31,参数!$A$5:$A$7,0)),"")</f>
        <v>1</v>
      </c>
      <c r="AA31" s="4">
        <f>IFERROR(INDEX(楼层配置!$E$5:$E$104,MATCH($K31,楼层配置!$B$5:$B$104,0)),1)</f>
        <v>1</v>
      </c>
      <c r="AB31" s="4">
        <f>IFERROR(INDEX(楼层配置!$F$5:$F$104,MATCH($K31,楼层配置!$B$5:$B$104,0)),1)</f>
        <v>1</v>
      </c>
      <c r="AC31" s="4">
        <f>IFERROR(INDEX(楼层配置!$G$5:$G$104,MATCH($K31,楼层配置!$B$5:$B$104,0)),1)</f>
        <v>1</v>
      </c>
      <c r="AD31" s="6">
        <f t="shared" si="3"/>
        <v>1.21240344575479</v>
      </c>
      <c r="AE31" s="6">
        <f t="shared" si="4"/>
        <v>0.994874184529357</v>
      </c>
      <c r="AF31" s="6">
        <f t="shared" si="5"/>
        <v>1.42287784679089</v>
      </c>
      <c r="AG31" s="4" t="str">
        <f t="shared" si="6"/>
        <v>有效</v>
      </c>
    </row>
    <row r="32" ht="14.25" customHeight="1" spans="1:33">
      <c r="A32" s="4">
        <v>28</v>
      </c>
      <c r="B32" s="4">
        <v>1021</v>
      </c>
      <c r="C32" s="4">
        <v>13</v>
      </c>
      <c r="D32" s="5">
        <f>IFERROR(ROUND($U32*$X32*$AA32*参数!$B$13,0),"")</f>
        <v>69600</v>
      </c>
      <c r="E32" s="5">
        <f>IFERROR(ROUND($V32*$Y32*$AB32*参数!$C$13,0),"")</f>
        <v>4281</v>
      </c>
      <c r="F32" s="5">
        <f>IFERROR(ROUND($W32*$Z32*$AC32*参数!$D$13,0),"")</f>
        <v>4681</v>
      </c>
      <c r="G32" s="4">
        <v>31459</v>
      </c>
      <c r="H32" s="4">
        <v>2146</v>
      </c>
      <c r="I32" s="4">
        <v>1932</v>
      </c>
      <c r="J32" s="4">
        <v>6</v>
      </c>
      <c r="K32" s="4">
        <v>6</v>
      </c>
      <c r="L32" s="4">
        <f>IFERROR(INDEX(楼层配置!$D$5:$D$104,MATCH($K32,楼层配置!$B$5:$B$104,0)),"")</f>
        <v>73</v>
      </c>
      <c r="M32" s="4" t="str">
        <f>IFERROR(INDEX(_角色基线!$B$2:$B$100,MATCH($B32,_角色基线!$A$2:$A$100,0)),"")</f>
        <v>梅梅</v>
      </c>
      <c r="N32" s="4" t="str">
        <f>IFERROR(INDEX(_角色基线!$C$2:$C$100,MATCH($B32,_角色基线!$A$2:$A$100,0)),"")</f>
        <v>DPS</v>
      </c>
      <c r="O32" s="4">
        <f>IFERROR(INDEX(_怪物基线!$B$2:$B$501,MATCH(INT($L32),_怪物基线!$A$2:$A$501,0)),"")</f>
        <v>17400</v>
      </c>
      <c r="P32" s="4">
        <f>IFERROR(INDEX(_怪物基线!$C$2:$C$501,MATCH(INT($L32),_怪物基线!$A$2:$A$501,0)),"")</f>
        <v>2973</v>
      </c>
      <c r="Q32" s="4">
        <f>IFERROR(INDEX(_怪物基线!$D$2:$D$501,MATCH(INT($L32),_怪物基线!$A$2:$A$501,0)),"")</f>
        <v>4681</v>
      </c>
      <c r="R32" s="4">
        <f>参数!$B$10</f>
        <v>4</v>
      </c>
      <c r="S32" s="4">
        <f>参数!$C$10</f>
        <v>1.2</v>
      </c>
      <c r="T32" s="4">
        <f>参数!$D$10</f>
        <v>1</v>
      </c>
      <c r="U32" s="4">
        <f t="shared" si="0"/>
        <v>69600</v>
      </c>
      <c r="V32" s="4">
        <f t="shared" si="1"/>
        <v>3567.6</v>
      </c>
      <c r="W32" s="4">
        <f t="shared" si="2"/>
        <v>4681</v>
      </c>
      <c r="X32" s="4">
        <f>IFERROR(INDEX(参数!$B$5:$B$7,MATCH($N32,参数!$A$5:$A$7,0)),"")</f>
        <v>1</v>
      </c>
      <c r="Y32" s="4">
        <f>IFERROR(INDEX(参数!$C$5:$C$7,MATCH($N32,参数!$A$5:$A$7,0)),"")</f>
        <v>1.2</v>
      </c>
      <c r="Z32" s="4">
        <f>IFERROR(INDEX(参数!$D$5:$D$7,MATCH($N32,参数!$A$5:$A$7,0)),"")</f>
        <v>1</v>
      </c>
      <c r="AA32" s="4">
        <f>IFERROR(INDEX(楼层配置!$E$5:$E$104,MATCH($K32,楼层配置!$B$5:$B$104,0)),1)</f>
        <v>1</v>
      </c>
      <c r="AB32" s="4">
        <f>IFERROR(INDEX(楼层配置!$F$5:$F$104,MATCH($K32,楼层配置!$B$5:$B$104,0)),1)</f>
        <v>1</v>
      </c>
      <c r="AC32" s="4">
        <f>IFERROR(INDEX(楼层配置!$G$5:$G$104,MATCH($K32,楼层配置!$B$5:$B$104,0)),1)</f>
        <v>1</v>
      </c>
      <c r="AD32" s="6">
        <f t="shared" si="3"/>
        <v>1.21240344575479</v>
      </c>
      <c r="AE32" s="6">
        <f t="shared" si="4"/>
        <v>0.994874184529357</v>
      </c>
      <c r="AF32" s="6">
        <f t="shared" si="5"/>
        <v>1.42287784679089</v>
      </c>
      <c r="AG32" s="4" t="str">
        <f t="shared" si="6"/>
        <v>有效</v>
      </c>
    </row>
    <row r="33" ht="14.25" customHeight="1" spans="1:33">
      <c r="A33" s="4">
        <v>29</v>
      </c>
      <c r="B33" s="4">
        <v>1021</v>
      </c>
      <c r="C33" s="4">
        <v>13</v>
      </c>
      <c r="D33" s="5">
        <f>IFERROR(ROUND($U33*$X33*$AA33*参数!$B$13,0),"")</f>
        <v>69600</v>
      </c>
      <c r="E33" s="5">
        <f>IFERROR(ROUND($V33*$Y33*$AB33*参数!$C$13,0),"")</f>
        <v>4281</v>
      </c>
      <c r="F33" s="5">
        <f>IFERROR(ROUND($W33*$Z33*$AC33*参数!$D$13,0),"")</f>
        <v>4681</v>
      </c>
      <c r="G33" s="4">
        <v>31459</v>
      </c>
      <c r="H33" s="4">
        <v>2146</v>
      </c>
      <c r="I33" s="4">
        <v>1932</v>
      </c>
      <c r="J33" s="4">
        <v>6</v>
      </c>
      <c r="K33" s="4">
        <v>6</v>
      </c>
      <c r="L33" s="4">
        <f>IFERROR(INDEX(楼层配置!$D$5:$D$104,MATCH($K33,楼层配置!$B$5:$B$104,0)),"")</f>
        <v>73</v>
      </c>
      <c r="M33" s="4" t="str">
        <f>IFERROR(INDEX(_角色基线!$B$2:$B$100,MATCH($B33,_角色基线!$A$2:$A$100,0)),"")</f>
        <v>梅梅</v>
      </c>
      <c r="N33" s="4" t="str">
        <f>IFERROR(INDEX(_角色基线!$C$2:$C$100,MATCH($B33,_角色基线!$A$2:$A$100,0)),"")</f>
        <v>DPS</v>
      </c>
      <c r="O33" s="4">
        <f>IFERROR(INDEX(_怪物基线!$B$2:$B$501,MATCH(INT($L33),_怪物基线!$A$2:$A$501,0)),"")</f>
        <v>17400</v>
      </c>
      <c r="P33" s="4">
        <f>IFERROR(INDEX(_怪物基线!$C$2:$C$501,MATCH(INT($L33),_怪物基线!$A$2:$A$501,0)),"")</f>
        <v>2973</v>
      </c>
      <c r="Q33" s="4">
        <f>IFERROR(INDEX(_怪物基线!$D$2:$D$501,MATCH(INT($L33),_怪物基线!$A$2:$A$501,0)),"")</f>
        <v>4681</v>
      </c>
      <c r="R33" s="4">
        <f>参数!$B$10</f>
        <v>4</v>
      </c>
      <c r="S33" s="4">
        <f>参数!$C$10</f>
        <v>1.2</v>
      </c>
      <c r="T33" s="4">
        <f>参数!$D$10</f>
        <v>1</v>
      </c>
      <c r="U33" s="4">
        <f t="shared" si="0"/>
        <v>69600</v>
      </c>
      <c r="V33" s="4">
        <f t="shared" si="1"/>
        <v>3567.6</v>
      </c>
      <c r="W33" s="4">
        <f t="shared" si="2"/>
        <v>4681</v>
      </c>
      <c r="X33" s="4">
        <f>IFERROR(INDEX(参数!$B$5:$B$7,MATCH($N33,参数!$A$5:$A$7,0)),"")</f>
        <v>1</v>
      </c>
      <c r="Y33" s="4">
        <f>IFERROR(INDEX(参数!$C$5:$C$7,MATCH($N33,参数!$A$5:$A$7,0)),"")</f>
        <v>1.2</v>
      </c>
      <c r="Z33" s="4">
        <f>IFERROR(INDEX(参数!$D$5:$D$7,MATCH($N33,参数!$A$5:$A$7,0)),"")</f>
        <v>1</v>
      </c>
      <c r="AA33" s="4">
        <f>IFERROR(INDEX(楼层配置!$E$5:$E$104,MATCH($K33,楼层配置!$B$5:$B$104,0)),1)</f>
        <v>1</v>
      </c>
      <c r="AB33" s="4">
        <f>IFERROR(INDEX(楼层配置!$F$5:$F$104,MATCH($K33,楼层配置!$B$5:$B$104,0)),1)</f>
        <v>1</v>
      </c>
      <c r="AC33" s="4">
        <f>IFERROR(INDEX(楼层配置!$G$5:$G$104,MATCH($K33,楼层配置!$B$5:$B$104,0)),1)</f>
        <v>1</v>
      </c>
      <c r="AD33" s="6">
        <f t="shared" si="3"/>
        <v>1.21240344575479</v>
      </c>
      <c r="AE33" s="6">
        <f t="shared" si="4"/>
        <v>0.994874184529357</v>
      </c>
      <c r="AF33" s="6">
        <f t="shared" si="5"/>
        <v>1.42287784679089</v>
      </c>
      <c r="AG33" s="4" t="str">
        <f t="shared" si="6"/>
        <v>有效</v>
      </c>
    </row>
    <row r="34" ht="14.25" customHeight="1" spans="1:33">
      <c r="A34" s="4">
        <v>30</v>
      </c>
      <c r="B34" s="4">
        <v>1020</v>
      </c>
      <c r="C34" s="4">
        <v>13</v>
      </c>
      <c r="D34" s="5">
        <f>IFERROR(ROUND($U34*$X34*$AA34*参数!$B$13,0),"")</f>
        <v>87000</v>
      </c>
      <c r="E34" s="5">
        <f>IFERROR(ROUND($V34*$Y34*$AB34*参数!$C$13,0),"")</f>
        <v>3568</v>
      </c>
      <c r="F34" s="5">
        <f>IFERROR(ROUND($W34*$Z34*$AC34*参数!$D$13,0),"")</f>
        <v>5851</v>
      </c>
      <c r="G34" s="4">
        <v>39324</v>
      </c>
      <c r="H34" s="4">
        <v>1789</v>
      </c>
      <c r="I34" s="4">
        <v>2415</v>
      </c>
      <c r="J34" s="4">
        <v>6</v>
      </c>
      <c r="K34" s="4">
        <v>6</v>
      </c>
      <c r="L34" s="4">
        <f>IFERROR(INDEX(楼层配置!$D$5:$D$104,MATCH($K34,楼层配置!$B$5:$B$104,0)),"")</f>
        <v>73</v>
      </c>
      <c r="M34" s="4" t="str">
        <f>IFERROR(INDEX(_角色基线!$B$2:$B$100,MATCH($B34,_角色基线!$A$2:$A$100,0)),"")</f>
        <v>卡斯帕</v>
      </c>
      <c r="N34" s="4" t="str">
        <f>IFERROR(INDEX(_角色基线!$C$2:$C$100,MATCH($B34,_角色基线!$A$2:$A$100,0)),"")</f>
        <v>Support</v>
      </c>
      <c r="O34" s="4">
        <f>IFERROR(INDEX(_怪物基线!$B$2:$B$501,MATCH(INT($L34),_怪物基线!$A$2:$A$501,0)),"")</f>
        <v>17400</v>
      </c>
      <c r="P34" s="4">
        <f>IFERROR(INDEX(_怪物基线!$C$2:$C$501,MATCH(INT($L34),_怪物基线!$A$2:$A$501,0)),"")</f>
        <v>2973</v>
      </c>
      <c r="Q34" s="4">
        <f>IFERROR(INDEX(_怪物基线!$D$2:$D$501,MATCH(INT($L34),_怪物基线!$A$2:$A$501,0)),"")</f>
        <v>4681</v>
      </c>
      <c r="R34" s="4">
        <f>参数!$B$10</f>
        <v>4</v>
      </c>
      <c r="S34" s="4">
        <f>参数!$C$10</f>
        <v>1.2</v>
      </c>
      <c r="T34" s="4">
        <f>参数!$D$10</f>
        <v>1</v>
      </c>
      <c r="U34" s="4">
        <f t="shared" si="0"/>
        <v>69600</v>
      </c>
      <c r="V34" s="4">
        <f t="shared" si="1"/>
        <v>3567.6</v>
      </c>
      <c r="W34" s="4">
        <f t="shared" si="2"/>
        <v>4681</v>
      </c>
      <c r="X34" s="4">
        <f>IFERROR(INDEX(参数!$B$5:$B$7,MATCH($N34,参数!$A$5:$A$7,0)),"")</f>
        <v>1.25</v>
      </c>
      <c r="Y34" s="4">
        <f>IFERROR(INDEX(参数!$C$5:$C$7,MATCH($N34,参数!$A$5:$A$7,0)),"")</f>
        <v>1</v>
      </c>
      <c r="Z34" s="4">
        <f>IFERROR(INDEX(参数!$D$5:$D$7,MATCH($N34,参数!$A$5:$A$7,0)),"")</f>
        <v>1.25</v>
      </c>
      <c r="AA34" s="4">
        <f>IFERROR(INDEX(楼层配置!$E$5:$E$104,MATCH($K34,楼层配置!$B$5:$B$104,0)),1)</f>
        <v>1</v>
      </c>
      <c r="AB34" s="4">
        <f>IFERROR(INDEX(楼层配置!$F$5:$F$104,MATCH($K34,楼层配置!$B$5:$B$104,0)),1)</f>
        <v>1</v>
      </c>
      <c r="AC34" s="4">
        <f>IFERROR(INDEX(楼层配置!$G$5:$G$104,MATCH($K34,楼层配置!$B$5:$B$104,0)),1)</f>
        <v>1</v>
      </c>
      <c r="AD34" s="6">
        <f t="shared" si="3"/>
        <v>1.21238938053097</v>
      </c>
      <c r="AE34" s="6">
        <f t="shared" si="4"/>
        <v>0.994410285075461</v>
      </c>
      <c r="AF34" s="6">
        <f t="shared" si="5"/>
        <v>1.42277432712215</v>
      </c>
      <c r="AG34" s="4" t="str">
        <f t="shared" si="6"/>
        <v>有效</v>
      </c>
    </row>
    <row r="35" ht="14.25" customHeight="1" spans="1:33">
      <c r="A35" s="4">
        <v>31</v>
      </c>
      <c r="B35" s="4">
        <v>1030</v>
      </c>
      <c r="C35" s="4">
        <v>13</v>
      </c>
      <c r="D35" s="5">
        <f>IFERROR(ROUND($U35*$X35*$AA35*参数!$B$13,0),"")</f>
        <v>119982</v>
      </c>
      <c r="E35" s="5">
        <f>IFERROR(ROUND($V35*$Y35*$AB35*参数!$C$13,0),"")</f>
        <v>3924</v>
      </c>
      <c r="F35" s="5">
        <f>IFERROR(ROUND($W35*$Z35*$AC35*参数!$D$13,0),"")</f>
        <v>7679</v>
      </c>
      <c r="G35" s="4">
        <v>54633</v>
      </c>
      <c r="H35" s="4">
        <v>1990</v>
      </c>
      <c r="I35" s="4">
        <v>3211</v>
      </c>
      <c r="J35" s="4">
        <v>7</v>
      </c>
      <c r="K35" s="4">
        <v>7</v>
      </c>
      <c r="L35" s="4">
        <f>IFERROR(INDEX(楼层配置!$D$5:$D$104,MATCH($K35,楼层配置!$B$5:$B$104,0)),"")</f>
        <v>79</v>
      </c>
      <c r="M35" s="4" t="str">
        <f>IFERROR(INDEX(_角色基线!$B$2:$B$100,MATCH($B35,_角色基线!$A$2:$A$100,0)),"")</f>
        <v>莫莉</v>
      </c>
      <c r="N35" s="4" t="str">
        <f>IFERROR(INDEX(_角色基线!$C$2:$C$100,MATCH($B35,_角色基线!$A$2:$A$100,0)),"")</f>
        <v>Tank</v>
      </c>
      <c r="O35" s="4">
        <f>IFERROR(INDEX(_怪物基线!$B$2:$B$501,MATCH(INT($L35),_怪物基线!$A$2:$A$501,0)),"")</f>
        <v>19997</v>
      </c>
      <c r="P35" s="4">
        <f>IFERROR(INDEX(_怪物基线!$C$2:$C$501,MATCH(INT($L35),_怪物基线!$A$2:$A$501,0)),"")</f>
        <v>3270</v>
      </c>
      <c r="Q35" s="4">
        <f>IFERROR(INDEX(_怪物基线!$D$2:$D$501,MATCH(INT($L35),_怪物基线!$A$2:$A$501,0)),"")</f>
        <v>5119</v>
      </c>
      <c r="R35" s="4">
        <f>参数!$B$10</f>
        <v>4</v>
      </c>
      <c r="S35" s="4">
        <f>参数!$C$10</f>
        <v>1.2</v>
      </c>
      <c r="T35" s="4">
        <f>参数!$D$10</f>
        <v>1</v>
      </c>
      <c r="U35" s="4">
        <f t="shared" si="0"/>
        <v>79988</v>
      </c>
      <c r="V35" s="4">
        <f t="shared" si="1"/>
        <v>3924</v>
      </c>
      <c r="W35" s="4">
        <f t="shared" si="2"/>
        <v>5119</v>
      </c>
      <c r="X35" s="4">
        <f>IFERROR(INDEX(参数!$B$5:$B$7,MATCH($N35,参数!$A$5:$A$7,0)),"")</f>
        <v>1.5</v>
      </c>
      <c r="Y35" s="4">
        <f>IFERROR(INDEX(参数!$C$5:$C$7,MATCH($N35,参数!$A$5:$A$7,0)),"")</f>
        <v>1</v>
      </c>
      <c r="Z35" s="4">
        <f>IFERROR(INDEX(参数!$D$5:$D$7,MATCH($N35,参数!$A$5:$A$7,0)),"")</f>
        <v>1.5</v>
      </c>
      <c r="AA35" s="4">
        <f>IFERROR(INDEX(楼层配置!$E$5:$E$104,MATCH($K35,楼层配置!$B$5:$B$104,0)),1)</f>
        <v>1</v>
      </c>
      <c r="AB35" s="4">
        <f>IFERROR(INDEX(楼层配置!$F$5:$F$104,MATCH($K35,楼层配置!$B$5:$B$104,0)),1)</f>
        <v>1</v>
      </c>
      <c r="AC35" s="4">
        <f>IFERROR(INDEX(楼层配置!$G$5:$G$104,MATCH($K35,楼层配置!$B$5:$B$104,0)),1)</f>
        <v>1</v>
      </c>
      <c r="AD35" s="6">
        <f t="shared" si="3"/>
        <v>1.19614518697491</v>
      </c>
      <c r="AE35" s="6">
        <f t="shared" si="4"/>
        <v>0.971859296482412</v>
      </c>
      <c r="AF35" s="6">
        <f t="shared" si="5"/>
        <v>1.39146683276238</v>
      </c>
      <c r="AG35" s="4" t="str">
        <f t="shared" si="6"/>
        <v>有效</v>
      </c>
    </row>
    <row r="36" ht="14.25" customHeight="1" spans="1:33">
      <c r="A36" s="4">
        <v>32</v>
      </c>
      <c r="B36" s="4">
        <v>1026</v>
      </c>
      <c r="C36" s="4">
        <v>13</v>
      </c>
      <c r="D36" s="5">
        <f>IFERROR(ROUND($U36*$X36*$AA36*参数!$B$13,0),"")</f>
        <v>79988</v>
      </c>
      <c r="E36" s="5">
        <f>IFERROR(ROUND($V36*$Y36*$AB36*参数!$C$13,0),"")</f>
        <v>4709</v>
      </c>
      <c r="F36" s="5">
        <f>IFERROR(ROUND($W36*$Z36*$AC36*参数!$D$13,0),"")</f>
        <v>5119</v>
      </c>
      <c r="G36" s="4">
        <v>36422</v>
      </c>
      <c r="H36" s="4">
        <v>2388</v>
      </c>
      <c r="I36" s="4">
        <v>2140</v>
      </c>
      <c r="J36" s="4">
        <v>7</v>
      </c>
      <c r="K36" s="4">
        <v>7</v>
      </c>
      <c r="L36" s="4">
        <f>IFERROR(INDEX(楼层配置!$D$5:$D$104,MATCH($K36,楼层配置!$B$5:$B$104,0)),"")</f>
        <v>79</v>
      </c>
      <c r="M36" s="4" t="str">
        <f>IFERROR(INDEX(_角色基线!$B$2:$B$100,MATCH($B36,_角色基线!$A$2:$A$100,0)),"")</f>
        <v>乔一</v>
      </c>
      <c r="N36" s="4" t="str">
        <f>IFERROR(INDEX(_角色基线!$C$2:$C$100,MATCH($B36,_角色基线!$A$2:$A$100,0)),"")</f>
        <v>DPS</v>
      </c>
      <c r="O36" s="4">
        <f>IFERROR(INDEX(_怪物基线!$B$2:$B$501,MATCH(INT($L36),_怪物基线!$A$2:$A$501,0)),"")</f>
        <v>19997</v>
      </c>
      <c r="P36" s="4">
        <f>IFERROR(INDEX(_怪物基线!$C$2:$C$501,MATCH(INT($L36),_怪物基线!$A$2:$A$501,0)),"")</f>
        <v>3270</v>
      </c>
      <c r="Q36" s="4">
        <f>IFERROR(INDEX(_怪物基线!$D$2:$D$501,MATCH(INT($L36),_怪物基线!$A$2:$A$501,0)),"")</f>
        <v>5119</v>
      </c>
      <c r="R36" s="4">
        <f>参数!$B$10</f>
        <v>4</v>
      </c>
      <c r="S36" s="4">
        <f>参数!$C$10</f>
        <v>1.2</v>
      </c>
      <c r="T36" s="4">
        <f>参数!$D$10</f>
        <v>1</v>
      </c>
      <c r="U36" s="4">
        <f t="shared" si="0"/>
        <v>79988</v>
      </c>
      <c r="V36" s="4">
        <f t="shared" si="1"/>
        <v>3924</v>
      </c>
      <c r="W36" s="4">
        <f t="shared" si="2"/>
        <v>5119</v>
      </c>
      <c r="X36" s="4">
        <f>IFERROR(INDEX(参数!$B$5:$B$7,MATCH($N36,参数!$A$5:$A$7,0)),"")</f>
        <v>1</v>
      </c>
      <c r="Y36" s="4">
        <f>IFERROR(INDEX(参数!$C$5:$C$7,MATCH($N36,参数!$A$5:$A$7,0)),"")</f>
        <v>1.2</v>
      </c>
      <c r="Z36" s="4">
        <f>IFERROR(INDEX(参数!$D$5:$D$7,MATCH($N36,参数!$A$5:$A$7,0)),"")</f>
        <v>1</v>
      </c>
      <c r="AA36" s="4">
        <f>IFERROR(INDEX(楼层配置!$E$5:$E$104,MATCH($K36,楼层配置!$B$5:$B$104,0)),1)</f>
        <v>1</v>
      </c>
      <c r="AB36" s="4">
        <f>IFERROR(INDEX(楼层配置!$F$5:$F$104,MATCH($K36,楼层配置!$B$5:$B$104,0)),1)</f>
        <v>1</v>
      </c>
      <c r="AC36" s="4">
        <f>IFERROR(INDEX(楼层配置!$G$5:$G$104,MATCH($K36,楼层配置!$B$5:$B$104,0)),1)</f>
        <v>1</v>
      </c>
      <c r="AD36" s="6">
        <f t="shared" si="3"/>
        <v>1.19614518697491</v>
      </c>
      <c r="AE36" s="6">
        <f t="shared" si="4"/>
        <v>0.971943048576214</v>
      </c>
      <c r="AF36" s="6">
        <f t="shared" si="5"/>
        <v>1.39205607476636</v>
      </c>
      <c r="AG36" s="4" t="str">
        <f t="shared" si="6"/>
        <v>有效</v>
      </c>
    </row>
    <row r="37" ht="14.25" customHeight="1" spans="1:33">
      <c r="A37" s="4">
        <v>33</v>
      </c>
      <c r="B37" s="4">
        <v>1015</v>
      </c>
      <c r="C37" s="4">
        <v>13</v>
      </c>
      <c r="D37" s="5">
        <f>IFERROR(ROUND($U37*$X37*$AA37*参数!$B$13,0),"")</f>
        <v>99985</v>
      </c>
      <c r="E37" s="5">
        <f>IFERROR(ROUND($V37*$Y37*$AB37*参数!$C$13,0),"")</f>
        <v>3924</v>
      </c>
      <c r="F37" s="5">
        <f>IFERROR(ROUND($W37*$Z37*$AC37*参数!$D$13,0),"")</f>
        <v>6399</v>
      </c>
      <c r="G37" s="4">
        <v>45528</v>
      </c>
      <c r="H37" s="4">
        <v>1990</v>
      </c>
      <c r="I37" s="4">
        <v>2676</v>
      </c>
      <c r="J37" s="4">
        <v>7</v>
      </c>
      <c r="K37" s="4">
        <v>7</v>
      </c>
      <c r="L37" s="4">
        <f>IFERROR(INDEX(楼层配置!$D$5:$D$104,MATCH($K37,楼层配置!$B$5:$B$104,0)),"")</f>
        <v>79</v>
      </c>
      <c r="M37" s="4" t="str">
        <f>IFERROR(INDEX(_角色基线!$B$2:$B$100,MATCH($B37,_角色基线!$A$2:$A$100,0)),"")</f>
        <v>阿莱克西娅</v>
      </c>
      <c r="N37" s="4" t="str">
        <f>IFERROR(INDEX(_角色基线!$C$2:$C$100,MATCH($B37,_角色基线!$A$2:$A$100,0)),"")</f>
        <v>Support</v>
      </c>
      <c r="O37" s="4">
        <f>IFERROR(INDEX(_怪物基线!$B$2:$B$501,MATCH(INT($L37),_怪物基线!$A$2:$A$501,0)),"")</f>
        <v>19997</v>
      </c>
      <c r="P37" s="4">
        <f>IFERROR(INDEX(_怪物基线!$C$2:$C$501,MATCH(INT($L37),_怪物基线!$A$2:$A$501,0)),"")</f>
        <v>3270</v>
      </c>
      <c r="Q37" s="4">
        <f>IFERROR(INDEX(_怪物基线!$D$2:$D$501,MATCH(INT($L37),_怪物基线!$A$2:$A$501,0)),"")</f>
        <v>5119</v>
      </c>
      <c r="R37" s="4">
        <f>参数!$B$10</f>
        <v>4</v>
      </c>
      <c r="S37" s="4">
        <f>参数!$C$10</f>
        <v>1.2</v>
      </c>
      <c r="T37" s="4">
        <f>参数!$D$10</f>
        <v>1</v>
      </c>
      <c r="U37" s="4">
        <f t="shared" si="0"/>
        <v>79988</v>
      </c>
      <c r="V37" s="4">
        <f t="shared" si="1"/>
        <v>3924</v>
      </c>
      <c r="W37" s="4">
        <f t="shared" si="2"/>
        <v>5119</v>
      </c>
      <c r="X37" s="4">
        <f>IFERROR(INDEX(参数!$B$5:$B$7,MATCH($N37,参数!$A$5:$A$7,0)),"")</f>
        <v>1.25</v>
      </c>
      <c r="Y37" s="4">
        <f>IFERROR(INDEX(参数!$C$5:$C$7,MATCH($N37,参数!$A$5:$A$7,0)),"")</f>
        <v>1</v>
      </c>
      <c r="Z37" s="4">
        <f>IFERROR(INDEX(参数!$D$5:$D$7,MATCH($N37,参数!$A$5:$A$7,0)),"")</f>
        <v>1.25</v>
      </c>
      <c r="AA37" s="4">
        <f>IFERROR(INDEX(楼层配置!$E$5:$E$104,MATCH($K37,楼层配置!$B$5:$B$104,0)),1)</f>
        <v>1</v>
      </c>
      <c r="AB37" s="4">
        <f>IFERROR(INDEX(楼层配置!$F$5:$F$104,MATCH($K37,楼层配置!$B$5:$B$104,0)),1)</f>
        <v>1</v>
      </c>
      <c r="AC37" s="4">
        <f>IFERROR(INDEX(楼层配置!$G$5:$G$104,MATCH($K37,楼层配置!$B$5:$B$104,0)),1)</f>
        <v>1</v>
      </c>
      <c r="AD37" s="6">
        <f t="shared" si="3"/>
        <v>1.19612106835354</v>
      </c>
      <c r="AE37" s="6">
        <f t="shared" si="4"/>
        <v>0.971859296482412</v>
      </c>
      <c r="AF37" s="6">
        <f t="shared" si="5"/>
        <v>1.39125560538117</v>
      </c>
      <c r="AG37" s="4" t="str">
        <f t="shared" si="6"/>
        <v>有效</v>
      </c>
    </row>
    <row r="38" ht="14.25" customHeight="1" spans="1:33">
      <c r="A38" s="4">
        <v>34</v>
      </c>
      <c r="B38" s="4">
        <v>1023</v>
      </c>
      <c r="C38" s="4">
        <v>13</v>
      </c>
      <c r="D38" s="5">
        <f>IFERROR(ROUND($U38*$X38*$AA38*参数!$B$13,0),"")</f>
        <v>99985</v>
      </c>
      <c r="E38" s="5">
        <f>IFERROR(ROUND($V38*$Y38*$AB38*参数!$C$13,0),"")</f>
        <v>3924</v>
      </c>
      <c r="F38" s="5">
        <f>IFERROR(ROUND($W38*$Z38*$AC38*参数!$D$13,0),"")</f>
        <v>6399</v>
      </c>
      <c r="G38" s="4">
        <v>45528</v>
      </c>
      <c r="H38" s="4">
        <v>1990</v>
      </c>
      <c r="I38" s="4">
        <v>2676</v>
      </c>
      <c r="J38" s="4">
        <v>7</v>
      </c>
      <c r="K38" s="4">
        <v>7</v>
      </c>
      <c r="L38" s="4">
        <f>IFERROR(INDEX(楼层配置!$D$5:$D$104,MATCH($K38,楼层配置!$B$5:$B$104,0)),"")</f>
        <v>79</v>
      </c>
      <c r="M38" s="4" t="str">
        <f>IFERROR(INDEX(_角色基线!$B$2:$B$100,MATCH($B38,_角色基线!$A$2:$A$100,0)),"")</f>
        <v>马克</v>
      </c>
      <c r="N38" s="4" t="str">
        <f>IFERROR(INDEX(_角色基线!$C$2:$C$100,MATCH($B38,_角色基线!$A$2:$A$100,0)),"")</f>
        <v>Support</v>
      </c>
      <c r="O38" s="4">
        <f>IFERROR(INDEX(_怪物基线!$B$2:$B$501,MATCH(INT($L38),_怪物基线!$A$2:$A$501,0)),"")</f>
        <v>19997</v>
      </c>
      <c r="P38" s="4">
        <f>IFERROR(INDEX(_怪物基线!$C$2:$C$501,MATCH(INT($L38),_怪物基线!$A$2:$A$501,0)),"")</f>
        <v>3270</v>
      </c>
      <c r="Q38" s="4">
        <f>IFERROR(INDEX(_怪物基线!$D$2:$D$501,MATCH(INT($L38),_怪物基线!$A$2:$A$501,0)),"")</f>
        <v>5119</v>
      </c>
      <c r="R38" s="4">
        <f>参数!$B$10</f>
        <v>4</v>
      </c>
      <c r="S38" s="4">
        <f>参数!$C$10</f>
        <v>1.2</v>
      </c>
      <c r="T38" s="4">
        <f>参数!$D$10</f>
        <v>1</v>
      </c>
      <c r="U38" s="4">
        <f t="shared" si="0"/>
        <v>79988</v>
      </c>
      <c r="V38" s="4">
        <f t="shared" si="1"/>
        <v>3924</v>
      </c>
      <c r="W38" s="4">
        <f t="shared" si="2"/>
        <v>5119</v>
      </c>
      <c r="X38" s="4">
        <f>IFERROR(INDEX(参数!$B$5:$B$7,MATCH($N38,参数!$A$5:$A$7,0)),"")</f>
        <v>1.25</v>
      </c>
      <c r="Y38" s="4">
        <f>IFERROR(INDEX(参数!$C$5:$C$7,MATCH($N38,参数!$A$5:$A$7,0)),"")</f>
        <v>1</v>
      </c>
      <c r="Z38" s="4">
        <f>IFERROR(INDEX(参数!$D$5:$D$7,MATCH($N38,参数!$A$5:$A$7,0)),"")</f>
        <v>1.25</v>
      </c>
      <c r="AA38" s="4">
        <f>IFERROR(INDEX(楼层配置!$E$5:$E$104,MATCH($K38,楼层配置!$B$5:$B$104,0)),1)</f>
        <v>1</v>
      </c>
      <c r="AB38" s="4">
        <f>IFERROR(INDEX(楼层配置!$F$5:$F$104,MATCH($K38,楼层配置!$B$5:$B$104,0)),1)</f>
        <v>1</v>
      </c>
      <c r="AC38" s="4">
        <f>IFERROR(INDEX(楼层配置!$G$5:$G$104,MATCH($K38,楼层配置!$B$5:$B$104,0)),1)</f>
        <v>1</v>
      </c>
      <c r="AD38" s="6">
        <f t="shared" si="3"/>
        <v>1.19612106835354</v>
      </c>
      <c r="AE38" s="6">
        <f t="shared" si="4"/>
        <v>0.971859296482412</v>
      </c>
      <c r="AF38" s="6">
        <f t="shared" si="5"/>
        <v>1.39125560538117</v>
      </c>
      <c r="AG38" s="4" t="str">
        <f t="shared" si="6"/>
        <v>有效</v>
      </c>
    </row>
    <row r="39" ht="14.25" customHeight="1" spans="1:33">
      <c r="A39" s="4">
        <v>35</v>
      </c>
      <c r="B39" s="4">
        <v>1035</v>
      </c>
      <c r="C39" s="4">
        <v>13</v>
      </c>
      <c r="D39" s="5">
        <f>IFERROR(ROUND($U39*$X39*$AA39*参数!$B$13,0),"")</f>
        <v>79988</v>
      </c>
      <c r="E39" s="5">
        <f>IFERROR(ROUND($V39*$Y39*$AB39*参数!$C$13,0),"")</f>
        <v>4709</v>
      </c>
      <c r="F39" s="5">
        <f>IFERROR(ROUND($W39*$Z39*$AC39*参数!$D$13,0),"")</f>
        <v>5119</v>
      </c>
      <c r="G39" s="4">
        <v>36422</v>
      </c>
      <c r="H39" s="4">
        <v>2388</v>
      </c>
      <c r="I39" s="4">
        <v>2140</v>
      </c>
      <c r="J39" s="4">
        <v>7</v>
      </c>
      <c r="K39" s="4">
        <v>7</v>
      </c>
      <c r="L39" s="4">
        <f>IFERROR(INDEX(楼层配置!$D$5:$D$104,MATCH($K39,楼层配置!$B$5:$B$104,0)),"")</f>
        <v>79</v>
      </c>
      <c r="M39" s="4" t="str">
        <f>IFERROR(INDEX(_角色基线!$B$2:$B$100,MATCH($B39,_角色基线!$A$2:$A$100,0)),"")</f>
        <v>碎冰者</v>
      </c>
      <c r="N39" s="4" t="str">
        <f>IFERROR(INDEX(_角色基线!$C$2:$C$100,MATCH($B39,_角色基线!$A$2:$A$100,0)),"")</f>
        <v>DPS</v>
      </c>
      <c r="O39" s="4">
        <f>IFERROR(INDEX(_怪物基线!$B$2:$B$501,MATCH(INT($L39),_怪物基线!$A$2:$A$501,0)),"")</f>
        <v>19997</v>
      </c>
      <c r="P39" s="4">
        <f>IFERROR(INDEX(_怪物基线!$C$2:$C$501,MATCH(INT($L39),_怪物基线!$A$2:$A$501,0)),"")</f>
        <v>3270</v>
      </c>
      <c r="Q39" s="4">
        <f>IFERROR(INDEX(_怪物基线!$D$2:$D$501,MATCH(INT($L39),_怪物基线!$A$2:$A$501,0)),"")</f>
        <v>5119</v>
      </c>
      <c r="R39" s="4">
        <f>参数!$B$10</f>
        <v>4</v>
      </c>
      <c r="S39" s="4">
        <f>参数!$C$10</f>
        <v>1.2</v>
      </c>
      <c r="T39" s="4">
        <f>参数!$D$10</f>
        <v>1</v>
      </c>
      <c r="U39" s="4">
        <f t="shared" si="0"/>
        <v>79988</v>
      </c>
      <c r="V39" s="4">
        <f t="shared" si="1"/>
        <v>3924</v>
      </c>
      <c r="W39" s="4">
        <f t="shared" si="2"/>
        <v>5119</v>
      </c>
      <c r="X39" s="4">
        <f>IFERROR(INDEX(参数!$B$5:$B$7,MATCH($N39,参数!$A$5:$A$7,0)),"")</f>
        <v>1</v>
      </c>
      <c r="Y39" s="4">
        <f>IFERROR(INDEX(参数!$C$5:$C$7,MATCH($N39,参数!$A$5:$A$7,0)),"")</f>
        <v>1.2</v>
      </c>
      <c r="Z39" s="4">
        <f>IFERROR(INDEX(参数!$D$5:$D$7,MATCH($N39,参数!$A$5:$A$7,0)),"")</f>
        <v>1</v>
      </c>
      <c r="AA39" s="4">
        <f>IFERROR(INDEX(楼层配置!$E$5:$E$104,MATCH($K39,楼层配置!$B$5:$B$104,0)),1)</f>
        <v>1</v>
      </c>
      <c r="AB39" s="4">
        <f>IFERROR(INDEX(楼层配置!$F$5:$F$104,MATCH($K39,楼层配置!$B$5:$B$104,0)),1)</f>
        <v>1</v>
      </c>
      <c r="AC39" s="4">
        <f>IFERROR(INDEX(楼层配置!$G$5:$G$104,MATCH($K39,楼层配置!$B$5:$B$104,0)),1)</f>
        <v>1</v>
      </c>
      <c r="AD39" s="6">
        <f t="shared" si="3"/>
        <v>1.19614518697491</v>
      </c>
      <c r="AE39" s="6">
        <f t="shared" si="4"/>
        <v>0.971943048576214</v>
      </c>
      <c r="AF39" s="6">
        <f t="shared" si="5"/>
        <v>1.39205607476636</v>
      </c>
      <c r="AG39" s="4" t="str">
        <f t="shared" si="6"/>
        <v>有效</v>
      </c>
    </row>
    <row r="40" ht="14.25" customHeight="1" spans="1:33">
      <c r="A40" s="4">
        <v>36</v>
      </c>
      <c r="B40" s="4">
        <v>1002</v>
      </c>
      <c r="C40" s="4">
        <v>14</v>
      </c>
      <c r="D40" s="5">
        <f>IFERROR(ROUND($U40*$X40*$AA40*参数!$B$13,0),"")</f>
        <v>139824</v>
      </c>
      <c r="E40" s="5">
        <f>IFERROR(ROUND($V40*$Y40*$AB40*参数!$C$13,0),"")</f>
        <v>4352</v>
      </c>
      <c r="F40" s="5">
        <f>IFERROR(ROUND($W40*$Z40*$AC40*参数!$D$13,0),"")</f>
        <v>8462</v>
      </c>
      <c r="G40" s="4">
        <v>62589</v>
      </c>
      <c r="H40" s="4">
        <v>2194</v>
      </c>
      <c r="I40" s="4">
        <v>3529</v>
      </c>
      <c r="J40" s="4">
        <v>8</v>
      </c>
      <c r="K40" s="4">
        <v>8</v>
      </c>
      <c r="L40" s="4">
        <f>IFERROR(INDEX(楼层配置!$D$5:$D$104,MATCH($K40,楼层配置!$B$5:$B$104,0)),"")</f>
        <v>86</v>
      </c>
      <c r="M40" s="4" t="str">
        <f>IFERROR(INDEX(_角色基线!$B$2:$B$100,MATCH($B40,_角色基线!$A$2:$A$100,0)),"")</f>
        <v>大暑</v>
      </c>
      <c r="N40" s="4" t="str">
        <f>IFERROR(INDEX(_角色基线!$C$2:$C$100,MATCH($B40,_角色基线!$A$2:$A$100,0)),"")</f>
        <v>Tank</v>
      </c>
      <c r="O40" s="4">
        <f>IFERROR(INDEX(_怪物基线!$B$2:$B$501,MATCH(INT($L40),_怪物基线!$A$2:$A$501,0)),"")</f>
        <v>23304</v>
      </c>
      <c r="P40" s="4">
        <f>IFERROR(INDEX(_怪物基线!$C$2:$C$501,MATCH(INT($L40),_怪物基线!$A$2:$A$501,0)),"")</f>
        <v>3627</v>
      </c>
      <c r="Q40" s="4">
        <f>IFERROR(INDEX(_怪物基线!$D$2:$D$501,MATCH(INT($L40),_怪物基线!$A$2:$A$501,0)),"")</f>
        <v>5641</v>
      </c>
      <c r="R40" s="4">
        <f>参数!$B$10</f>
        <v>4</v>
      </c>
      <c r="S40" s="4">
        <f>参数!$C$10</f>
        <v>1.2</v>
      </c>
      <c r="T40" s="4">
        <f>参数!$D$10</f>
        <v>1</v>
      </c>
      <c r="U40" s="4">
        <f t="shared" si="0"/>
        <v>93216</v>
      </c>
      <c r="V40" s="4">
        <f t="shared" si="1"/>
        <v>4352.4</v>
      </c>
      <c r="W40" s="4">
        <f t="shared" si="2"/>
        <v>5641</v>
      </c>
      <c r="X40" s="4">
        <f>IFERROR(INDEX(参数!$B$5:$B$7,MATCH($N40,参数!$A$5:$A$7,0)),"")</f>
        <v>1.5</v>
      </c>
      <c r="Y40" s="4">
        <f>IFERROR(INDEX(参数!$C$5:$C$7,MATCH($N40,参数!$A$5:$A$7,0)),"")</f>
        <v>1</v>
      </c>
      <c r="Z40" s="4">
        <f>IFERROR(INDEX(参数!$D$5:$D$7,MATCH($N40,参数!$A$5:$A$7,0)),"")</f>
        <v>1.5</v>
      </c>
      <c r="AA40" s="4">
        <f>IFERROR(INDEX(楼层配置!$E$5:$E$104,MATCH($K40,楼层配置!$B$5:$B$104,0)),1)</f>
        <v>1</v>
      </c>
      <c r="AB40" s="4">
        <f>IFERROR(INDEX(楼层配置!$F$5:$F$104,MATCH($K40,楼层配置!$B$5:$B$104,0)),1)</f>
        <v>1</v>
      </c>
      <c r="AC40" s="4">
        <f>IFERROR(INDEX(楼层配置!$G$5:$G$104,MATCH($K40,楼层配置!$B$5:$B$104,0)),1)</f>
        <v>1</v>
      </c>
      <c r="AD40" s="6">
        <f t="shared" si="3"/>
        <v>1.23400278004122</v>
      </c>
      <c r="AE40" s="6">
        <f t="shared" si="4"/>
        <v>0.98359161349134</v>
      </c>
      <c r="AF40" s="6">
        <f t="shared" si="5"/>
        <v>1.39784641541513</v>
      </c>
      <c r="AG40" s="4" t="str">
        <f t="shared" si="6"/>
        <v>有效</v>
      </c>
    </row>
    <row r="41" ht="14.25" customHeight="1" spans="1:33">
      <c r="A41" s="4">
        <v>37</v>
      </c>
      <c r="B41" s="4">
        <v>1011</v>
      </c>
      <c r="C41" s="4">
        <v>14</v>
      </c>
      <c r="D41" s="5">
        <f>IFERROR(ROUND($U41*$X41*$AA41*参数!$B$13,0),"")</f>
        <v>116520</v>
      </c>
      <c r="E41" s="5">
        <f>IFERROR(ROUND($V41*$Y41*$AB41*参数!$C$13,0),"")</f>
        <v>4352</v>
      </c>
      <c r="F41" s="5">
        <f>IFERROR(ROUND($W41*$Z41*$AC41*参数!$D$13,0),"")</f>
        <v>7051</v>
      </c>
      <c r="G41" s="4">
        <v>52158</v>
      </c>
      <c r="H41" s="4">
        <v>2194</v>
      </c>
      <c r="I41" s="4">
        <v>2941</v>
      </c>
      <c r="J41" s="4">
        <v>8</v>
      </c>
      <c r="K41" s="4">
        <v>8</v>
      </c>
      <c r="L41" s="4">
        <f>IFERROR(INDEX(楼层配置!$D$5:$D$104,MATCH($K41,楼层配置!$B$5:$B$104,0)),"")</f>
        <v>86</v>
      </c>
      <c r="M41" s="4" t="str">
        <f>IFERROR(INDEX(_角色基线!$B$2:$B$100,MATCH($B41,_角色基线!$A$2:$A$100,0)),"")</f>
        <v>陈双双</v>
      </c>
      <c r="N41" s="4" t="str">
        <f>IFERROR(INDEX(_角色基线!$C$2:$C$100,MATCH($B41,_角色基线!$A$2:$A$100,0)),"")</f>
        <v>Support</v>
      </c>
      <c r="O41" s="4">
        <f>IFERROR(INDEX(_怪物基线!$B$2:$B$501,MATCH(INT($L41),_怪物基线!$A$2:$A$501,0)),"")</f>
        <v>23304</v>
      </c>
      <c r="P41" s="4">
        <f>IFERROR(INDEX(_怪物基线!$C$2:$C$501,MATCH(INT($L41),_怪物基线!$A$2:$A$501,0)),"")</f>
        <v>3627</v>
      </c>
      <c r="Q41" s="4">
        <f>IFERROR(INDEX(_怪物基线!$D$2:$D$501,MATCH(INT($L41),_怪物基线!$A$2:$A$501,0)),"")</f>
        <v>5641</v>
      </c>
      <c r="R41" s="4">
        <f>参数!$B$10</f>
        <v>4</v>
      </c>
      <c r="S41" s="4">
        <f>参数!$C$10</f>
        <v>1.2</v>
      </c>
      <c r="T41" s="4">
        <f>参数!$D$10</f>
        <v>1</v>
      </c>
      <c r="U41" s="4">
        <f t="shared" si="0"/>
        <v>93216</v>
      </c>
      <c r="V41" s="4">
        <f t="shared" si="1"/>
        <v>4352.4</v>
      </c>
      <c r="W41" s="4">
        <f t="shared" si="2"/>
        <v>5641</v>
      </c>
      <c r="X41" s="4">
        <f>IFERROR(INDEX(参数!$B$5:$B$7,MATCH($N41,参数!$A$5:$A$7,0)),"")</f>
        <v>1.25</v>
      </c>
      <c r="Y41" s="4">
        <f>IFERROR(INDEX(参数!$C$5:$C$7,MATCH($N41,参数!$A$5:$A$7,0)),"")</f>
        <v>1</v>
      </c>
      <c r="Z41" s="4">
        <f>IFERROR(INDEX(参数!$D$5:$D$7,MATCH($N41,参数!$A$5:$A$7,0)),"")</f>
        <v>1.25</v>
      </c>
      <c r="AA41" s="4">
        <f>IFERROR(INDEX(楼层配置!$E$5:$E$104,MATCH($K41,楼层配置!$B$5:$B$104,0)),1)</f>
        <v>1</v>
      </c>
      <c r="AB41" s="4">
        <f>IFERROR(INDEX(楼层配置!$F$5:$F$104,MATCH($K41,楼层配置!$B$5:$B$104,0)),1)</f>
        <v>1</v>
      </c>
      <c r="AC41" s="4">
        <f>IFERROR(INDEX(楼层配置!$G$5:$G$104,MATCH($K41,楼层配置!$B$5:$B$104,0)),1)</f>
        <v>1</v>
      </c>
      <c r="AD41" s="6">
        <f t="shared" si="3"/>
        <v>1.23398136431612</v>
      </c>
      <c r="AE41" s="6">
        <f t="shared" si="4"/>
        <v>0.98359161349134</v>
      </c>
      <c r="AF41" s="6">
        <f t="shared" si="5"/>
        <v>1.39748384903094</v>
      </c>
      <c r="AG41" s="4" t="str">
        <f t="shared" si="6"/>
        <v>有效</v>
      </c>
    </row>
    <row r="42" ht="14.25" customHeight="1" spans="1:33">
      <c r="A42" s="4">
        <v>38</v>
      </c>
      <c r="B42" s="4">
        <v>1015</v>
      </c>
      <c r="C42" s="4">
        <v>14</v>
      </c>
      <c r="D42" s="5">
        <f>IFERROR(ROUND($U42*$X42*$AA42*参数!$B$13,0),"")</f>
        <v>116520</v>
      </c>
      <c r="E42" s="5">
        <f>IFERROR(ROUND($V42*$Y42*$AB42*参数!$C$13,0),"")</f>
        <v>4352</v>
      </c>
      <c r="F42" s="5">
        <f>IFERROR(ROUND($W42*$Z42*$AC42*参数!$D$13,0),"")</f>
        <v>7051</v>
      </c>
      <c r="G42" s="4">
        <v>52158</v>
      </c>
      <c r="H42" s="4">
        <v>2194</v>
      </c>
      <c r="I42" s="4">
        <v>2941</v>
      </c>
      <c r="J42" s="4">
        <v>8</v>
      </c>
      <c r="K42" s="4">
        <v>8</v>
      </c>
      <c r="L42" s="4">
        <f>IFERROR(INDEX(楼层配置!$D$5:$D$104,MATCH($K42,楼层配置!$B$5:$B$104,0)),"")</f>
        <v>86</v>
      </c>
      <c r="M42" s="4" t="str">
        <f>IFERROR(INDEX(_角色基线!$B$2:$B$100,MATCH($B42,_角色基线!$A$2:$A$100,0)),"")</f>
        <v>阿莱克西娅</v>
      </c>
      <c r="N42" s="4" t="str">
        <f>IFERROR(INDEX(_角色基线!$C$2:$C$100,MATCH($B42,_角色基线!$A$2:$A$100,0)),"")</f>
        <v>Support</v>
      </c>
      <c r="O42" s="4">
        <f>IFERROR(INDEX(_怪物基线!$B$2:$B$501,MATCH(INT($L42),_怪物基线!$A$2:$A$501,0)),"")</f>
        <v>23304</v>
      </c>
      <c r="P42" s="4">
        <f>IFERROR(INDEX(_怪物基线!$C$2:$C$501,MATCH(INT($L42),_怪物基线!$A$2:$A$501,0)),"")</f>
        <v>3627</v>
      </c>
      <c r="Q42" s="4">
        <f>IFERROR(INDEX(_怪物基线!$D$2:$D$501,MATCH(INT($L42),_怪物基线!$A$2:$A$501,0)),"")</f>
        <v>5641</v>
      </c>
      <c r="R42" s="4">
        <f>参数!$B$10</f>
        <v>4</v>
      </c>
      <c r="S42" s="4">
        <f>参数!$C$10</f>
        <v>1.2</v>
      </c>
      <c r="T42" s="4">
        <f>参数!$D$10</f>
        <v>1</v>
      </c>
      <c r="U42" s="4">
        <f t="shared" si="0"/>
        <v>93216</v>
      </c>
      <c r="V42" s="4">
        <f t="shared" si="1"/>
        <v>4352.4</v>
      </c>
      <c r="W42" s="4">
        <f t="shared" si="2"/>
        <v>5641</v>
      </c>
      <c r="X42" s="4">
        <f>IFERROR(INDEX(参数!$B$5:$B$7,MATCH($N42,参数!$A$5:$A$7,0)),"")</f>
        <v>1.25</v>
      </c>
      <c r="Y42" s="4">
        <f>IFERROR(INDEX(参数!$C$5:$C$7,MATCH($N42,参数!$A$5:$A$7,0)),"")</f>
        <v>1</v>
      </c>
      <c r="Z42" s="4">
        <f>IFERROR(INDEX(参数!$D$5:$D$7,MATCH($N42,参数!$A$5:$A$7,0)),"")</f>
        <v>1.25</v>
      </c>
      <c r="AA42" s="4">
        <f>IFERROR(INDEX(楼层配置!$E$5:$E$104,MATCH($K42,楼层配置!$B$5:$B$104,0)),1)</f>
        <v>1</v>
      </c>
      <c r="AB42" s="4">
        <f>IFERROR(INDEX(楼层配置!$F$5:$F$104,MATCH($K42,楼层配置!$B$5:$B$104,0)),1)</f>
        <v>1</v>
      </c>
      <c r="AC42" s="4">
        <f>IFERROR(INDEX(楼层配置!$G$5:$G$104,MATCH($K42,楼层配置!$B$5:$B$104,0)),1)</f>
        <v>1</v>
      </c>
      <c r="AD42" s="6">
        <f t="shared" si="3"/>
        <v>1.23398136431612</v>
      </c>
      <c r="AE42" s="6">
        <f t="shared" si="4"/>
        <v>0.98359161349134</v>
      </c>
      <c r="AF42" s="6">
        <f t="shared" si="5"/>
        <v>1.39748384903094</v>
      </c>
      <c r="AG42" s="4" t="str">
        <f t="shared" si="6"/>
        <v>有效</v>
      </c>
    </row>
    <row r="43" ht="14.25" customHeight="1" spans="1:33">
      <c r="A43" s="4">
        <v>39</v>
      </c>
      <c r="B43" s="4">
        <v>1018</v>
      </c>
      <c r="C43" s="4">
        <v>14</v>
      </c>
      <c r="D43" s="5">
        <f>IFERROR(ROUND($U43*$X43*$AA43*参数!$B$13,0),"")</f>
        <v>116520</v>
      </c>
      <c r="E43" s="5">
        <f>IFERROR(ROUND($V43*$Y43*$AB43*参数!$C$13,0),"")</f>
        <v>4352</v>
      </c>
      <c r="F43" s="5">
        <f>IFERROR(ROUND($W43*$Z43*$AC43*参数!$D$13,0),"")</f>
        <v>7051</v>
      </c>
      <c r="G43" s="4">
        <v>52158</v>
      </c>
      <c r="H43" s="4">
        <v>2194</v>
      </c>
      <c r="I43" s="4">
        <v>2941</v>
      </c>
      <c r="J43" s="4">
        <v>8</v>
      </c>
      <c r="K43" s="4">
        <v>8</v>
      </c>
      <c r="L43" s="4">
        <f>IFERROR(INDEX(楼层配置!$D$5:$D$104,MATCH($K43,楼层配置!$B$5:$B$104,0)),"")</f>
        <v>86</v>
      </c>
      <c r="M43" s="4" t="str">
        <f>IFERROR(INDEX(_角色基线!$B$2:$B$100,MATCH($B43,_角色基线!$A$2:$A$100,0)),"")</f>
        <v>埃莉诺</v>
      </c>
      <c r="N43" s="4" t="str">
        <f>IFERROR(INDEX(_角色基线!$C$2:$C$100,MATCH($B43,_角色基线!$A$2:$A$100,0)),"")</f>
        <v>Support</v>
      </c>
      <c r="O43" s="4">
        <f>IFERROR(INDEX(_怪物基线!$B$2:$B$501,MATCH(INT($L43),_怪物基线!$A$2:$A$501,0)),"")</f>
        <v>23304</v>
      </c>
      <c r="P43" s="4">
        <f>IFERROR(INDEX(_怪物基线!$C$2:$C$501,MATCH(INT($L43),_怪物基线!$A$2:$A$501,0)),"")</f>
        <v>3627</v>
      </c>
      <c r="Q43" s="4">
        <f>IFERROR(INDEX(_怪物基线!$D$2:$D$501,MATCH(INT($L43),_怪物基线!$A$2:$A$501,0)),"")</f>
        <v>5641</v>
      </c>
      <c r="R43" s="4">
        <f>参数!$B$10</f>
        <v>4</v>
      </c>
      <c r="S43" s="4">
        <f>参数!$C$10</f>
        <v>1.2</v>
      </c>
      <c r="T43" s="4">
        <f>参数!$D$10</f>
        <v>1</v>
      </c>
      <c r="U43" s="4">
        <f t="shared" si="0"/>
        <v>93216</v>
      </c>
      <c r="V43" s="4">
        <f t="shared" si="1"/>
        <v>4352.4</v>
      </c>
      <c r="W43" s="4">
        <f t="shared" si="2"/>
        <v>5641</v>
      </c>
      <c r="X43" s="4">
        <f>IFERROR(INDEX(参数!$B$5:$B$7,MATCH($N43,参数!$A$5:$A$7,0)),"")</f>
        <v>1.25</v>
      </c>
      <c r="Y43" s="4">
        <f>IFERROR(INDEX(参数!$C$5:$C$7,MATCH($N43,参数!$A$5:$A$7,0)),"")</f>
        <v>1</v>
      </c>
      <c r="Z43" s="4">
        <f>IFERROR(INDEX(参数!$D$5:$D$7,MATCH($N43,参数!$A$5:$A$7,0)),"")</f>
        <v>1.25</v>
      </c>
      <c r="AA43" s="4">
        <f>IFERROR(INDEX(楼层配置!$E$5:$E$104,MATCH($K43,楼层配置!$B$5:$B$104,0)),1)</f>
        <v>1</v>
      </c>
      <c r="AB43" s="4">
        <f>IFERROR(INDEX(楼层配置!$F$5:$F$104,MATCH($K43,楼层配置!$B$5:$B$104,0)),1)</f>
        <v>1</v>
      </c>
      <c r="AC43" s="4">
        <f>IFERROR(INDEX(楼层配置!$G$5:$G$104,MATCH($K43,楼层配置!$B$5:$B$104,0)),1)</f>
        <v>1</v>
      </c>
      <c r="AD43" s="6">
        <f t="shared" si="3"/>
        <v>1.23398136431612</v>
      </c>
      <c r="AE43" s="6">
        <f t="shared" si="4"/>
        <v>0.98359161349134</v>
      </c>
      <c r="AF43" s="6">
        <f t="shared" si="5"/>
        <v>1.39748384903094</v>
      </c>
      <c r="AG43" s="4" t="str">
        <f t="shared" si="6"/>
        <v>有效</v>
      </c>
    </row>
    <row r="44" ht="14.25" customHeight="1" spans="1:33">
      <c r="A44" s="4">
        <v>40</v>
      </c>
      <c r="B44" s="4">
        <v>1040</v>
      </c>
      <c r="C44" s="4">
        <v>14</v>
      </c>
      <c r="D44" s="5">
        <f>IFERROR(ROUND($U44*$X44*$AA44*参数!$B$13,0),"")</f>
        <v>116520</v>
      </c>
      <c r="E44" s="5">
        <f>IFERROR(ROUND($V44*$Y44*$AB44*参数!$C$13,0),"")</f>
        <v>4352</v>
      </c>
      <c r="F44" s="5">
        <f>IFERROR(ROUND($W44*$Z44*$AC44*参数!$D$13,0),"")</f>
        <v>7051</v>
      </c>
      <c r="G44" s="4">
        <v>52158</v>
      </c>
      <c r="H44" s="4">
        <v>2194</v>
      </c>
      <c r="I44" s="4">
        <v>2941</v>
      </c>
      <c r="J44" s="4">
        <v>8</v>
      </c>
      <c r="K44" s="4">
        <v>8</v>
      </c>
      <c r="L44" s="4">
        <f>IFERROR(INDEX(楼层配置!$D$5:$D$104,MATCH($K44,楼层配置!$B$5:$B$104,0)),"")</f>
        <v>86</v>
      </c>
      <c r="M44" s="4" t="str">
        <f>IFERROR(INDEX(_角色基线!$B$2:$B$100,MATCH($B44,_角色基线!$A$2:$A$100,0)),"")</f>
        <v>小寒</v>
      </c>
      <c r="N44" s="4" t="str">
        <f>IFERROR(INDEX(_角色基线!$C$2:$C$100,MATCH($B44,_角色基线!$A$2:$A$100,0)),"")</f>
        <v>Support</v>
      </c>
      <c r="O44" s="4">
        <f>IFERROR(INDEX(_怪物基线!$B$2:$B$501,MATCH(INT($L44),_怪物基线!$A$2:$A$501,0)),"")</f>
        <v>23304</v>
      </c>
      <c r="P44" s="4">
        <f>IFERROR(INDEX(_怪物基线!$C$2:$C$501,MATCH(INT($L44),_怪物基线!$A$2:$A$501,0)),"")</f>
        <v>3627</v>
      </c>
      <c r="Q44" s="4">
        <f>IFERROR(INDEX(_怪物基线!$D$2:$D$501,MATCH(INT($L44),_怪物基线!$A$2:$A$501,0)),"")</f>
        <v>5641</v>
      </c>
      <c r="R44" s="4">
        <f>参数!$B$10</f>
        <v>4</v>
      </c>
      <c r="S44" s="4">
        <f>参数!$C$10</f>
        <v>1.2</v>
      </c>
      <c r="T44" s="4">
        <f>参数!$D$10</f>
        <v>1</v>
      </c>
      <c r="U44" s="4">
        <f t="shared" si="0"/>
        <v>93216</v>
      </c>
      <c r="V44" s="4">
        <f t="shared" si="1"/>
        <v>4352.4</v>
      </c>
      <c r="W44" s="4">
        <f t="shared" si="2"/>
        <v>5641</v>
      </c>
      <c r="X44" s="4">
        <f>IFERROR(INDEX(参数!$B$5:$B$7,MATCH($N44,参数!$A$5:$A$7,0)),"")</f>
        <v>1.25</v>
      </c>
      <c r="Y44" s="4">
        <f>IFERROR(INDEX(参数!$C$5:$C$7,MATCH($N44,参数!$A$5:$A$7,0)),"")</f>
        <v>1</v>
      </c>
      <c r="Z44" s="4">
        <f>IFERROR(INDEX(参数!$D$5:$D$7,MATCH($N44,参数!$A$5:$A$7,0)),"")</f>
        <v>1.25</v>
      </c>
      <c r="AA44" s="4">
        <f>IFERROR(INDEX(楼层配置!$E$5:$E$104,MATCH($K44,楼层配置!$B$5:$B$104,0)),1)</f>
        <v>1</v>
      </c>
      <c r="AB44" s="4">
        <f>IFERROR(INDEX(楼层配置!$F$5:$F$104,MATCH($K44,楼层配置!$B$5:$B$104,0)),1)</f>
        <v>1</v>
      </c>
      <c r="AC44" s="4">
        <f>IFERROR(INDEX(楼层配置!$G$5:$G$104,MATCH($K44,楼层配置!$B$5:$B$104,0)),1)</f>
        <v>1</v>
      </c>
      <c r="AD44" s="6">
        <f t="shared" si="3"/>
        <v>1.23398136431612</v>
      </c>
      <c r="AE44" s="6">
        <f t="shared" si="4"/>
        <v>0.98359161349134</v>
      </c>
      <c r="AF44" s="6">
        <f t="shared" si="5"/>
        <v>1.39748384903094</v>
      </c>
      <c r="AG44" s="4" t="str">
        <f t="shared" si="6"/>
        <v>有效</v>
      </c>
    </row>
    <row r="45" ht="14.25" customHeight="1" spans="1:33">
      <c r="A45" s="4">
        <v>41</v>
      </c>
      <c r="B45" s="4">
        <v>1038</v>
      </c>
      <c r="C45" s="4">
        <v>14</v>
      </c>
      <c r="D45" s="5">
        <f>IFERROR(ROUND($U45*$X45*$AA45*参数!$B$13,0),"")</f>
        <v>161562</v>
      </c>
      <c r="E45" s="5">
        <f>IFERROR(ROUND($V45*$Y45*$AB45*参数!$C$13,0),"")</f>
        <v>4798</v>
      </c>
      <c r="F45" s="5">
        <f>IFERROR(ROUND($W45*$Z45*$AC45*参数!$D$13,0),"")</f>
        <v>9263</v>
      </c>
      <c r="G45" s="4">
        <v>71092</v>
      </c>
      <c r="H45" s="4">
        <v>2402</v>
      </c>
      <c r="I45" s="4">
        <v>3852</v>
      </c>
      <c r="J45" s="4">
        <v>9</v>
      </c>
      <c r="K45" s="4">
        <v>9</v>
      </c>
      <c r="L45" s="4">
        <f>IFERROR(INDEX(楼层配置!$D$5:$D$104,MATCH($K45,楼层配置!$B$5:$B$104,0)),"")</f>
        <v>93</v>
      </c>
      <c r="M45" s="4" t="str">
        <f>IFERROR(INDEX(_角色基线!$B$2:$B$100,MATCH($B45,_角色基线!$A$2:$A$100,0)),"")</f>
        <v>商队战斗员</v>
      </c>
      <c r="N45" s="4" t="str">
        <f>IFERROR(INDEX(_角色基线!$C$2:$C$100,MATCH($B45,_角色基线!$A$2:$A$100,0)),"")</f>
        <v>Tank</v>
      </c>
      <c r="O45" s="4">
        <f>IFERROR(INDEX(_怪物基线!$B$2:$B$501,MATCH(INT($L45),_怪物基线!$A$2:$A$501,0)),"")</f>
        <v>26927</v>
      </c>
      <c r="P45" s="4">
        <f>IFERROR(INDEX(_怪物基线!$C$2:$C$501,MATCH(INT($L45),_怪物基线!$A$2:$A$501,0)),"")</f>
        <v>3998</v>
      </c>
      <c r="Q45" s="4">
        <f>IFERROR(INDEX(_怪物基线!$D$2:$D$501,MATCH(INT($L45),_怪物基线!$A$2:$A$501,0)),"")</f>
        <v>6175</v>
      </c>
      <c r="R45" s="4">
        <f>参数!$B$10</f>
        <v>4</v>
      </c>
      <c r="S45" s="4">
        <f>参数!$C$10</f>
        <v>1.2</v>
      </c>
      <c r="T45" s="4">
        <f>参数!$D$10</f>
        <v>1</v>
      </c>
      <c r="U45" s="4">
        <f t="shared" si="0"/>
        <v>107708</v>
      </c>
      <c r="V45" s="4">
        <f t="shared" si="1"/>
        <v>4797.6</v>
      </c>
      <c r="W45" s="4">
        <f t="shared" si="2"/>
        <v>6175</v>
      </c>
      <c r="X45" s="4">
        <f>IFERROR(INDEX(参数!$B$5:$B$7,MATCH($N45,参数!$A$5:$A$7,0)),"")</f>
        <v>1.5</v>
      </c>
      <c r="Y45" s="4">
        <f>IFERROR(INDEX(参数!$C$5:$C$7,MATCH($N45,参数!$A$5:$A$7,0)),"")</f>
        <v>1</v>
      </c>
      <c r="Z45" s="4">
        <f>IFERROR(INDEX(参数!$D$5:$D$7,MATCH($N45,参数!$A$5:$A$7,0)),"")</f>
        <v>1.5</v>
      </c>
      <c r="AA45" s="4">
        <f>IFERROR(INDEX(楼层配置!$E$5:$E$104,MATCH($K45,楼层配置!$B$5:$B$104,0)),1)</f>
        <v>1</v>
      </c>
      <c r="AB45" s="4">
        <f>IFERROR(INDEX(楼层配置!$F$5:$F$104,MATCH($K45,楼层配置!$B$5:$B$104,0)),1)</f>
        <v>1</v>
      </c>
      <c r="AC45" s="4">
        <f>IFERROR(INDEX(楼层配置!$G$5:$G$104,MATCH($K45,楼层配置!$B$5:$B$104,0)),1)</f>
        <v>1</v>
      </c>
      <c r="AD45" s="6">
        <f t="shared" si="3"/>
        <v>1.2725763799021</v>
      </c>
      <c r="AE45" s="6">
        <f t="shared" si="4"/>
        <v>0.997502081598668</v>
      </c>
      <c r="AF45" s="6">
        <f t="shared" si="5"/>
        <v>1.40472481827622</v>
      </c>
      <c r="AG45" s="4" t="str">
        <f t="shared" si="6"/>
        <v>有效</v>
      </c>
    </row>
    <row r="46" ht="14.25" customHeight="1" spans="1:33">
      <c r="A46" s="4">
        <v>42</v>
      </c>
      <c r="B46" s="4">
        <v>1039</v>
      </c>
      <c r="C46" s="4">
        <v>14</v>
      </c>
      <c r="D46" s="5">
        <f>IFERROR(ROUND($U46*$X46*$AA46*参数!$B$13,0),"")</f>
        <v>107708</v>
      </c>
      <c r="E46" s="5">
        <f>IFERROR(ROUND($V46*$Y46*$AB46*参数!$C$13,0),"")</f>
        <v>5757</v>
      </c>
      <c r="F46" s="5">
        <f>IFERROR(ROUND($W46*$Z46*$AC46*参数!$D$13,0),"")</f>
        <v>6175</v>
      </c>
      <c r="G46" s="4">
        <v>47395</v>
      </c>
      <c r="H46" s="4">
        <v>2882</v>
      </c>
      <c r="I46" s="4">
        <v>2568</v>
      </c>
      <c r="J46" s="4">
        <v>9</v>
      </c>
      <c r="K46" s="4">
        <v>9</v>
      </c>
      <c r="L46" s="4">
        <f>IFERROR(INDEX(楼层配置!$D$5:$D$104,MATCH($K46,楼层配置!$B$5:$B$104,0)),"")</f>
        <v>93</v>
      </c>
      <c r="M46" s="4" t="str">
        <f>IFERROR(INDEX(_角色基线!$B$2:$B$100,MATCH($B46,_角色基线!$A$2:$A$100,0)),"")</f>
        <v>商队枪手</v>
      </c>
      <c r="N46" s="4" t="str">
        <f>IFERROR(INDEX(_角色基线!$C$2:$C$100,MATCH($B46,_角色基线!$A$2:$A$100,0)),"")</f>
        <v>DPS</v>
      </c>
      <c r="O46" s="4">
        <f>IFERROR(INDEX(_怪物基线!$B$2:$B$501,MATCH(INT($L46),_怪物基线!$A$2:$A$501,0)),"")</f>
        <v>26927</v>
      </c>
      <c r="P46" s="4">
        <f>IFERROR(INDEX(_怪物基线!$C$2:$C$501,MATCH(INT($L46),_怪物基线!$A$2:$A$501,0)),"")</f>
        <v>3998</v>
      </c>
      <c r="Q46" s="4">
        <f>IFERROR(INDEX(_怪物基线!$D$2:$D$501,MATCH(INT($L46),_怪物基线!$A$2:$A$501,0)),"")</f>
        <v>6175</v>
      </c>
      <c r="R46" s="4">
        <f>参数!$B$10</f>
        <v>4</v>
      </c>
      <c r="S46" s="4">
        <f>参数!$C$10</f>
        <v>1.2</v>
      </c>
      <c r="T46" s="4">
        <f>参数!$D$10</f>
        <v>1</v>
      </c>
      <c r="U46" s="4">
        <f t="shared" si="0"/>
        <v>107708</v>
      </c>
      <c r="V46" s="4">
        <f t="shared" si="1"/>
        <v>4797.6</v>
      </c>
      <c r="W46" s="4">
        <f t="shared" si="2"/>
        <v>6175</v>
      </c>
      <c r="X46" s="4">
        <f>IFERROR(INDEX(参数!$B$5:$B$7,MATCH($N46,参数!$A$5:$A$7,0)),"")</f>
        <v>1</v>
      </c>
      <c r="Y46" s="4">
        <f>IFERROR(INDEX(参数!$C$5:$C$7,MATCH($N46,参数!$A$5:$A$7,0)),"")</f>
        <v>1.2</v>
      </c>
      <c r="Z46" s="4">
        <f>IFERROR(INDEX(参数!$D$5:$D$7,MATCH($N46,参数!$A$5:$A$7,0)),"")</f>
        <v>1</v>
      </c>
      <c r="AA46" s="4">
        <f>IFERROR(INDEX(楼层配置!$E$5:$E$104,MATCH($K46,楼层配置!$B$5:$B$104,0)),1)</f>
        <v>1</v>
      </c>
      <c r="AB46" s="4">
        <f>IFERROR(INDEX(楼层配置!$F$5:$F$104,MATCH($K46,楼层配置!$B$5:$B$104,0)),1)</f>
        <v>1</v>
      </c>
      <c r="AC46" s="4">
        <f>IFERROR(INDEX(楼层配置!$G$5:$G$104,MATCH($K46,楼层配置!$B$5:$B$104,0)),1)</f>
        <v>1</v>
      </c>
      <c r="AD46" s="6">
        <f t="shared" si="3"/>
        <v>1.27256039666631</v>
      </c>
      <c r="AE46" s="6">
        <f t="shared" si="4"/>
        <v>0.997571131158917</v>
      </c>
      <c r="AF46" s="6">
        <f t="shared" si="5"/>
        <v>1.40459501557632</v>
      </c>
      <c r="AG46" s="4" t="str">
        <f t="shared" si="6"/>
        <v>有效</v>
      </c>
    </row>
    <row r="47" ht="14.25" customHeight="1" spans="1:33">
      <c r="A47" s="4">
        <v>43</v>
      </c>
      <c r="B47" s="4">
        <v>1020</v>
      </c>
      <c r="C47" s="4">
        <v>14</v>
      </c>
      <c r="D47" s="5">
        <f>IFERROR(ROUND($U47*$X47*$AA47*参数!$B$13,0),"")</f>
        <v>134635</v>
      </c>
      <c r="E47" s="5">
        <f>IFERROR(ROUND($V47*$Y47*$AB47*参数!$C$13,0),"")</f>
        <v>4798</v>
      </c>
      <c r="F47" s="5">
        <f>IFERROR(ROUND($W47*$Z47*$AC47*参数!$D$13,0),"")</f>
        <v>7719</v>
      </c>
      <c r="G47" s="4">
        <v>59244</v>
      </c>
      <c r="H47" s="4">
        <v>2402</v>
      </c>
      <c r="I47" s="4">
        <v>3210</v>
      </c>
      <c r="J47" s="4">
        <v>9</v>
      </c>
      <c r="K47" s="4">
        <v>9</v>
      </c>
      <c r="L47" s="4">
        <f>IFERROR(INDEX(楼层配置!$D$5:$D$104,MATCH($K47,楼层配置!$B$5:$B$104,0)),"")</f>
        <v>93</v>
      </c>
      <c r="M47" s="4" t="str">
        <f>IFERROR(INDEX(_角色基线!$B$2:$B$100,MATCH($B47,_角色基线!$A$2:$A$100,0)),"")</f>
        <v>卡斯帕</v>
      </c>
      <c r="N47" s="4" t="str">
        <f>IFERROR(INDEX(_角色基线!$C$2:$C$100,MATCH($B47,_角色基线!$A$2:$A$100,0)),"")</f>
        <v>Support</v>
      </c>
      <c r="O47" s="4">
        <f>IFERROR(INDEX(_怪物基线!$B$2:$B$501,MATCH(INT($L47),_怪物基线!$A$2:$A$501,0)),"")</f>
        <v>26927</v>
      </c>
      <c r="P47" s="4">
        <f>IFERROR(INDEX(_怪物基线!$C$2:$C$501,MATCH(INT($L47),_怪物基线!$A$2:$A$501,0)),"")</f>
        <v>3998</v>
      </c>
      <c r="Q47" s="4">
        <f>IFERROR(INDEX(_怪物基线!$D$2:$D$501,MATCH(INT($L47),_怪物基线!$A$2:$A$501,0)),"")</f>
        <v>6175</v>
      </c>
      <c r="R47" s="4">
        <f>参数!$B$10</f>
        <v>4</v>
      </c>
      <c r="S47" s="4">
        <f>参数!$C$10</f>
        <v>1.2</v>
      </c>
      <c r="T47" s="4">
        <f>参数!$D$10</f>
        <v>1</v>
      </c>
      <c r="U47" s="4">
        <f t="shared" si="0"/>
        <v>107708</v>
      </c>
      <c r="V47" s="4">
        <f t="shared" si="1"/>
        <v>4797.6</v>
      </c>
      <c r="W47" s="4">
        <f t="shared" si="2"/>
        <v>6175</v>
      </c>
      <c r="X47" s="4">
        <f>IFERROR(INDEX(参数!$B$5:$B$7,MATCH($N47,参数!$A$5:$A$7,0)),"")</f>
        <v>1.25</v>
      </c>
      <c r="Y47" s="4">
        <f>IFERROR(INDEX(参数!$C$5:$C$7,MATCH($N47,参数!$A$5:$A$7,0)),"")</f>
        <v>1</v>
      </c>
      <c r="Z47" s="4">
        <f>IFERROR(INDEX(参数!$D$5:$D$7,MATCH($N47,参数!$A$5:$A$7,0)),"")</f>
        <v>1.25</v>
      </c>
      <c r="AA47" s="4">
        <f>IFERROR(INDEX(楼层配置!$E$5:$E$104,MATCH($K47,楼层配置!$B$5:$B$104,0)),1)</f>
        <v>1</v>
      </c>
      <c r="AB47" s="4">
        <f>IFERROR(INDEX(楼层配置!$F$5:$F$104,MATCH($K47,楼层配置!$B$5:$B$104,0)),1)</f>
        <v>1</v>
      </c>
      <c r="AC47" s="4">
        <f>IFERROR(INDEX(楼层配置!$G$5:$G$104,MATCH($K47,楼层配置!$B$5:$B$104,0)),1)</f>
        <v>1</v>
      </c>
      <c r="AD47" s="6">
        <f t="shared" si="3"/>
        <v>1.27255080683276</v>
      </c>
      <c r="AE47" s="6">
        <f t="shared" si="4"/>
        <v>0.997502081598668</v>
      </c>
      <c r="AF47" s="6">
        <f t="shared" si="5"/>
        <v>1.40467289719626</v>
      </c>
      <c r="AG47" s="4" t="str">
        <f t="shared" si="6"/>
        <v>有效</v>
      </c>
    </row>
    <row r="48" ht="14.25" customHeight="1" spans="1:33">
      <c r="A48" s="4">
        <v>44</v>
      </c>
      <c r="B48" s="4">
        <v>1023</v>
      </c>
      <c r="C48" s="4">
        <v>14</v>
      </c>
      <c r="D48" s="5">
        <f>IFERROR(ROUND($U48*$X48*$AA48*参数!$B$13,0),"")</f>
        <v>134635</v>
      </c>
      <c r="E48" s="5">
        <f>IFERROR(ROUND($V48*$Y48*$AB48*参数!$C$13,0),"")</f>
        <v>4798</v>
      </c>
      <c r="F48" s="5">
        <f>IFERROR(ROUND($W48*$Z48*$AC48*参数!$D$13,0),"")</f>
        <v>7719</v>
      </c>
      <c r="G48" s="4">
        <v>59244</v>
      </c>
      <c r="H48" s="4">
        <v>2402</v>
      </c>
      <c r="I48" s="4">
        <v>3210</v>
      </c>
      <c r="J48" s="4">
        <v>9</v>
      </c>
      <c r="K48" s="4">
        <v>9</v>
      </c>
      <c r="L48" s="4">
        <f>IFERROR(INDEX(楼层配置!$D$5:$D$104,MATCH($K48,楼层配置!$B$5:$B$104,0)),"")</f>
        <v>93</v>
      </c>
      <c r="M48" s="4" t="str">
        <f>IFERROR(INDEX(_角色基线!$B$2:$B$100,MATCH($B48,_角色基线!$A$2:$A$100,0)),"")</f>
        <v>马克</v>
      </c>
      <c r="N48" s="4" t="str">
        <f>IFERROR(INDEX(_角色基线!$C$2:$C$100,MATCH($B48,_角色基线!$A$2:$A$100,0)),"")</f>
        <v>Support</v>
      </c>
      <c r="O48" s="4">
        <f>IFERROR(INDEX(_怪物基线!$B$2:$B$501,MATCH(INT($L48),_怪物基线!$A$2:$A$501,0)),"")</f>
        <v>26927</v>
      </c>
      <c r="P48" s="4">
        <f>IFERROR(INDEX(_怪物基线!$C$2:$C$501,MATCH(INT($L48),_怪物基线!$A$2:$A$501,0)),"")</f>
        <v>3998</v>
      </c>
      <c r="Q48" s="4">
        <f>IFERROR(INDEX(_怪物基线!$D$2:$D$501,MATCH(INT($L48),_怪物基线!$A$2:$A$501,0)),"")</f>
        <v>6175</v>
      </c>
      <c r="R48" s="4">
        <f>参数!$B$10</f>
        <v>4</v>
      </c>
      <c r="S48" s="4">
        <f>参数!$C$10</f>
        <v>1.2</v>
      </c>
      <c r="T48" s="4">
        <f>参数!$D$10</f>
        <v>1</v>
      </c>
      <c r="U48" s="4">
        <f t="shared" si="0"/>
        <v>107708</v>
      </c>
      <c r="V48" s="4">
        <f t="shared" si="1"/>
        <v>4797.6</v>
      </c>
      <c r="W48" s="4">
        <f t="shared" si="2"/>
        <v>6175</v>
      </c>
      <c r="X48" s="4">
        <f>IFERROR(INDEX(参数!$B$5:$B$7,MATCH($N48,参数!$A$5:$A$7,0)),"")</f>
        <v>1.25</v>
      </c>
      <c r="Y48" s="4">
        <f>IFERROR(INDEX(参数!$C$5:$C$7,MATCH($N48,参数!$A$5:$A$7,0)),"")</f>
        <v>1</v>
      </c>
      <c r="Z48" s="4">
        <f>IFERROR(INDEX(参数!$D$5:$D$7,MATCH($N48,参数!$A$5:$A$7,0)),"")</f>
        <v>1.25</v>
      </c>
      <c r="AA48" s="4">
        <f>IFERROR(INDEX(楼层配置!$E$5:$E$104,MATCH($K48,楼层配置!$B$5:$B$104,0)),1)</f>
        <v>1</v>
      </c>
      <c r="AB48" s="4">
        <f>IFERROR(INDEX(楼层配置!$F$5:$F$104,MATCH($K48,楼层配置!$B$5:$B$104,0)),1)</f>
        <v>1</v>
      </c>
      <c r="AC48" s="4">
        <f>IFERROR(INDEX(楼层配置!$G$5:$G$104,MATCH($K48,楼层配置!$B$5:$B$104,0)),1)</f>
        <v>1</v>
      </c>
      <c r="AD48" s="6">
        <f t="shared" si="3"/>
        <v>1.27255080683276</v>
      </c>
      <c r="AE48" s="6">
        <f t="shared" si="4"/>
        <v>0.997502081598668</v>
      </c>
      <c r="AF48" s="6">
        <f t="shared" si="5"/>
        <v>1.40467289719626</v>
      </c>
      <c r="AG48" s="4" t="str">
        <f t="shared" si="6"/>
        <v>有效</v>
      </c>
    </row>
    <row r="49" ht="14.25" customHeight="1" spans="1:33">
      <c r="A49" s="4">
        <v>45</v>
      </c>
      <c r="B49" s="4">
        <v>1024</v>
      </c>
      <c r="C49" s="4">
        <v>14</v>
      </c>
      <c r="D49" s="5">
        <f>IFERROR(ROUND($U49*$X49*$AA49*参数!$B$13,0),"")</f>
        <v>107708</v>
      </c>
      <c r="E49" s="5">
        <f>IFERROR(ROUND($V49*$Y49*$AB49*参数!$C$13,0),"")</f>
        <v>5757</v>
      </c>
      <c r="F49" s="5">
        <f>IFERROR(ROUND($W49*$Z49*$AC49*参数!$D$13,0),"")</f>
        <v>6175</v>
      </c>
      <c r="G49" s="4">
        <v>47395</v>
      </c>
      <c r="H49" s="4">
        <v>2882</v>
      </c>
      <c r="I49" s="4">
        <v>2568</v>
      </c>
      <c r="J49" s="4">
        <v>9</v>
      </c>
      <c r="K49" s="4">
        <v>9</v>
      </c>
      <c r="L49" s="4">
        <f>IFERROR(INDEX(楼层配置!$D$5:$D$104,MATCH($K49,楼层配置!$B$5:$B$104,0)),"")</f>
        <v>93</v>
      </c>
      <c r="M49" s="4" t="str">
        <f>IFERROR(INDEX(_角色基线!$B$2:$B$100,MATCH($B49,_角色基线!$A$2:$A$100,0)),"")</f>
        <v>卡薇</v>
      </c>
      <c r="N49" s="4" t="str">
        <f>IFERROR(INDEX(_角色基线!$C$2:$C$100,MATCH($B49,_角色基线!$A$2:$A$100,0)),"")</f>
        <v>DPS</v>
      </c>
      <c r="O49" s="4">
        <f>IFERROR(INDEX(_怪物基线!$B$2:$B$501,MATCH(INT($L49),_怪物基线!$A$2:$A$501,0)),"")</f>
        <v>26927</v>
      </c>
      <c r="P49" s="4">
        <f>IFERROR(INDEX(_怪物基线!$C$2:$C$501,MATCH(INT($L49),_怪物基线!$A$2:$A$501,0)),"")</f>
        <v>3998</v>
      </c>
      <c r="Q49" s="4">
        <f>IFERROR(INDEX(_怪物基线!$D$2:$D$501,MATCH(INT($L49),_怪物基线!$A$2:$A$501,0)),"")</f>
        <v>6175</v>
      </c>
      <c r="R49" s="4">
        <f>参数!$B$10</f>
        <v>4</v>
      </c>
      <c r="S49" s="4">
        <f>参数!$C$10</f>
        <v>1.2</v>
      </c>
      <c r="T49" s="4">
        <f>参数!$D$10</f>
        <v>1</v>
      </c>
      <c r="U49" s="4">
        <f t="shared" si="0"/>
        <v>107708</v>
      </c>
      <c r="V49" s="4">
        <f t="shared" si="1"/>
        <v>4797.6</v>
      </c>
      <c r="W49" s="4">
        <f t="shared" si="2"/>
        <v>6175</v>
      </c>
      <c r="X49" s="4">
        <f>IFERROR(INDEX(参数!$B$5:$B$7,MATCH($N49,参数!$A$5:$A$7,0)),"")</f>
        <v>1</v>
      </c>
      <c r="Y49" s="4">
        <f>IFERROR(INDEX(参数!$C$5:$C$7,MATCH($N49,参数!$A$5:$A$7,0)),"")</f>
        <v>1.2</v>
      </c>
      <c r="Z49" s="4">
        <f>IFERROR(INDEX(参数!$D$5:$D$7,MATCH($N49,参数!$A$5:$A$7,0)),"")</f>
        <v>1</v>
      </c>
      <c r="AA49" s="4">
        <f>IFERROR(INDEX(楼层配置!$E$5:$E$104,MATCH($K49,楼层配置!$B$5:$B$104,0)),1)</f>
        <v>1</v>
      </c>
      <c r="AB49" s="4">
        <f>IFERROR(INDEX(楼层配置!$F$5:$F$104,MATCH($K49,楼层配置!$B$5:$B$104,0)),1)</f>
        <v>1</v>
      </c>
      <c r="AC49" s="4">
        <f>IFERROR(INDEX(楼层配置!$G$5:$G$104,MATCH($K49,楼层配置!$B$5:$B$104,0)),1)</f>
        <v>1</v>
      </c>
      <c r="AD49" s="6">
        <f t="shared" si="3"/>
        <v>1.27256039666631</v>
      </c>
      <c r="AE49" s="6">
        <f t="shared" si="4"/>
        <v>0.997571131158917</v>
      </c>
      <c r="AF49" s="6">
        <f t="shared" si="5"/>
        <v>1.40459501557632</v>
      </c>
      <c r="AG49" s="4" t="str">
        <f t="shared" si="6"/>
        <v>有效</v>
      </c>
    </row>
    <row r="50" ht="14.25" customHeight="1" spans="1:33">
      <c r="A50" s="4">
        <v>46</v>
      </c>
      <c r="B50" s="4">
        <v>1007</v>
      </c>
      <c r="C50" s="4">
        <v>15</v>
      </c>
      <c r="D50" s="5">
        <f>IFERROR(ROUND($U50*$X50*$AA50*参数!$B$13,0),"")</f>
        <v>154420</v>
      </c>
      <c r="E50" s="5">
        <f>IFERROR(ROUND($V50*$Y50*$AB50*参数!$C$13,0),"")</f>
        <v>5257</v>
      </c>
      <c r="F50" s="5">
        <f>IFERROR(ROUND($W50*$Z50*$AC50*参数!$D$13,0),"")</f>
        <v>8399</v>
      </c>
      <c r="G50" s="4">
        <v>66792</v>
      </c>
      <c r="H50" s="4">
        <v>2615</v>
      </c>
      <c r="I50" s="4">
        <v>3482</v>
      </c>
      <c r="J50" s="4">
        <v>10</v>
      </c>
      <c r="K50" s="4">
        <v>10</v>
      </c>
      <c r="L50" s="4">
        <f>IFERROR(INDEX(楼层配置!$D$5:$D$104,MATCH($K50,楼层配置!$B$5:$B$104,0)),"")</f>
        <v>100</v>
      </c>
      <c r="M50" s="4" t="str">
        <f>IFERROR(INDEX(_角色基线!$B$2:$B$100,MATCH($B50,_角色基线!$A$2:$A$100,0)),"")</f>
        <v>萨萨莉安</v>
      </c>
      <c r="N50" s="4" t="str">
        <f>IFERROR(INDEX(_角色基线!$C$2:$C$100,MATCH($B50,_角色基线!$A$2:$A$100,0)),"")</f>
        <v>Support</v>
      </c>
      <c r="O50" s="4">
        <f>IFERROR(INDEX(_怪物基线!$B$2:$B$501,MATCH(INT($L50),_怪物基线!$A$2:$A$501,0)),"")</f>
        <v>30884</v>
      </c>
      <c r="P50" s="4">
        <f>IFERROR(INDEX(_怪物基线!$C$2:$C$501,MATCH(INT($L50),_怪物基线!$A$2:$A$501,0)),"")</f>
        <v>4381</v>
      </c>
      <c r="Q50" s="4">
        <f>IFERROR(INDEX(_怪物基线!$D$2:$D$501,MATCH(INT($L50),_怪物基线!$A$2:$A$501,0)),"")</f>
        <v>6719</v>
      </c>
      <c r="R50" s="4">
        <f>参数!$B$10</f>
        <v>4</v>
      </c>
      <c r="S50" s="4">
        <f>参数!$C$10</f>
        <v>1.2</v>
      </c>
      <c r="T50" s="4">
        <f>参数!$D$10</f>
        <v>1</v>
      </c>
      <c r="U50" s="4">
        <f t="shared" si="0"/>
        <v>123536</v>
      </c>
      <c r="V50" s="4">
        <f t="shared" si="1"/>
        <v>5257.2</v>
      </c>
      <c r="W50" s="4">
        <f t="shared" si="2"/>
        <v>6719</v>
      </c>
      <c r="X50" s="4">
        <f>IFERROR(INDEX(参数!$B$5:$B$7,MATCH($N50,参数!$A$5:$A$7,0)),"")</f>
        <v>1.25</v>
      </c>
      <c r="Y50" s="4">
        <f>IFERROR(INDEX(参数!$C$5:$C$7,MATCH($N50,参数!$A$5:$A$7,0)),"")</f>
        <v>1</v>
      </c>
      <c r="Z50" s="4">
        <f>IFERROR(INDEX(参数!$D$5:$D$7,MATCH($N50,参数!$A$5:$A$7,0)),"")</f>
        <v>1.25</v>
      </c>
      <c r="AA50" s="4">
        <f>IFERROR(INDEX(楼层配置!$E$5:$E$104,MATCH($K50,楼层配置!$B$5:$B$104,0)),1)</f>
        <v>1</v>
      </c>
      <c r="AB50" s="4">
        <f>IFERROR(INDEX(楼层配置!$F$5:$F$104,MATCH($K50,楼层配置!$B$5:$B$104,0)),1)</f>
        <v>1</v>
      </c>
      <c r="AC50" s="4">
        <f>IFERROR(INDEX(楼层配置!$G$5:$G$104,MATCH($K50,楼层配置!$B$5:$B$104,0)),1)</f>
        <v>1</v>
      </c>
      <c r="AD50" s="6">
        <f t="shared" si="3"/>
        <v>1.31195352736855</v>
      </c>
      <c r="AE50" s="6">
        <f t="shared" si="4"/>
        <v>1.01032504780115</v>
      </c>
      <c r="AF50" s="6">
        <f t="shared" si="5"/>
        <v>1.41211947156806</v>
      </c>
      <c r="AG50" s="4" t="str">
        <f t="shared" si="6"/>
        <v>有效</v>
      </c>
    </row>
    <row r="51" ht="14.25" customHeight="1" spans="1:33">
      <c r="A51" s="4">
        <v>47</v>
      </c>
      <c r="B51" s="4">
        <v>1005</v>
      </c>
      <c r="C51" s="4">
        <v>15</v>
      </c>
      <c r="D51" s="5">
        <f>IFERROR(ROUND($U51*$X51*$AA51*参数!$B$13,0),"")</f>
        <v>123536</v>
      </c>
      <c r="E51" s="5">
        <f>IFERROR(ROUND($V51*$Y51*$AB51*参数!$C$13,0),"")</f>
        <v>6309</v>
      </c>
      <c r="F51" s="5">
        <f>IFERROR(ROUND($W51*$Z51*$AC51*参数!$D$13,0),"")</f>
        <v>6719</v>
      </c>
      <c r="G51" s="4">
        <v>53433</v>
      </c>
      <c r="H51" s="4">
        <v>3138</v>
      </c>
      <c r="I51" s="4">
        <v>2785</v>
      </c>
      <c r="J51" s="4">
        <v>10</v>
      </c>
      <c r="K51" s="4">
        <v>10</v>
      </c>
      <c r="L51" s="4">
        <f>IFERROR(INDEX(楼层配置!$D$5:$D$104,MATCH($K51,楼层配置!$B$5:$B$104,0)),"")</f>
        <v>100</v>
      </c>
      <c r="M51" s="4" t="str">
        <f>IFERROR(INDEX(_角色基线!$B$2:$B$100,MATCH($B51,_角色基线!$A$2:$A$100,0)),"")</f>
        <v>陈单单</v>
      </c>
      <c r="N51" s="4" t="str">
        <f>IFERROR(INDEX(_角色基线!$C$2:$C$100,MATCH($B51,_角色基线!$A$2:$A$100,0)),"")</f>
        <v>DPS</v>
      </c>
      <c r="O51" s="4">
        <f>IFERROR(INDEX(_怪物基线!$B$2:$B$501,MATCH(INT($L51),_怪物基线!$A$2:$A$501,0)),"")</f>
        <v>30884</v>
      </c>
      <c r="P51" s="4">
        <f>IFERROR(INDEX(_怪物基线!$C$2:$C$501,MATCH(INT($L51),_怪物基线!$A$2:$A$501,0)),"")</f>
        <v>4381</v>
      </c>
      <c r="Q51" s="4">
        <f>IFERROR(INDEX(_怪物基线!$D$2:$D$501,MATCH(INT($L51),_怪物基线!$A$2:$A$501,0)),"")</f>
        <v>6719</v>
      </c>
      <c r="R51" s="4">
        <f>参数!$B$10</f>
        <v>4</v>
      </c>
      <c r="S51" s="4">
        <f>参数!$C$10</f>
        <v>1.2</v>
      </c>
      <c r="T51" s="4">
        <f>参数!$D$10</f>
        <v>1</v>
      </c>
      <c r="U51" s="4">
        <f t="shared" si="0"/>
        <v>123536</v>
      </c>
      <c r="V51" s="4">
        <f t="shared" si="1"/>
        <v>5257.2</v>
      </c>
      <c r="W51" s="4">
        <f t="shared" si="2"/>
        <v>6719</v>
      </c>
      <c r="X51" s="4">
        <f>IFERROR(INDEX(参数!$B$5:$B$7,MATCH($N51,参数!$A$5:$A$7,0)),"")</f>
        <v>1</v>
      </c>
      <c r="Y51" s="4">
        <f>IFERROR(INDEX(参数!$C$5:$C$7,MATCH($N51,参数!$A$5:$A$7,0)),"")</f>
        <v>1.2</v>
      </c>
      <c r="Z51" s="4">
        <f>IFERROR(INDEX(参数!$D$5:$D$7,MATCH($N51,参数!$A$5:$A$7,0)),"")</f>
        <v>1</v>
      </c>
      <c r="AA51" s="4">
        <f>IFERROR(INDEX(楼层配置!$E$5:$E$104,MATCH($K51,楼层配置!$B$5:$B$104,0)),1)</f>
        <v>1</v>
      </c>
      <c r="AB51" s="4">
        <f>IFERROR(INDEX(楼层配置!$F$5:$F$104,MATCH($K51,楼层配置!$B$5:$B$104,0)),1)</f>
        <v>1</v>
      </c>
      <c r="AC51" s="4">
        <f>IFERROR(INDEX(楼层配置!$G$5:$G$104,MATCH($K51,楼层配置!$B$5:$B$104,0)),1)</f>
        <v>1</v>
      </c>
      <c r="AD51" s="6">
        <f t="shared" si="3"/>
        <v>1.31197948833118</v>
      </c>
      <c r="AE51" s="6">
        <f t="shared" si="4"/>
        <v>1.01051625239006</v>
      </c>
      <c r="AF51" s="6">
        <f t="shared" si="5"/>
        <v>1.41256732495512</v>
      </c>
      <c r="AG51" s="4" t="str">
        <f t="shared" si="6"/>
        <v>有效</v>
      </c>
    </row>
    <row r="52" ht="14.25" customHeight="1" spans="1:33">
      <c r="A52" s="4">
        <v>48</v>
      </c>
      <c r="B52" s="4">
        <v>1005</v>
      </c>
      <c r="C52" s="4">
        <v>15</v>
      </c>
      <c r="D52" s="5">
        <f>IFERROR(ROUND($U52*$X52*$AA52*参数!$B$13,0),"")</f>
        <v>123536</v>
      </c>
      <c r="E52" s="5">
        <f>IFERROR(ROUND($V52*$Y52*$AB52*参数!$C$13,0),"")</f>
        <v>6309</v>
      </c>
      <c r="F52" s="5">
        <f>IFERROR(ROUND($W52*$Z52*$AC52*参数!$D$13,0),"")</f>
        <v>6719</v>
      </c>
      <c r="G52" s="4">
        <v>53433</v>
      </c>
      <c r="H52" s="4">
        <v>3138</v>
      </c>
      <c r="I52" s="4">
        <v>2785</v>
      </c>
      <c r="J52" s="4">
        <v>10</v>
      </c>
      <c r="K52" s="4">
        <v>10</v>
      </c>
      <c r="L52" s="4">
        <f>IFERROR(INDEX(楼层配置!$D$5:$D$104,MATCH($K52,楼层配置!$B$5:$B$104,0)),"")</f>
        <v>100</v>
      </c>
      <c r="M52" s="4" t="str">
        <f>IFERROR(INDEX(_角色基线!$B$2:$B$100,MATCH($B52,_角色基线!$A$2:$A$100,0)),"")</f>
        <v>陈单单</v>
      </c>
      <c r="N52" s="4" t="str">
        <f>IFERROR(INDEX(_角色基线!$C$2:$C$100,MATCH($B52,_角色基线!$A$2:$A$100,0)),"")</f>
        <v>DPS</v>
      </c>
      <c r="O52" s="4">
        <f>IFERROR(INDEX(_怪物基线!$B$2:$B$501,MATCH(INT($L52),_怪物基线!$A$2:$A$501,0)),"")</f>
        <v>30884</v>
      </c>
      <c r="P52" s="4">
        <f>IFERROR(INDEX(_怪物基线!$C$2:$C$501,MATCH(INT($L52),_怪物基线!$A$2:$A$501,0)),"")</f>
        <v>4381</v>
      </c>
      <c r="Q52" s="4">
        <f>IFERROR(INDEX(_怪物基线!$D$2:$D$501,MATCH(INT($L52),_怪物基线!$A$2:$A$501,0)),"")</f>
        <v>6719</v>
      </c>
      <c r="R52" s="4">
        <f>参数!$B$10</f>
        <v>4</v>
      </c>
      <c r="S52" s="4">
        <f>参数!$C$10</f>
        <v>1.2</v>
      </c>
      <c r="T52" s="4">
        <f>参数!$D$10</f>
        <v>1</v>
      </c>
      <c r="U52" s="4">
        <f t="shared" si="0"/>
        <v>123536</v>
      </c>
      <c r="V52" s="4">
        <f t="shared" si="1"/>
        <v>5257.2</v>
      </c>
      <c r="W52" s="4">
        <f t="shared" si="2"/>
        <v>6719</v>
      </c>
      <c r="X52" s="4">
        <f>IFERROR(INDEX(参数!$B$5:$B$7,MATCH($N52,参数!$A$5:$A$7,0)),"")</f>
        <v>1</v>
      </c>
      <c r="Y52" s="4">
        <f>IFERROR(INDEX(参数!$C$5:$C$7,MATCH($N52,参数!$A$5:$A$7,0)),"")</f>
        <v>1.2</v>
      </c>
      <c r="Z52" s="4">
        <f>IFERROR(INDEX(参数!$D$5:$D$7,MATCH($N52,参数!$A$5:$A$7,0)),"")</f>
        <v>1</v>
      </c>
      <c r="AA52" s="4">
        <f>IFERROR(INDEX(楼层配置!$E$5:$E$104,MATCH($K52,楼层配置!$B$5:$B$104,0)),1)</f>
        <v>1</v>
      </c>
      <c r="AB52" s="4">
        <f>IFERROR(INDEX(楼层配置!$F$5:$F$104,MATCH($K52,楼层配置!$B$5:$B$104,0)),1)</f>
        <v>1</v>
      </c>
      <c r="AC52" s="4">
        <f>IFERROR(INDEX(楼层配置!$G$5:$G$104,MATCH($K52,楼层配置!$B$5:$B$104,0)),1)</f>
        <v>1</v>
      </c>
      <c r="AD52" s="6">
        <f t="shared" si="3"/>
        <v>1.31197948833118</v>
      </c>
      <c r="AE52" s="6">
        <f t="shared" si="4"/>
        <v>1.01051625239006</v>
      </c>
      <c r="AF52" s="6">
        <f t="shared" si="5"/>
        <v>1.41256732495512</v>
      </c>
      <c r="AG52" s="4" t="str">
        <f t="shared" si="6"/>
        <v>有效</v>
      </c>
    </row>
    <row r="53" ht="14.25" customHeight="1" spans="1:33">
      <c r="A53" s="4">
        <v>49</v>
      </c>
      <c r="B53" s="4">
        <v>1005</v>
      </c>
      <c r="C53" s="4">
        <v>15</v>
      </c>
      <c r="D53" s="5">
        <f>IFERROR(ROUND($U53*$X53*$AA53*参数!$B$13,0),"")</f>
        <v>123536</v>
      </c>
      <c r="E53" s="5">
        <f>IFERROR(ROUND($V53*$Y53*$AB53*参数!$C$13,0),"")</f>
        <v>6309</v>
      </c>
      <c r="F53" s="5">
        <f>IFERROR(ROUND($W53*$Z53*$AC53*参数!$D$13,0),"")</f>
        <v>6719</v>
      </c>
      <c r="G53" s="4">
        <v>53433</v>
      </c>
      <c r="H53" s="4">
        <v>3138</v>
      </c>
      <c r="I53" s="4">
        <v>2785</v>
      </c>
      <c r="J53" s="4">
        <v>10</v>
      </c>
      <c r="K53" s="4">
        <v>10</v>
      </c>
      <c r="L53" s="4">
        <f>IFERROR(INDEX(楼层配置!$D$5:$D$104,MATCH($K53,楼层配置!$B$5:$B$104,0)),"")</f>
        <v>100</v>
      </c>
      <c r="M53" s="4" t="str">
        <f>IFERROR(INDEX(_角色基线!$B$2:$B$100,MATCH($B53,_角色基线!$A$2:$A$100,0)),"")</f>
        <v>陈单单</v>
      </c>
      <c r="N53" s="4" t="str">
        <f>IFERROR(INDEX(_角色基线!$C$2:$C$100,MATCH($B53,_角色基线!$A$2:$A$100,0)),"")</f>
        <v>DPS</v>
      </c>
      <c r="O53" s="4">
        <f>IFERROR(INDEX(_怪物基线!$B$2:$B$501,MATCH(INT($L53),_怪物基线!$A$2:$A$501,0)),"")</f>
        <v>30884</v>
      </c>
      <c r="P53" s="4">
        <f>IFERROR(INDEX(_怪物基线!$C$2:$C$501,MATCH(INT($L53),_怪物基线!$A$2:$A$501,0)),"")</f>
        <v>4381</v>
      </c>
      <c r="Q53" s="4">
        <f>IFERROR(INDEX(_怪物基线!$D$2:$D$501,MATCH(INT($L53),_怪物基线!$A$2:$A$501,0)),"")</f>
        <v>6719</v>
      </c>
      <c r="R53" s="4">
        <f>参数!$B$10</f>
        <v>4</v>
      </c>
      <c r="S53" s="4">
        <f>参数!$C$10</f>
        <v>1.2</v>
      </c>
      <c r="T53" s="4">
        <f>参数!$D$10</f>
        <v>1</v>
      </c>
      <c r="U53" s="4">
        <f t="shared" si="0"/>
        <v>123536</v>
      </c>
      <c r="V53" s="4">
        <f t="shared" si="1"/>
        <v>5257.2</v>
      </c>
      <c r="W53" s="4">
        <f t="shared" si="2"/>
        <v>6719</v>
      </c>
      <c r="X53" s="4">
        <f>IFERROR(INDEX(参数!$B$5:$B$7,MATCH($N53,参数!$A$5:$A$7,0)),"")</f>
        <v>1</v>
      </c>
      <c r="Y53" s="4">
        <f>IFERROR(INDEX(参数!$C$5:$C$7,MATCH($N53,参数!$A$5:$A$7,0)),"")</f>
        <v>1.2</v>
      </c>
      <c r="Z53" s="4">
        <f>IFERROR(INDEX(参数!$D$5:$D$7,MATCH($N53,参数!$A$5:$A$7,0)),"")</f>
        <v>1</v>
      </c>
      <c r="AA53" s="4">
        <f>IFERROR(INDEX(楼层配置!$E$5:$E$104,MATCH($K53,楼层配置!$B$5:$B$104,0)),1)</f>
        <v>1</v>
      </c>
      <c r="AB53" s="4">
        <f>IFERROR(INDEX(楼层配置!$F$5:$F$104,MATCH($K53,楼层配置!$B$5:$B$104,0)),1)</f>
        <v>1</v>
      </c>
      <c r="AC53" s="4">
        <f>IFERROR(INDEX(楼层配置!$G$5:$G$104,MATCH($K53,楼层配置!$B$5:$B$104,0)),1)</f>
        <v>1</v>
      </c>
      <c r="AD53" s="6">
        <f t="shared" si="3"/>
        <v>1.31197948833118</v>
      </c>
      <c r="AE53" s="6">
        <f t="shared" si="4"/>
        <v>1.01051625239006</v>
      </c>
      <c r="AF53" s="6">
        <f t="shared" si="5"/>
        <v>1.41256732495512</v>
      </c>
      <c r="AG53" s="4" t="str">
        <f t="shared" si="6"/>
        <v>有效</v>
      </c>
    </row>
    <row r="54" ht="14.25" customHeight="1" spans="1:33">
      <c r="A54" s="4">
        <v>50</v>
      </c>
      <c r="B54" s="4">
        <v>1029</v>
      </c>
      <c r="C54" s="4">
        <v>15</v>
      </c>
      <c r="D54" s="5">
        <f>IFERROR(ROUND($U54*$X54*$AA54*参数!$B$13,0),"")</f>
        <v>154420</v>
      </c>
      <c r="E54" s="5">
        <f>IFERROR(ROUND($V54*$Y54*$AB54*参数!$C$13,0),"")</f>
        <v>5257</v>
      </c>
      <c r="F54" s="5">
        <f>IFERROR(ROUND($W54*$Z54*$AC54*参数!$D$13,0),"")</f>
        <v>8399</v>
      </c>
      <c r="G54" s="4">
        <v>66792</v>
      </c>
      <c r="H54" s="4">
        <v>2615</v>
      </c>
      <c r="I54" s="4">
        <v>3482</v>
      </c>
      <c r="J54" s="4">
        <v>10</v>
      </c>
      <c r="K54" s="4">
        <v>10</v>
      </c>
      <c r="L54" s="4">
        <f>IFERROR(INDEX(楼层配置!$D$5:$D$104,MATCH($K54,楼层配置!$B$5:$B$104,0)),"")</f>
        <v>100</v>
      </c>
      <c r="M54" s="4" t="str">
        <f>IFERROR(INDEX(_角色基线!$B$2:$B$100,MATCH($B54,_角色基线!$A$2:$A$100,0)),"")</f>
        <v>凯兰</v>
      </c>
      <c r="N54" s="4" t="str">
        <f>IFERROR(INDEX(_角色基线!$C$2:$C$100,MATCH($B54,_角色基线!$A$2:$A$100,0)),"")</f>
        <v>Support</v>
      </c>
      <c r="O54" s="4">
        <f>IFERROR(INDEX(_怪物基线!$B$2:$B$501,MATCH(INT($L54),_怪物基线!$A$2:$A$501,0)),"")</f>
        <v>30884</v>
      </c>
      <c r="P54" s="4">
        <f>IFERROR(INDEX(_怪物基线!$C$2:$C$501,MATCH(INT($L54),_怪物基线!$A$2:$A$501,0)),"")</f>
        <v>4381</v>
      </c>
      <c r="Q54" s="4">
        <f>IFERROR(INDEX(_怪物基线!$D$2:$D$501,MATCH(INT($L54),_怪物基线!$A$2:$A$501,0)),"")</f>
        <v>6719</v>
      </c>
      <c r="R54" s="4">
        <f>参数!$B$10</f>
        <v>4</v>
      </c>
      <c r="S54" s="4">
        <f>参数!$C$10</f>
        <v>1.2</v>
      </c>
      <c r="T54" s="4">
        <f>参数!$D$10</f>
        <v>1</v>
      </c>
      <c r="U54" s="4">
        <f t="shared" si="0"/>
        <v>123536</v>
      </c>
      <c r="V54" s="4">
        <f t="shared" si="1"/>
        <v>5257.2</v>
      </c>
      <c r="W54" s="4">
        <f t="shared" si="2"/>
        <v>6719</v>
      </c>
      <c r="X54" s="4">
        <f>IFERROR(INDEX(参数!$B$5:$B$7,MATCH($N54,参数!$A$5:$A$7,0)),"")</f>
        <v>1.25</v>
      </c>
      <c r="Y54" s="4">
        <f>IFERROR(INDEX(参数!$C$5:$C$7,MATCH($N54,参数!$A$5:$A$7,0)),"")</f>
        <v>1</v>
      </c>
      <c r="Z54" s="4">
        <f>IFERROR(INDEX(参数!$D$5:$D$7,MATCH($N54,参数!$A$5:$A$7,0)),"")</f>
        <v>1.25</v>
      </c>
      <c r="AA54" s="4">
        <f>IFERROR(INDEX(楼层配置!$E$5:$E$104,MATCH($K54,楼层配置!$B$5:$B$104,0)),1)</f>
        <v>1</v>
      </c>
      <c r="AB54" s="4">
        <f>IFERROR(INDEX(楼层配置!$F$5:$F$104,MATCH($K54,楼层配置!$B$5:$B$104,0)),1)</f>
        <v>1</v>
      </c>
      <c r="AC54" s="4">
        <f>IFERROR(INDEX(楼层配置!$G$5:$G$104,MATCH($K54,楼层配置!$B$5:$B$104,0)),1)</f>
        <v>1</v>
      </c>
      <c r="AD54" s="6">
        <f t="shared" si="3"/>
        <v>1.31195352736855</v>
      </c>
      <c r="AE54" s="6">
        <f t="shared" si="4"/>
        <v>1.01032504780115</v>
      </c>
      <c r="AF54" s="6">
        <f t="shared" si="5"/>
        <v>1.41211947156806</v>
      </c>
      <c r="AG54" s="4" t="str">
        <f t="shared" si="6"/>
        <v>有效</v>
      </c>
    </row>
    <row r="55" ht="14.25" customHeight="1" spans="1:33">
      <c r="A55" s="4">
        <v>51</v>
      </c>
      <c r="B55" s="4">
        <v>1012</v>
      </c>
      <c r="C55" s="4">
        <v>15</v>
      </c>
      <c r="D55" s="5">
        <f>IFERROR(ROUND($U55*$X55*$AA55*参数!$B$13,0),"")</f>
        <v>172790</v>
      </c>
      <c r="E55" s="5">
        <f>IFERROR(ROUND($V55*$Y55*$AB55*参数!$C$13,0),"")</f>
        <v>5664</v>
      </c>
      <c r="F55" s="5">
        <f>IFERROR(ROUND($W55*$Z55*$AC55*参数!$D$13,0),"")</f>
        <v>8993</v>
      </c>
      <c r="G55" s="4">
        <v>74820</v>
      </c>
      <c r="H55" s="4">
        <v>2832</v>
      </c>
      <c r="I55" s="4">
        <v>3758</v>
      </c>
      <c r="J55" s="4">
        <v>11</v>
      </c>
      <c r="K55" s="4">
        <v>11</v>
      </c>
      <c r="L55" s="4">
        <f>IFERROR(INDEX(楼层配置!$D$5:$D$104,MATCH($K55,楼层配置!$B$5:$B$104,0)),"")</f>
        <v>106</v>
      </c>
      <c r="M55" s="4" t="str">
        <f>IFERROR(INDEX(_角色基线!$B$2:$B$100,MATCH($B55,_角色基线!$A$2:$A$100,0)),"")</f>
        <v>艾德琳</v>
      </c>
      <c r="N55" s="4" t="str">
        <f>IFERROR(INDEX(_角色基线!$C$2:$C$100,MATCH($B55,_角色基线!$A$2:$A$100,0)),"")</f>
        <v>Support</v>
      </c>
      <c r="O55" s="4">
        <f>IFERROR(INDEX(_怪物基线!$B$2:$B$501,MATCH(INT($L55),_怪物基线!$A$2:$A$501,0)),"")</f>
        <v>34558</v>
      </c>
      <c r="P55" s="4">
        <f>IFERROR(INDEX(_怪物基线!$C$2:$C$501,MATCH(INT($L55),_怪物基线!$A$2:$A$501,0)),"")</f>
        <v>4720</v>
      </c>
      <c r="Q55" s="4">
        <f>IFERROR(INDEX(_怪物基线!$D$2:$D$501,MATCH(INT($L55),_怪物基线!$A$2:$A$501,0)),"")</f>
        <v>7194</v>
      </c>
      <c r="R55" s="4">
        <f>参数!$B$10</f>
        <v>4</v>
      </c>
      <c r="S55" s="4">
        <f>参数!$C$10</f>
        <v>1.2</v>
      </c>
      <c r="T55" s="4">
        <f>参数!$D$10</f>
        <v>1</v>
      </c>
      <c r="U55" s="4">
        <f t="shared" si="0"/>
        <v>138232</v>
      </c>
      <c r="V55" s="4">
        <f t="shared" si="1"/>
        <v>5664</v>
      </c>
      <c r="W55" s="4">
        <f t="shared" si="2"/>
        <v>7194</v>
      </c>
      <c r="X55" s="4">
        <f>IFERROR(INDEX(参数!$B$5:$B$7,MATCH($N55,参数!$A$5:$A$7,0)),"")</f>
        <v>1.25</v>
      </c>
      <c r="Y55" s="4">
        <f>IFERROR(INDEX(参数!$C$5:$C$7,MATCH($N55,参数!$A$5:$A$7,0)),"")</f>
        <v>1</v>
      </c>
      <c r="Z55" s="4">
        <f>IFERROR(INDEX(参数!$D$5:$D$7,MATCH($N55,参数!$A$5:$A$7,0)),"")</f>
        <v>1.25</v>
      </c>
      <c r="AA55" s="4">
        <f>IFERROR(INDEX(楼层配置!$E$5:$E$104,MATCH($K55,楼层配置!$B$5:$B$104,0)),1)</f>
        <v>1</v>
      </c>
      <c r="AB55" s="4">
        <f>IFERROR(INDEX(楼层配置!$F$5:$F$104,MATCH($K55,楼层配置!$B$5:$B$104,0)),1)</f>
        <v>1</v>
      </c>
      <c r="AC55" s="4">
        <f>IFERROR(INDEX(楼层配置!$G$5:$G$104,MATCH($K55,楼层配置!$B$5:$B$104,0)),1)</f>
        <v>1</v>
      </c>
      <c r="AD55" s="6">
        <f t="shared" si="3"/>
        <v>1.30940924886394</v>
      </c>
      <c r="AE55" s="6">
        <f t="shared" si="4"/>
        <v>1</v>
      </c>
      <c r="AF55" s="6">
        <f t="shared" si="5"/>
        <v>1.39302820649282</v>
      </c>
      <c r="AG55" s="4" t="str">
        <f t="shared" si="6"/>
        <v>有效</v>
      </c>
    </row>
    <row r="56" ht="14.25" customHeight="1" spans="1:33">
      <c r="A56" s="4">
        <v>52</v>
      </c>
      <c r="B56" s="4">
        <v>1035</v>
      </c>
      <c r="C56" s="4">
        <v>15</v>
      </c>
      <c r="D56" s="5">
        <f>IFERROR(ROUND($U56*$X56*$AA56*参数!$B$13,0),"")</f>
        <v>138232</v>
      </c>
      <c r="E56" s="5">
        <f>IFERROR(ROUND($V56*$Y56*$AB56*参数!$C$13,0),"")</f>
        <v>6797</v>
      </c>
      <c r="F56" s="5">
        <f>IFERROR(ROUND($W56*$Z56*$AC56*参数!$D$13,0),"")</f>
        <v>7194</v>
      </c>
      <c r="G56" s="4">
        <v>59856</v>
      </c>
      <c r="H56" s="4">
        <v>3398</v>
      </c>
      <c r="I56" s="4">
        <v>3006</v>
      </c>
      <c r="J56" s="4">
        <v>11</v>
      </c>
      <c r="K56" s="4">
        <v>11</v>
      </c>
      <c r="L56" s="4">
        <f>IFERROR(INDEX(楼层配置!$D$5:$D$104,MATCH($K56,楼层配置!$B$5:$B$104,0)),"")</f>
        <v>106</v>
      </c>
      <c r="M56" s="4" t="str">
        <f>IFERROR(INDEX(_角色基线!$B$2:$B$100,MATCH($B56,_角色基线!$A$2:$A$100,0)),"")</f>
        <v>碎冰者</v>
      </c>
      <c r="N56" s="4" t="str">
        <f>IFERROR(INDEX(_角色基线!$C$2:$C$100,MATCH($B56,_角色基线!$A$2:$A$100,0)),"")</f>
        <v>DPS</v>
      </c>
      <c r="O56" s="4">
        <f>IFERROR(INDEX(_怪物基线!$B$2:$B$501,MATCH(INT($L56),_怪物基线!$A$2:$A$501,0)),"")</f>
        <v>34558</v>
      </c>
      <c r="P56" s="4">
        <f>IFERROR(INDEX(_怪物基线!$C$2:$C$501,MATCH(INT($L56),_怪物基线!$A$2:$A$501,0)),"")</f>
        <v>4720</v>
      </c>
      <c r="Q56" s="4">
        <f>IFERROR(INDEX(_怪物基线!$D$2:$D$501,MATCH(INT($L56),_怪物基线!$A$2:$A$501,0)),"")</f>
        <v>7194</v>
      </c>
      <c r="R56" s="4">
        <f>参数!$B$10</f>
        <v>4</v>
      </c>
      <c r="S56" s="4">
        <f>参数!$C$10</f>
        <v>1.2</v>
      </c>
      <c r="T56" s="4">
        <f>参数!$D$10</f>
        <v>1</v>
      </c>
      <c r="U56" s="4">
        <f t="shared" si="0"/>
        <v>138232</v>
      </c>
      <c r="V56" s="4">
        <f t="shared" si="1"/>
        <v>5664</v>
      </c>
      <c r="W56" s="4">
        <f t="shared" si="2"/>
        <v>7194</v>
      </c>
      <c r="X56" s="4">
        <f>IFERROR(INDEX(参数!$B$5:$B$7,MATCH($N56,参数!$A$5:$A$7,0)),"")</f>
        <v>1</v>
      </c>
      <c r="Y56" s="4">
        <f>IFERROR(INDEX(参数!$C$5:$C$7,MATCH($N56,参数!$A$5:$A$7,0)),"")</f>
        <v>1.2</v>
      </c>
      <c r="Z56" s="4">
        <f>IFERROR(INDEX(参数!$D$5:$D$7,MATCH($N56,参数!$A$5:$A$7,0)),"")</f>
        <v>1</v>
      </c>
      <c r="AA56" s="4">
        <f>IFERROR(INDEX(楼层配置!$E$5:$E$104,MATCH($K56,楼层配置!$B$5:$B$104,0)),1)</f>
        <v>1</v>
      </c>
      <c r="AB56" s="4">
        <f>IFERROR(INDEX(楼层配置!$F$5:$F$104,MATCH($K56,楼层配置!$B$5:$B$104,0)),1)</f>
        <v>1</v>
      </c>
      <c r="AC56" s="4">
        <f>IFERROR(INDEX(楼层配置!$G$5:$G$104,MATCH($K56,楼层配置!$B$5:$B$104,0)),1)</f>
        <v>1</v>
      </c>
      <c r="AD56" s="6">
        <f t="shared" si="3"/>
        <v>1.30940924886394</v>
      </c>
      <c r="AE56" s="6">
        <f t="shared" si="4"/>
        <v>1.00029429075927</v>
      </c>
      <c r="AF56" s="6">
        <f t="shared" si="5"/>
        <v>1.39321357285429</v>
      </c>
      <c r="AG56" s="4" t="str">
        <f t="shared" si="6"/>
        <v>有效</v>
      </c>
    </row>
    <row r="57" ht="14.25" customHeight="1" spans="1:33">
      <c r="A57" s="4">
        <v>53</v>
      </c>
      <c r="B57" s="4">
        <v>1036</v>
      </c>
      <c r="C57" s="4">
        <v>15</v>
      </c>
      <c r="D57" s="5">
        <f>IFERROR(ROUND($U57*$X57*$AA57*参数!$B$13,0),"")</f>
        <v>138232</v>
      </c>
      <c r="E57" s="5">
        <f>IFERROR(ROUND($V57*$Y57*$AB57*参数!$C$13,0),"")</f>
        <v>6797</v>
      </c>
      <c r="F57" s="5">
        <f>IFERROR(ROUND($W57*$Z57*$AC57*参数!$D$13,0),"")</f>
        <v>7194</v>
      </c>
      <c r="G57" s="4">
        <v>59856</v>
      </c>
      <c r="H57" s="4">
        <v>3398</v>
      </c>
      <c r="I57" s="4">
        <v>3006</v>
      </c>
      <c r="J57" s="4">
        <v>11</v>
      </c>
      <c r="K57" s="4">
        <v>11</v>
      </c>
      <c r="L57" s="4">
        <f>IFERROR(INDEX(楼层配置!$D$5:$D$104,MATCH($K57,楼层配置!$B$5:$B$104,0)),"")</f>
        <v>106</v>
      </c>
      <c r="M57" s="4" t="str">
        <f>IFERROR(INDEX(_角色基线!$B$2:$B$100,MATCH($B57,_角色基线!$A$2:$A$100,0)),"")</f>
        <v>霜狼法师</v>
      </c>
      <c r="N57" s="4" t="str">
        <f>IFERROR(INDEX(_角色基线!$C$2:$C$100,MATCH($B57,_角色基线!$A$2:$A$100,0)),"")</f>
        <v>DPS</v>
      </c>
      <c r="O57" s="4">
        <f>IFERROR(INDEX(_怪物基线!$B$2:$B$501,MATCH(INT($L57),_怪物基线!$A$2:$A$501,0)),"")</f>
        <v>34558</v>
      </c>
      <c r="P57" s="4">
        <f>IFERROR(INDEX(_怪物基线!$C$2:$C$501,MATCH(INT($L57),_怪物基线!$A$2:$A$501,0)),"")</f>
        <v>4720</v>
      </c>
      <c r="Q57" s="4">
        <f>IFERROR(INDEX(_怪物基线!$D$2:$D$501,MATCH(INT($L57),_怪物基线!$A$2:$A$501,0)),"")</f>
        <v>7194</v>
      </c>
      <c r="R57" s="4">
        <f>参数!$B$10</f>
        <v>4</v>
      </c>
      <c r="S57" s="4">
        <f>参数!$C$10</f>
        <v>1.2</v>
      </c>
      <c r="T57" s="4">
        <f>参数!$D$10</f>
        <v>1</v>
      </c>
      <c r="U57" s="4">
        <f t="shared" si="0"/>
        <v>138232</v>
      </c>
      <c r="V57" s="4">
        <f t="shared" si="1"/>
        <v>5664</v>
      </c>
      <c r="W57" s="4">
        <f t="shared" si="2"/>
        <v>7194</v>
      </c>
      <c r="X57" s="4">
        <f>IFERROR(INDEX(参数!$B$5:$B$7,MATCH($N57,参数!$A$5:$A$7,0)),"")</f>
        <v>1</v>
      </c>
      <c r="Y57" s="4">
        <f>IFERROR(INDEX(参数!$C$5:$C$7,MATCH($N57,参数!$A$5:$A$7,0)),"")</f>
        <v>1.2</v>
      </c>
      <c r="Z57" s="4">
        <f>IFERROR(INDEX(参数!$D$5:$D$7,MATCH($N57,参数!$A$5:$A$7,0)),"")</f>
        <v>1</v>
      </c>
      <c r="AA57" s="4">
        <f>IFERROR(INDEX(楼层配置!$E$5:$E$104,MATCH($K57,楼层配置!$B$5:$B$104,0)),1)</f>
        <v>1</v>
      </c>
      <c r="AB57" s="4">
        <f>IFERROR(INDEX(楼层配置!$F$5:$F$104,MATCH($K57,楼层配置!$B$5:$B$104,0)),1)</f>
        <v>1</v>
      </c>
      <c r="AC57" s="4">
        <f>IFERROR(INDEX(楼层配置!$G$5:$G$104,MATCH($K57,楼层配置!$B$5:$B$104,0)),1)</f>
        <v>1</v>
      </c>
      <c r="AD57" s="6">
        <f t="shared" si="3"/>
        <v>1.30940924886394</v>
      </c>
      <c r="AE57" s="6">
        <f t="shared" si="4"/>
        <v>1.00029429075927</v>
      </c>
      <c r="AF57" s="6">
        <f t="shared" si="5"/>
        <v>1.39321357285429</v>
      </c>
      <c r="AG57" s="4" t="str">
        <f t="shared" si="6"/>
        <v>有效</v>
      </c>
    </row>
    <row r="58" ht="14.25" customHeight="1" spans="1:33">
      <c r="A58" s="4">
        <v>54</v>
      </c>
      <c r="B58" s="4">
        <v>1015</v>
      </c>
      <c r="C58" s="4">
        <v>15</v>
      </c>
      <c r="D58" s="5">
        <f>IFERROR(ROUND($U58*$X58*$AA58*参数!$B$13,0),"")</f>
        <v>172790</v>
      </c>
      <c r="E58" s="5">
        <f>IFERROR(ROUND($V58*$Y58*$AB58*参数!$C$13,0),"")</f>
        <v>5664</v>
      </c>
      <c r="F58" s="5">
        <f>IFERROR(ROUND($W58*$Z58*$AC58*参数!$D$13,0),"")</f>
        <v>8993</v>
      </c>
      <c r="G58" s="4">
        <v>74820</v>
      </c>
      <c r="H58" s="4">
        <v>2832</v>
      </c>
      <c r="I58" s="4">
        <v>3758</v>
      </c>
      <c r="J58" s="4">
        <v>11</v>
      </c>
      <c r="K58" s="4">
        <v>11</v>
      </c>
      <c r="L58" s="4">
        <f>IFERROR(INDEX(楼层配置!$D$5:$D$104,MATCH($K58,楼层配置!$B$5:$B$104,0)),"")</f>
        <v>106</v>
      </c>
      <c r="M58" s="4" t="str">
        <f>IFERROR(INDEX(_角色基线!$B$2:$B$100,MATCH($B58,_角色基线!$A$2:$A$100,0)),"")</f>
        <v>阿莱克西娅</v>
      </c>
      <c r="N58" s="4" t="str">
        <f>IFERROR(INDEX(_角色基线!$C$2:$C$100,MATCH($B58,_角色基线!$A$2:$A$100,0)),"")</f>
        <v>Support</v>
      </c>
      <c r="O58" s="4">
        <f>IFERROR(INDEX(_怪物基线!$B$2:$B$501,MATCH(INT($L58),_怪物基线!$A$2:$A$501,0)),"")</f>
        <v>34558</v>
      </c>
      <c r="P58" s="4">
        <f>IFERROR(INDEX(_怪物基线!$C$2:$C$501,MATCH(INT($L58),_怪物基线!$A$2:$A$501,0)),"")</f>
        <v>4720</v>
      </c>
      <c r="Q58" s="4">
        <f>IFERROR(INDEX(_怪物基线!$D$2:$D$501,MATCH(INT($L58),_怪物基线!$A$2:$A$501,0)),"")</f>
        <v>7194</v>
      </c>
      <c r="R58" s="4">
        <f>参数!$B$10</f>
        <v>4</v>
      </c>
      <c r="S58" s="4">
        <f>参数!$C$10</f>
        <v>1.2</v>
      </c>
      <c r="T58" s="4">
        <f>参数!$D$10</f>
        <v>1</v>
      </c>
      <c r="U58" s="4">
        <f t="shared" si="0"/>
        <v>138232</v>
      </c>
      <c r="V58" s="4">
        <f t="shared" si="1"/>
        <v>5664</v>
      </c>
      <c r="W58" s="4">
        <f t="shared" si="2"/>
        <v>7194</v>
      </c>
      <c r="X58" s="4">
        <f>IFERROR(INDEX(参数!$B$5:$B$7,MATCH($N58,参数!$A$5:$A$7,0)),"")</f>
        <v>1.25</v>
      </c>
      <c r="Y58" s="4">
        <f>IFERROR(INDEX(参数!$C$5:$C$7,MATCH($N58,参数!$A$5:$A$7,0)),"")</f>
        <v>1</v>
      </c>
      <c r="Z58" s="4">
        <f>IFERROR(INDEX(参数!$D$5:$D$7,MATCH($N58,参数!$A$5:$A$7,0)),"")</f>
        <v>1.25</v>
      </c>
      <c r="AA58" s="4">
        <f>IFERROR(INDEX(楼层配置!$E$5:$E$104,MATCH($K58,楼层配置!$B$5:$B$104,0)),1)</f>
        <v>1</v>
      </c>
      <c r="AB58" s="4">
        <f>IFERROR(INDEX(楼层配置!$F$5:$F$104,MATCH($K58,楼层配置!$B$5:$B$104,0)),1)</f>
        <v>1</v>
      </c>
      <c r="AC58" s="4">
        <f>IFERROR(INDEX(楼层配置!$G$5:$G$104,MATCH($K58,楼层配置!$B$5:$B$104,0)),1)</f>
        <v>1</v>
      </c>
      <c r="AD58" s="6">
        <f t="shared" si="3"/>
        <v>1.30940924886394</v>
      </c>
      <c r="AE58" s="6">
        <f t="shared" si="4"/>
        <v>1</v>
      </c>
      <c r="AF58" s="6">
        <f t="shared" si="5"/>
        <v>1.39302820649282</v>
      </c>
      <c r="AG58" s="4" t="str">
        <f t="shared" si="6"/>
        <v>有效</v>
      </c>
    </row>
    <row r="59" ht="14.25" customHeight="1" spans="1:33">
      <c r="A59" s="4">
        <v>55</v>
      </c>
      <c r="B59" s="4">
        <v>1036</v>
      </c>
      <c r="C59" s="4">
        <v>15</v>
      </c>
      <c r="D59" s="5">
        <f>IFERROR(ROUND($U59*$X59*$AA59*参数!$B$13,0),"")</f>
        <v>138232</v>
      </c>
      <c r="E59" s="5">
        <f>IFERROR(ROUND($V59*$Y59*$AB59*参数!$C$13,0),"")</f>
        <v>6797</v>
      </c>
      <c r="F59" s="5">
        <f>IFERROR(ROUND($W59*$Z59*$AC59*参数!$D$13,0),"")</f>
        <v>7194</v>
      </c>
      <c r="G59" s="4">
        <v>59856</v>
      </c>
      <c r="H59" s="4">
        <v>3398</v>
      </c>
      <c r="I59" s="4">
        <v>3006</v>
      </c>
      <c r="J59" s="4">
        <v>11</v>
      </c>
      <c r="K59" s="4">
        <v>11</v>
      </c>
      <c r="L59" s="4">
        <f>IFERROR(INDEX(楼层配置!$D$5:$D$104,MATCH($K59,楼层配置!$B$5:$B$104,0)),"")</f>
        <v>106</v>
      </c>
      <c r="M59" s="4" t="str">
        <f>IFERROR(INDEX(_角色基线!$B$2:$B$100,MATCH($B59,_角色基线!$A$2:$A$100,0)),"")</f>
        <v>霜狼法师</v>
      </c>
      <c r="N59" s="4" t="str">
        <f>IFERROR(INDEX(_角色基线!$C$2:$C$100,MATCH($B59,_角色基线!$A$2:$A$100,0)),"")</f>
        <v>DPS</v>
      </c>
      <c r="O59" s="4">
        <f>IFERROR(INDEX(_怪物基线!$B$2:$B$501,MATCH(INT($L59),_怪物基线!$A$2:$A$501,0)),"")</f>
        <v>34558</v>
      </c>
      <c r="P59" s="4">
        <f>IFERROR(INDEX(_怪物基线!$C$2:$C$501,MATCH(INT($L59),_怪物基线!$A$2:$A$501,0)),"")</f>
        <v>4720</v>
      </c>
      <c r="Q59" s="4">
        <f>IFERROR(INDEX(_怪物基线!$D$2:$D$501,MATCH(INT($L59),_怪物基线!$A$2:$A$501,0)),"")</f>
        <v>7194</v>
      </c>
      <c r="R59" s="4">
        <f>参数!$B$10</f>
        <v>4</v>
      </c>
      <c r="S59" s="4">
        <f>参数!$C$10</f>
        <v>1.2</v>
      </c>
      <c r="T59" s="4">
        <f>参数!$D$10</f>
        <v>1</v>
      </c>
      <c r="U59" s="4">
        <f t="shared" si="0"/>
        <v>138232</v>
      </c>
      <c r="V59" s="4">
        <f t="shared" si="1"/>
        <v>5664</v>
      </c>
      <c r="W59" s="4">
        <f t="shared" si="2"/>
        <v>7194</v>
      </c>
      <c r="X59" s="4">
        <f>IFERROR(INDEX(参数!$B$5:$B$7,MATCH($N59,参数!$A$5:$A$7,0)),"")</f>
        <v>1</v>
      </c>
      <c r="Y59" s="4">
        <f>IFERROR(INDEX(参数!$C$5:$C$7,MATCH($N59,参数!$A$5:$A$7,0)),"")</f>
        <v>1.2</v>
      </c>
      <c r="Z59" s="4">
        <f>IFERROR(INDEX(参数!$D$5:$D$7,MATCH($N59,参数!$A$5:$A$7,0)),"")</f>
        <v>1</v>
      </c>
      <c r="AA59" s="4">
        <f>IFERROR(INDEX(楼层配置!$E$5:$E$104,MATCH($K59,楼层配置!$B$5:$B$104,0)),1)</f>
        <v>1</v>
      </c>
      <c r="AB59" s="4">
        <f>IFERROR(INDEX(楼层配置!$F$5:$F$104,MATCH($K59,楼层配置!$B$5:$B$104,0)),1)</f>
        <v>1</v>
      </c>
      <c r="AC59" s="4">
        <f>IFERROR(INDEX(楼层配置!$G$5:$G$104,MATCH($K59,楼层配置!$B$5:$B$104,0)),1)</f>
        <v>1</v>
      </c>
      <c r="AD59" s="6">
        <f t="shared" si="3"/>
        <v>1.30940924886394</v>
      </c>
      <c r="AE59" s="6">
        <f t="shared" si="4"/>
        <v>1.00029429075927</v>
      </c>
      <c r="AF59" s="6">
        <f t="shared" si="5"/>
        <v>1.39321357285429</v>
      </c>
      <c r="AG59" s="4" t="str">
        <f t="shared" si="6"/>
        <v>有效</v>
      </c>
    </row>
    <row r="60" ht="14.25" customHeight="1" spans="1:33">
      <c r="A60" s="4">
        <v>56</v>
      </c>
      <c r="B60" s="4">
        <v>1038</v>
      </c>
      <c r="C60" s="4">
        <v>16</v>
      </c>
      <c r="D60" s="5">
        <f>IFERROR(ROUND($U60*$X60*$AA60*参数!$B$13,0),"")</f>
        <v>235140</v>
      </c>
      <c r="E60" s="5">
        <f>IFERROR(ROUND($V60*$Y60*$AB60*参数!$C$13,0),"")</f>
        <v>6155</v>
      </c>
      <c r="F60" s="5">
        <f>IFERROR(ROUND($W60*$Z60*$AC60*参数!$D$13,0),"")</f>
        <v>11639</v>
      </c>
      <c r="G60" s="4">
        <v>100000</v>
      </c>
      <c r="H60" s="4">
        <v>3053</v>
      </c>
      <c r="I60" s="4">
        <v>4845</v>
      </c>
      <c r="J60" s="4">
        <v>12</v>
      </c>
      <c r="K60" s="4">
        <v>12</v>
      </c>
      <c r="L60" s="4">
        <f>IFERROR(INDEX(楼层配置!$D$5:$D$104,MATCH($K60,楼层配置!$B$5:$B$104,0)),"")</f>
        <v>113</v>
      </c>
      <c r="M60" s="4" t="str">
        <f>IFERROR(INDEX(_角色基线!$B$2:$B$100,MATCH($B60,_角色基线!$A$2:$A$100,0)),"")</f>
        <v>商队战斗员</v>
      </c>
      <c r="N60" s="4" t="str">
        <f>IFERROR(INDEX(_角色基线!$C$2:$C$100,MATCH($B60,_角色基线!$A$2:$A$100,0)),"")</f>
        <v>Tank</v>
      </c>
      <c r="O60" s="4">
        <f>IFERROR(INDEX(_怪物基线!$B$2:$B$501,MATCH(INT($L60),_怪物基线!$A$2:$A$501,0)),"")</f>
        <v>39190</v>
      </c>
      <c r="P60" s="4">
        <f>IFERROR(INDEX(_怪物基线!$C$2:$C$501,MATCH(INT($L60),_怪物基线!$A$2:$A$501,0)),"")</f>
        <v>5129</v>
      </c>
      <c r="Q60" s="4">
        <f>IFERROR(INDEX(_怪物基线!$D$2:$D$501,MATCH(INT($L60),_怪物基线!$A$2:$A$501,0)),"")</f>
        <v>7759</v>
      </c>
      <c r="R60" s="4">
        <f>参数!$B$10</f>
        <v>4</v>
      </c>
      <c r="S60" s="4">
        <f>参数!$C$10</f>
        <v>1.2</v>
      </c>
      <c r="T60" s="4">
        <f>参数!$D$10</f>
        <v>1</v>
      </c>
      <c r="U60" s="4">
        <f t="shared" si="0"/>
        <v>156760</v>
      </c>
      <c r="V60" s="4">
        <f t="shared" si="1"/>
        <v>6154.8</v>
      </c>
      <c r="W60" s="4">
        <f t="shared" si="2"/>
        <v>7759</v>
      </c>
      <c r="X60" s="4">
        <f>IFERROR(INDEX(参数!$B$5:$B$7,MATCH($N60,参数!$A$5:$A$7,0)),"")</f>
        <v>1.5</v>
      </c>
      <c r="Y60" s="4">
        <f>IFERROR(INDEX(参数!$C$5:$C$7,MATCH($N60,参数!$A$5:$A$7,0)),"")</f>
        <v>1</v>
      </c>
      <c r="Z60" s="4">
        <f>IFERROR(INDEX(参数!$D$5:$D$7,MATCH($N60,参数!$A$5:$A$7,0)),"")</f>
        <v>1.5</v>
      </c>
      <c r="AA60" s="4">
        <f>IFERROR(INDEX(楼层配置!$E$5:$E$104,MATCH($K60,楼层配置!$B$5:$B$104,0)),1)</f>
        <v>1</v>
      </c>
      <c r="AB60" s="4">
        <f>IFERROR(INDEX(楼层配置!$F$5:$F$104,MATCH($K60,楼层配置!$B$5:$B$104,0)),1)</f>
        <v>1</v>
      </c>
      <c r="AC60" s="4">
        <f>IFERROR(INDEX(楼层配置!$G$5:$G$104,MATCH($K60,楼层配置!$B$5:$B$104,0)),1)</f>
        <v>1</v>
      </c>
      <c r="AD60" s="6">
        <f t="shared" si="3"/>
        <v>1.3514</v>
      </c>
      <c r="AE60" s="6">
        <f t="shared" si="4"/>
        <v>1.01604978709466</v>
      </c>
      <c r="AF60" s="6">
        <f t="shared" si="5"/>
        <v>1.40227038183695</v>
      </c>
      <c r="AG60" s="4" t="str">
        <f t="shared" si="6"/>
        <v>有效</v>
      </c>
    </row>
    <row r="61" ht="14.25" customHeight="1" spans="1:33">
      <c r="A61" s="4">
        <v>57</v>
      </c>
      <c r="B61" s="4">
        <v>1036</v>
      </c>
      <c r="C61" s="4">
        <v>16</v>
      </c>
      <c r="D61" s="5">
        <f>IFERROR(ROUND($U61*$X61*$AA61*参数!$B$13,0),"")</f>
        <v>156760</v>
      </c>
      <c r="E61" s="5">
        <f>IFERROR(ROUND($V61*$Y61*$AB61*参数!$C$13,0),"")</f>
        <v>7386</v>
      </c>
      <c r="F61" s="5">
        <f>IFERROR(ROUND($W61*$Z61*$AC61*参数!$D$13,0),"")</f>
        <v>7759</v>
      </c>
      <c r="G61" s="4">
        <v>66667</v>
      </c>
      <c r="H61" s="4">
        <v>3663</v>
      </c>
      <c r="I61" s="4">
        <v>3230</v>
      </c>
      <c r="J61" s="4">
        <v>12</v>
      </c>
      <c r="K61" s="4">
        <v>12</v>
      </c>
      <c r="L61" s="4">
        <f>IFERROR(INDEX(楼层配置!$D$5:$D$104,MATCH($K61,楼层配置!$B$5:$B$104,0)),"")</f>
        <v>113</v>
      </c>
      <c r="M61" s="4" t="str">
        <f>IFERROR(INDEX(_角色基线!$B$2:$B$100,MATCH($B61,_角色基线!$A$2:$A$100,0)),"")</f>
        <v>霜狼法师</v>
      </c>
      <c r="N61" s="4" t="str">
        <f>IFERROR(INDEX(_角色基线!$C$2:$C$100,MATCH($B61,_角色基线!$A$2:$A$100,0)),"")</f>
        <v>DPS</v>
      </c>
      <c r="O61" s="4">
        <f>IFERROR(INDEX(_怪物基线!$B$2:$B$501,MATCH(INT($L61),_怪物基线!$A$2:$A$501,0)),"")</f>
        <v>39190</v>
      </c>
      <c r="P61" s="4">
        <f>IFERROR(INDEX(_怪物基线!$C$2:$C$501,MATCH(INT($L61),_怪物基线!$A$2:$A$501,0)),"")</f>
        <v>5129</v>
      </c>
      <c r="Q61" s="4">
        <f>IFERROR(INDEX(_怪物基线!$D$2:$D$501,MATCH(INT($L61),_怪物基线!$A$2:$A$501,0)),"")</f>
        <v>7759</v>
      </c>
      <c r="R61" s="4">
        <f>参数!$B$10</f>
        <v>4</v>
      </c>
      <c r="S61" s="4">
        <f>参数!$C$10</f>
        <v>1.2</v>
      </c>
      <c r="T61" s="4">
        <f>参数!$D$10</f>
        <v>1</v>
      </c>
      <c r="U61" s="4">
        <f t="shared" si="0"/>
        <v>156760</v>
      </c>
      <c r="V61" s="4">
        <f t="shared" si="1"/>
        <v>6154.8</v>
      </c>
      <c r="W61" s="4">
        <f t="shared" si="2"/>
        <v>7759</v>
      </c>
      <c r="X61" s="4">
        <f>IFERROR(INDEX(参数!$B$5:$B$7,MATCH($N61,参数!$A$5:$A$7,0)),"")</f>
        <v>1</v>
      </c>
      <c r="Y61" s="4">
        <f>IFERROR(INDEX(参数!$C$5:$C$7,MATCH($N61,参数!$A$5:$A$7,0)),"")</f>
        <v>1.2</v>
      </c>
      <c r="Z61" s="4">
        <f>IFERROR(INDEX(参数!$D$5:$D$7,MATCH($N61,参数!$A$5:$A$7,0)),"")</f>
        <v>1</v>
      </c>
      <c r="AA61" s="4">
        <f>IFERROR(INDEX(楼层配置!$E$5:$E$104,MATCH($K61,楼层配置!$B$5:$B$104,0)),1)</f>
        <v>1</v>
      </c>
      <c r="AB61" s="4">
        <f>IFERROR(INDEX(楼层配置!$F$5:$F$104,MATCH($K61,楼层配置!$B$5:$B$104,0)),1)</f>
        <v>1</v>
      </c>
      <c r="AC61" s="4">
        <f>IFERROR(INDEX(楼层配置!$G$5:$G$104,MATCH($K61,楼层配置!$B$5:$B$104,0)),1)</f>
        <v>1</v>
      </c>
      <c r="AD61" s="6">
        <f t="shared" si="3"/>
        <v>1.35138824305878</v>
      </c>
      <c r="AE61" s="6">
        <f t="shared" si="4"/>
        <v>1.01638001638002</v>
      </c>
      <c r="AF61" s="6">
        <f t="shared" si="5"/>
        <v>1.40216718266254</v>
      </c>
      <c r="AG61" s="4" t="str">
        <f t="shared" si="6"/>
        <v>有效</v>
      </c>
    </row>
    <row r="62" ht="14.25" customHeight="1" spans="1:33">
      <c r="A62" s="4">
        <v>58</v>
      </c>
      <c r="B62" s="4">
        <v>1015</v>
      </c>
      <c r="C62" s="4">
        <v>16</v>
      </c>
      <c r="D62" s="5">
        <f>IFERROR(ROUND($U62*$X62*$AA62*参数!$B$13,0),"")</f>
        <v>195950</v>
      </c>
      <c r="E62" s="5">
        <f>IFERROR(ROUND($V62*$Y62*$AB62*参数!$C$13,0),"")</f>
        <v>6155</v>
      </c>
      <c r="F62" s="5">
        <f>IFERROR(ROUND($W62*$Z62*$AC62*参数!$D$13,0),"")</f>
        <v>9699</v>
      </c>
      <c r="G62" s="4">
        <v>83334</v>
      </c>
      <c r="H62" s="4">
        <v>3053</v>
      </c>
      <c r="I62" s="4">
        <v>4038</v>
      </c>
      <c r="J62" s="4">
        <v>12</v>
      </c>
      <c r="K62" s="4">
        <v>12</v>
      </c>
      <c r="L62" s="4">
        <f>IFERROR(INDEX(楼层配置!$D$5:$D$104,MATCH($K62,楼层配置!$B$5:$B$104,0)),"")</f>
        <v>113</v>
      </c>
      <c r="M62" s="4" t="str">
        <f>IFERROR(INDEX(_角色基线!$B$2:$B$100,MATCH($B62,_角色基线!$A$2:$A$100,0)),"")</f>
        <v>阿莱克西娅</v>
      </c>
      <c r="N62" s="4" t="str">
        <f>IFERROR(INDEX(_角色基线!$C$2:$C$100,MATCH($B62,_角色基线!$A$2:$A$100,0)),"")</f>
        <v>Support</v>
      </c>
      <c r="O62" s="4">
        <f>IFERROR(INDEX(_怪物基线!$B$2:$B$501,MATCH(INT($L62),_怪物基线!$A$2:$A$501,0)),"")</f>
        <v>39190</v>
      </c>
      <c r="P62" s="4">
        <f>IFERROR(INDEX(_怪物基线!$C$2:$C$501,MATCH(INT($L62),_怪物基线!$A$2:$A$501,0)),"")</f>
        <v>5129</v>
      </c>
      <c r="Q62" s="4">
        <f>IFERROR(INDEX(_怪物基线!$D$2:$D$501,MATCH(INT($L62),_怪物基线!$A$2:$A$501,0)),"")</f>
        <v>7759</v>
      </c>
      <c r="R62" s="4">
        <f>参数!$B$10</f>
        <v>4</v>
      </c>
      <c r="S62" s="4">
        <f>参数!$C$10</f>
        <v>1.2</v>
      </c>
      <c r="T62" s="4">
        <f>参数!$D$10</f>
        <v>1</v>
      </c>
      <c r="U62" s="4">
        <f t="shared" si="0"/>
        <v>156760</v>
      </c>
      <c r="V62" s="4">
        <f t="shared" si="1"/>
        <v>6154.8</v>
      </c>
      <c r="W62" s="4">
        <f t="shared" si="2"/>
        <v>7759</v>
      </c>
      <c r="X62" s="4">
        <f>IFERROR(INDEX(参数!$B$5:$B$7,MATCH($N62,参数!$A$5:$A$7,0)),"")</f>
        <v>1.25</v>
      </c>
      <c r="Y62" s="4">
        <f>IFERROR(INDEX(参数!$C$5:$C$7,MATCH($N62,参数!$A$5:$A$7,0)),"")</f>
        <v>1</v>
      </c>
      <c r="Z62" s="4">
        <f>IFERROR(INDEX(参数!$D$5:$D$7,MATCH($N62,参数!$A$5:$A$7,0)),"")</f>
        <v>1.25</v>
      </c>
      <c r="AA62" s="4">
        <f>IFERROR(INDEX(楼层配置!$E$5:$E$104,MATCH($K62,楼层配置!$B$5:$B$104,0)),1)</f>
        <v>1</v>
      </c>
      <c r="AB62" s="4">
        <f>IFERROR(INDEX(楼层配置!$F$5:$F$104,MATCH($K62,楼层配置!$B$5:$B$104,0)),1)</f>
        <v>1</v>
      </c>
      <c r="AC62" s="4">
        <f>IFERROR(INDEX(楼层配置!$G$5:$G$104,MATCH($K62,楼层配置!$B$5:$B$104,0)),1)</f>
        <v>1</v>
      </c>
      <c r="AD62" s="6">
        <f t="shared" si="3"/>
        <v>1.35138118895049</v>
      </c>
      <c r="AE62" s="6">
        <f t="shared" si="4"/>
        <v>1.01604978709466</v>
      </c>
      <c r="AF62" s="6">
        <f t="shared" si="5"/>
        <v>1.40193164933135</v>
      </c>
      <c r="AG62" s="4" t="str">
        <f t="shared" si="6"/>
        <v>有效</v>
      </c>
    </row>
    <row r="63" ht="14.25" customHeight="1" spans="1:33">
      <c r="A63" s="4">
        <v>59</v>
      </c>
      <c r="B63" s="4">
        <v>1018</v>
      </c>
      <c r="C63" s="4">
        <v>16</v>
      </c>
      <c r="D63" s="5">
        <f>IFERROR(ROUND($U63*$X63*$AA63*参数!$B$13,0),"")</f>
        <v>195950</v>
      </c>
      <c r="E63" s="5">
        <f>IFERROR(ROUND($V63*$Y63*$AB63*参数!$C$13,0),"")</f>
        <v>6155</v>
      </c>
      <c r="F63" s="5">
        <f>IFERROR(ROUND($W63*$Z63*$AC63*参数!$D$13,0),"")</f>
        <v>9699</v>
      </c>
      <c r="G63" s="4">
        <v>83334</v>
      </c>
      <c r="H63" s="4">
        <v>3053</v>
      </c>
      <c r="I63" s="4">
        <v>4038</v>
      </c>
      <c r="J63" s="4">
        <v>12</v>
      </c>
      <c r="K63" s="4">
        <v>12</v>
      </c>
      <c r="L63" s="4">
        <f>IFERROR(INDEX(楼层配置!$D$5:$D$104,MATCH($K63,楼层配置!$B$5:$B$104,0)),"")</f>
        <v>113</v>
      </c>
      <c r="M63" s="4" t="str">
        <f>IFERROR(INDEX(_角色基线!$B$2:$B$100,MATCH($B63,_角色基线!$A$2:$A$100,0)),"")</f>
        <v>埃莉诺</v>
      </c>
      <c r="N63" s="4" t="str">
        <f>IFERROR(INDEX(_角色基线!$C$2:$C$100,MATCH($B63,_角色基线!$A$2:$A$100,0)),"")</f>
        <v>Support</v>
      </c>
      <c r="O63" s="4">
        <f>IFERROR(INDEX(_怪物基线!$B$2:$B$501,MATCH(INT($L63),_怪物基线!$A$2:$A$501,0)),"")</f>
        <v>39190</v>
      </c>
      <c r="P63" s="4">
        <f>IFERROR(INDEX(_怪物基线!$C$2:$C$501,MATCH(INT($L63),_怪物基线!$A$2:$A$501,0)),"")</f>
        <v>5129</v>
      </c>
      <c r="Q63" s="4">
        <f>IFERROR(INDEX(_怪物基线!$D$2:$D$501,MATCH(INT($L63),_怪物基线!$A$2:$A$501,0)),"")</f>
        <v>7759</v>
      </c>
      <c r="R63" s="4">
        <f>参数!$B$10</f>
        <v>4</v>
      </c>
      <c r="S63" s="4">
        <f>参数!$C$10</f>
        <v>1.2</v>
      </c>
      <c r="T63" s="4">
        <f>参数!$D$10</f>
        <v>1</v>
      </c>
      <c r="U63" s="4">
        <f t="shared" si="0"/>
        <v>156760</v>
      </c>
      <c r="V63" s="4">
        <f t="shared" si="1"/>
        <v>6154.8</v>
      </c>
      <c r="W63" s="4">
        <f t="shared" si="2"/>
        <v>7759</v>
      </c>
      <c r="X63" s="4">
        <f>IFERROR(INDEX(参数!$B$5:$B$7,MATCH($N63,参数!$A$5:$A$7,0)),"")</f>
        <v>1.25</v>
      </c>
      <c r="Y63" s="4">
        <f>IFERROR(INDEX(参数!$C$5:$C$7,MATCH($N63,参数!$A$5:$A$7,0)),"")</f>
        <v>1</v>
      </c>
      <c r="Z63" s="4">
        <f>IFERROR(INDEX(参数!$D$5:$D$7,MATCH($N63,参数!$A$5:$A$7,0)),"")</f>
        <v>1.25</v>
      </c>
      <c r="AA63" s="4">
        <f>IFERROR(INDEX(楼层配置!$E$5:$E$104,MATCH($K63,楼层配置!$B$5:$B$104,0)),1)</f>
        <v>1</v>
      </c>
      <c r="AB63" s="4">
        <f>IFERROR(INDEX(楼层配置!$F$5:$F$104,MATCH($K63,楼层配置!$B$5:$B$104,0)),1)</f>
        <v>1</v>
      </c>
      <c r="AC63" s="4">
        <f>IFERROR(INDEX(楼层配置!$G$5:$G$104,MATCH($K63,楼层配置!$B$5:$B$104,0)),1)</f>
        <v>1</v>
      </c>
      <c r="AD63" s="6">
        <f t="shared" si="3"/>
        <v>1.35138118895049</v>
      </c>
      <c r="AE63" s="6">
        <f t="shared" si="4"/>
        <v>1.01604978709466</v>
      </c>
      <c r="AF63" s="6">
        <f t="shared" si="5"/>
        <v>1.40193164933135</v>
      </c>
      <c r="AG63" s="4" t="str">
        <f t="shared" si="6"/>
        <v>有效</v>
      </c>
    </row>
    <row r="64" ht="14.25" customHeight="1" spans="1:33">
      <c r="A64" s="4">
        <v>60</v>
      </c>
      <c r="B64" s="4">
        <v>1036</v>
      </c>
      <c r="C64" s="4">
        <v>16</v>
      </c>
      <c r="D64" s="5">
        <f>IFERROR(ROUND($U64*$X64*$AA64*参数!$B$13,0),"")</f>
        <v>156760</v>
      </c>
      <c r="E64" s="5">
        <f>IFERROR(ROUND($V64*$Y64*$AB64*参数!$C$13,0),"")</f>
        <v>7386</v>
      </c>
      <c r="F64" s="5">
        <f>IFERROR(ROUND($W64*$Z64*$AC64*参数!$D$13,0),"")</f>
        <v>7759</v>
      </c>
      <c r="G64" s="4">
        <v>66667</v>
      </c>
      <c r="H64" s="4">
        <v>3663</v>
      </c>
      <c r="I64" s="4">
        <v>3230</v>
      </c>
      <c r="J64" s="4">
        <v>12</v>
      </c>
      <c r="K64" s="4">
        <v>12</v>
      </c>
      <c r="L64" s="4">
        <f>IFERROR(INDEX(楼层配置!$D$5:$D$104,MATCH($K64,楼层配置!$B$5:$B$104,0)),"")</f>
        <v>113</v>
      </c>
      <c r="M64" s="4" t="str">
        <f>IFERROR(INDEX(_角色基线!$B$2:$B$100,MATCH($B64,_角色基线!$A$2:$A$100,0)),"")</f>
        <v>霜狼法师</v>
      </c>
      <c r="N64" s="4" t="str">
        <f>IFERROR(INDEX(_角色基线!$C$2:$C$100,MATCH($B64,_角色基线!$A$2:$A$100,0)),"")</f>
        <v>DPS</v>
      </c>
      <c r="O64" s="4">
        <f>IFERROR(INDEX(_怪物基线!$B$2:$B$501,MATCH(INT($L64),_怪物基线!$A$2:$A$501,0)),"")</f>
        <v>39190</v>
      </c>
      <c r="P64" s="4">
        <f>IFERROR(INDEX(_怪物基线!$C$2:$C$501,MATCH(INT($L64),_怪物基线!$A$2:$A$501,0)),"")</f>
        <v>5129</v>
      </c>
      <c r="Q64" s="4">
        <f>IFERROR(INDEX(_怪物基线!$D$2:$D$501,MATCH(INT($L64),_怪物基线!$A$2:$A$501,0)),"")</f>
        <v>7759</v>
      </c>
      <c r="R64" s="4">
        <f>参数!$B$10</f>
        <v>4</v>
      </c>
      <c r="S64" s="4">
        <f>参数!$C$10</f>
        <v>1.2</v>
      </c>
      <c r="T64" s="4">
        <f>参数!$D$10</f>
        <v>1</v>
      </c>
      <c r="U64" s="4">
        <f t="shared" si="0"/>
        <v>156760</v>
      </c>
      <c r="V64" s="4">
        <f t="shared" si="1"/>
        <v>6154.8</v>
      </c>
      <c r="W64" s="4">
        <f t="shared" si="2"/>
        <v>7759</v>
      </c>
      <c r="X64" s="4">
        <f>IFERROR(INDEX(参数!$B$5:$B$7,MATCH($N64,参数!$A$5:$A$7,0)),"")</f>
        <v>1</v>
      </c>
      <c r="Y64" s="4">
        <f>IFERROR(INDEX(参数!$C$5:$C$7,MATCH($N64,参数!$A$5:$A$7,0)),"")</f>
        <v>1.2</v>
      </c>
      <c r="Z64" s="4">
        <f>IFERROR(INDEX(参数!$D$5:$D$7,MATCH($N64,参数!$A$5:$A$7,0)),"")</f>
        <v>1</v>
      </c>
      <c r="AA64" s="4">
        <f>IFERROR(INDEX(楼层配置!$E$5:$E$104,MATCH($K64,楼层配置!$B$5:$B$104,0)),1)</f>
        <v>1</v>
      </c>
      <c r="AB64" s="4">
        <f>IFERROR(INDEX(楼层配置!$F$5:$F$104,MATCH($K64,楼层配置!$B$5:$B$104,0)),1)</f>
        <v>1</v>
      </c>
      <c r="AC64" s="4">
        <f>IFERROR(INDEX(楼层配置!$G$5:$G$104,MATCH($K64,楼层配置!$B$5:$B$104,0)),1)</f>
        <v>1</v>
      </c>
      <c r="AD64" s="6">
        <f t="shared" si="3"/>
        <v>1.35138824305878</v>
      </c>
      <c r="AE64" s="6">
        <f t="shared" si="4"/>
        <v>1.01638001638002</v>
      </c>
      <c r="AF64" s="6">
        <f t="shared" si="5"/>
        <v>1.40216718266254</v>
      </c>
      <c r="AG64" s="4" t="str">
        <f t="shared" si="6"/>
        <v>有效</v>
      </c>
    </row>
    <row r="65" ht="14.25" customHeight="1" spans="1:33">
      <c r="A65" s="4">
        <v>61</v>
      </c>
      <c r="B65" s="4">
        <v>1037</v>
      </c>
      <c r="C65" s="4">
        <v>16</v>
      </c>
      <c r="D65" s="5">
        <f>IFERROR(ROUND($U65*$X65*$AA65*参数!$B$13,0),"")</f>
        <v>176856</v>
      </c>
      <c r="E65" s="5">
        <f>IFERROR(ROUND($V65*$Y65*$AB65*参数!$C$13,0),"")</f>
        <v>7995</v>
      </c>
      <c r="F65" s="5">
        <f>IFERROR(ROUND($W65*$Z65*$AC65*参数!$D$13,0),"")</f>
        <v>8336</v>
      </c>
      <c r="G65" s="4">
        <v>73891</v>
      </c>
      <c r="H65" s="4">
        <v>3936</v>
      </c>
      <c r="I65" s="4">
        <v>3456</v>
      </c>
      <c r="J65" s="4">
        <v>13</v>
      </c>
      <c r="K65" s="4">
        <v>13</v>
      </c>
      <c r="L65" s="4">
        <f>IFERROR(INDEX(楼层配置!$D$5:$D$104,MATCH($K65,楼层配置!$B$5:$B$104,0)),"")</f>
        <v>120</v>
      </c>
      <c r="M65" s="4" t="str">
        <f>IFERROR(INDEX(_角色基线!$B$2:$B$100,MATCH($B65,_角色基线!$A$2:$A$100,0)),"")</f>
        <v>霜狼战士</v>
      </c>
      <c r="N65" s="4" t="str">
        <f>IFERROR(INDEX(_角色基线!$C$2:$C$100,MATCH($B65,_角色基线!$A$2:$A$100,0)),"")</f>
        <v>DPS</v>
      </c>
      <c r="O65" s="4">
        <f>IFERROR(INDEX(_怪物基线!$B$2:$B$501,MATCH(INT($L65),_怪物基线!$A$2:$A$501,0)),"")</f>
        <v>44214</v>
      </c>
      <c r="P65" s="4">
        <f>IFERROR(INDEX(_怪物基线!$C$2:$C$501,MATCH(INT($L65),_怪物基线!$A$2:$A$501,0)),"")</f>
        <v>5552</v>
      </c>
      <c r="Q65" s="4">
        <f>IFERROR(INDEX(_怪物基线!$D$2:$D$501,MATCH(INT($L65),_怪物基线!$A$2:$A$501,0)),"")</f>
        <v>8336</v>
      </c>
      <c r="R65" s="4">
        <f>参数!$B$10</f>
        <v>4</v>
      </c>
      <c r="S65" s="4">
        <f>参数!$C$10</f>
        <v>1.2</v>
      </c>
      <c r="T65" s="4">
        <f>参数!$D$10</f>
        <v>1</v>
      </c>
      <c r="U65" s="4">
        <f t="shared" si="0"/>
        <v>176856</v>
      </c>
      <c r="V65" s="4">
        <f t="shared" si="1"/>
        <v>6662.4</v>
      </c>
      <c r="W65" s="4">
        <f t="shared" si="2"/>
        <v>8336</v>
      </c>
      <c r="X65" s="4">
        <f>IFERROR(INDEX(参数!$B$5:$B$7,MATCH($N65,参数!$A$5:$A$7,0)),"")</f>
        <v>1</v>
      </c>
      <c r="Y65" s="4">
        <f>IFERROR(INDEX(参数!$C$5:$C$7,MATCH($N65,参数!$A$5:$A$7,0)),"")</f>
        <v>1.2</v>
      </c>
      <c r="Z65" s="4">
        <f>IFERROR(INDEX(参数!$D$5:$D$7,MATCH($N65,参数!$A$5:$A$7,0)),"")</f>
        <v>1</v>
      </c>
      <c r="AA65" s="4">
        <f>IFERROR(INDEX(楼层配置!$E$5:$E$104,MATCH($K65,楼层配置!$B$5:$B$104,0)),1)</f>
        <v>1</v>
      </c>
      <c r="AB65" s="4">
        <f>IFERROR(INDEX(楼层配置!$F$5:$F$104,MATCH($K65,楼层配置!$B$5:$B$104,0)),1)</f>
        <v>1</v>
      </c>
      <c r="AC65" s="4">
        <f>IFERROR(INDEX(楼层配置!$G$5:$G$104,MATCH($K65,楼层配置!$B$5:$B$104,0)),1)</f>
        <v>1</v>
      </c>
      <c r="AD65" s="6">
        <f t="shared" si="3"/>
        <v>1.39347146472507</v>
      </c>
      <c r="AE65" s="6">
        <f t="shared" si="4"/>
        <v>1.03125</v>
      </c>
      <c r="AF65" s="6">
        <f t="shared" si="5"/>
        <v>1.41203703703704</v>
      </c>
      <c r="AG65" s="4" t="str">
        <f t="shared" si="6"/>
        <v>有效</v>
      </c>
    </row>
    <row r="66" ht="14.25" customHeight="1" spans="1:33">
      <c r="A66" s="4">
        <v>62</v>
      </c>
      <c r="B66" s="4">
        <v>1015</v>
      </c>
      <c r="C66" s="4">
        <v>16</v>
      </c>
      <c r="D66" s="5">
        <f>IFERROR(ROUND($U66*$X66*$AA66*参数!$B$13,0),"")</f>
        <v>221070</v>
      </c>
      <c r="E66" s="5">
        <f>IFERROR(ROUND($V66*$Y66*$AB66*参数!$C$13,0),"")</f>
        <v>6662</v>
      </c>
      <c r="F66" s="5">
        <f>IFERROR(ROUND($W66*$Z66*$AC66*参数!$D$13,0),"")</f>
        <v>10420</v>
      </c>
      <c r="G66" s="4">
        <v>92364</v>
      </c>
      <c r="H66" s="4">
        <v>3280</v>
      </c>
      <c r="I66" s="4">
        <v>4321</v>
      </c>
      <c r="J66" s="4">
        <v>13</v>
      </c>
      <c r="K66" s="4">
        <v>13</v>
      </c>
      <c r="L66" s="4">
        <f>IFERROR(INDEX(楼层配置!$D$5:$D$104,MATCH($K66,楼层配置!$B$5:$B$104,0)),"")</f>
        <v>120</v>
      </c>
      <c r="M66" s="4" t="str">
        <f>IFERROR(INDEX(_角色基线!$B$2:$B$100,MATCH($B66,_角色基线!$A$2:$A$100,0)),"")</f>
        <v>阿莱克西娅</v>
      </c>
      <c r="N66" s="4" t="str">
        <f>IFERROR(INDEX(_角色基线!$C$2:$C$100,MATCH($B66,_角色基线!$A$2:$A$100,0)),"")</f>
        <v>Support</v>
      </c>
      <c r="O66" s="4">
        <f>IFERROR(INDEX(_怪物基线!$B$2:$B$501,MATCH(INT($L66),_怪物基线!$A$2:$A$501,0)),"")</f>
        <v>44214</v>
      </c>
      <c r="P66" s="4">
        <f>IFERROR(INDEX(_怪物基线!$C$2:$C$501,MATCH(INT($L66),_怪物基线!$A$2:$A$501,0)),"")</f>
        <v>5552</v>
      </c>
      <c r="Q66" s="4">
        <f>IFERROR(INDEX(_怪物基线!$D$2:$D$501,MATCH(INT($L66),_怪物基线!$A$2:$A$501,0)),"")</f>
        <v>8336</v>
      </c>
      <c r="R66" s="4">
        <f>参数!$B$10</f>
        <v>4</v>
      </c>
      <c r="S66" s="4">
        <f>参数!$C$10</f>
        <v>1.2</v>
      </c>
      <c r="T66" s="4">
        <f>参数!$D$10</f>
        <v>1</v>
      </c>
      <c r="U66" s="4">
        <f t="shared" si="0"/>
        <v>176856</v>
      </c>
      <c r="V66" s="4">
        <f t="shared" si="1"/>
        <v>6662.4</v>
      </c>
      <c r="W66" s="4">
        <f t="shared" si="2"/>
        <v>8336</v>
      </c>
      <c r="X66" s="4">
        <f>IFERROR(INDEX(参数!$B$5:$B$7,MATCH($N66,参数!$A$5:$A$7,0)),"")</f>
        <v>1.25</v>
      </c>
      <c r="Y66" s="4">
        <f>IFERROR(INDEX(参数!$C$5:$C$7,MATCH($N66,参数!$A$5:$A$7,0)),"")</f>
        <v>1</v>
      </c>
      <c r="Z66" s="4">
        <f>IFERROR(INDEX(参数!$D$5:$D$7,MATCH($N66,参数!$A$5:$A$7,0)),"")</f>
        <v>1.25</v>
      </c>
      <c r="AA66" s="4">
        <f>IFERROR(INDEX(楼层配置!$E$5:$E$104,MATCH($K66,楼层配置!$B$5:$B$104,0)),1)</f>
        <v>1</v>
      </c>
      <c r="AB66" s="4">
        <f>IFERROR(INDEX(楼层配置!$F$5:$F$104,MATCH($K66,楼层配置!$B$5:$B$104,0)),1)</f>
        <v>1</v>
      </c>
      <c r="AC66" s="4">
        <f>IFERROR(INDEX(楼层配置!$G$5:$G$104,MATCH($K66,楼层配置!$B$5:$B$104,0)),1)</f>
        <v>1</v>
      </c>
      <c r="AD66" s="6">
        <f t="shared" si="3"/>
        <v>1.39346498635832</v>
      </c>
      <c r="AE66" s="6">
        <f t="shared" si="4"/>
        <v>1.03109756097561</v>
      </c>
      <c r="AF66" s="6">
        <f t="shared" si="5"/>
        <v>1.41147882434622</v>
      </c>
      <c r="AG66" s="4" t="str">
        <f t="shared" si="6"/>
        <v>有效</v>
      </c>
    </row>
    <row r="67" ht="14.25" customHeight="1" spans="1:33">
      <c r="A67" s="4">
        <v>63</v>
      </c>
      <c r="B67" s="4">
        <v>1036</v>
      </c>
      <c r="C67" s="4">
        <v>16</v>
      </c>
      <c r="D67" s="5">
        <f>IFERROR(ROUND($U67*$X67*$AA67*参数!$B$13,0),"")</f>
        <v>176856</v>
      </c>
      <c r="E67" s="5">
        <f>IFERROR(ROUND($V67*$Y67*$AB67*参数!$C$13,0),"")</f>
        <v>7995</v>
      </c>
      <c r="F67" s="5">
        <f>IFERROR(ROUND($W67*$Z67*$AC67*参数!$D$13,0),"")</f>
        <v>8336</v>
      </c>
      <c r="G67" s="4">
        <v>73891</v>
      </c>
      <c r="H67" s="4">
        <v>3936</v>
      </c>
      <c r="I67" s="4">
        <v>3456</v>
      </c>
      <c r="J67" s="4">
        <v>13</v>
      </c>
      <c r="K67" s="4">
        <v>13</v>
      </c>
      <c r="L67" s="4">
        <f>IFERROR(INDEX(楼层配置!$D$5:$D$104,MATCH($K67,楼层配置!$B$5:$B$104,0)),"")</f>
        <v>120</v>
      </c>
      <c r="M67" s="4" t="str">
        <f>IFERROR(INDEX(_角色基线!$B$2:$B$100,MATCH($B67,_角色基线!$A$2:$A$100,0)),"")</f>
        <v>霜狼法师</v>
      </c>
      <c r="N67" s="4" t="str">
        <f>IFERROR(INDEX(_角色基线!$C$2:$C$100,MATCH($B67,_角色基线!$A$2:$A$100,0)),"")</f>
        <v>DPS</v>
      </c>
      <c r="O67" s="4">
        <f>IFERROR(INDEX(_怪物基线!$B$2:$B$501,MATCH(INT($L67),_怪物基线!$A$2:$A$501,0)),"")</f>
        <v>44214</v>
      </c>
      <c r="P67" s="4">
        <f>IFERROR(INDEX(_怪物基线!$C$2:$C$501,MATCH(INT($L67),_怪物基线!$A$2:$A$501,0)),"")</f>
        <v>5552</v>
      </c>
      <c r="Q67" s="4">
        <f>IFERROR(INDEX(_怪物基线!$D$2:$D$501,MATCH(INT($L67),_怪物基线!$A$2:$A$501,0)),"")</f>
        <v>8336</v>
      </c>
      <c r="R67" s="4">
        <f>参数!$B$10</f>
        <v>4</v>
      </c>
      <c r="S67" s="4">
        <f>参数!$C$10</f>
        <v>1.2</v>
      </c>
      <c r="T67" s="4">
        <f>参数!$D$10</f>
        <v>1</v>
      </c>
      <c r="U67" s="4">
        <f t="shared" si="0"/>
        <v>176856</v>
      </c>
      <c r="V67" s="4">
        <f t="shared" si="1"/>
        <v>6662.4</v>
      </c>
      <c r="W67" s="4">
        <f t="shared" si="2"/>
        <v>8336</v>
      </c>
      <c r="X67" s="4">
        <f>IFERROR(INDEX(参数!$B$5:$B$7,MATCH($N67,参数!$A$5:$A$7,0)),"")</f>
        <v>1</v>
      </c>
      <c r="Y67" s="4">
        <f>IFERROR(INDEX(参数!$C$5:$C$7,MATCH($N67,参数!$A$5:$A$7,0)),"")</f>
        <v>1.2</v>
      </c>
      <c r="Z67" s="4">
        <f>IFERROR(INDEX(参数!$D$5:$D$7,MATCH($N67,参数!$A$5:$A$7,0)),"")</f>
        <v>1</v>
      </c>
      <c r="AA67" s="4">
        <f>IFERROR(INDEX(楼层配置!$E$5:$E$104,MATCH($K67,楼层配置!$B$5:$B$104,0)),1)</f>
        <v>1</v>
      </c>
      <c r="AB67" s="4">
        <f>IFERROR(INDEX(楼层配置!$F$5:$F$104,MATCH($K67,楼层配置!$B$5:$B$104,0)),1)</f>
        <v>1</v>
      </c>
      <c r="AC67" s="4">
        <f>IFERROR(INDEX(楼层配置!$G$5:$G$104,MATCH($K67,楼层配置!$B$5:$B$104,0)),1)</f>
        <v>1</v>
      </c>
      <c r="AD67" s="6">
        <f t="shared" si="3"/>
        <v>1.39347146472507</v>
      </c>
      <c r="AE67" s="6">
        <f t="shared" si="4"/>
        <v>1.03125</v>
      </c>
      <c r="AF67" s="6">
        <f t="shared" si="5"/>
        <v>1.41203703703704</v>
      </c>
      <c r="AG67" s="4" t="str">
        <f t="shared" si="6"/>
        <v>有效</v>
      </c>
    </row>
    <row r="68" ht="14.25" customHeight="1" spans="1:33">
      <c r="A68" s="4">
        <v>64</v>
      </c>
      <c r="B68" s="4">
        <v>1039</v>
      </c>
      <c r="C68" s="4">
        <v>16</v>
      </c>
      <c r="D68" s="5">
        <f>IFERROR(ROUND($U68*$X68*$AA68*参数!$B$13,0),"")</f>
        <v>176856</v>
      </c>
      <c r="E68" s="5">
        <f>IFERROR(ROUND($V68*$Y68*$AB68*参数!$C$13,0),"")</f>
        <v>7995</v>
      </c>
      <c r="F68" s="5">
        <f>IFERROR(ROUND($W68*$Z68*$AC68*参数!$D$13,0),"")</f>
        <v>8336</v>
      </c>
      <c r="G68" s="4">
        <v>73891</v>
      </c>
      <c r="H68" s="4">
        <v>3936</v>
      </c>
      <c r="I68" s="4">
        <v>3456</v>
      </c>
      <c r="J68" s="4">
        <v>13</v>
      </c>
      <c r="K68" s="4">
        <v>13</v>
      </c>
      <c r="L68" s="4">
        <f>IFERROR(INDEX(楼层配置!$D$5:$D$104,MATCH($K68,楼层配置!$B$5:$B$104,0)),"")</f>
        <v>120</v>
      </c>
      <c r="M68" s="4" t="str">
        <f>IFERROR(INDEX(_角色基线!$B$2:$B$100,MATCH($B68,_角色基线!$A$2:$A$100,0)),"")</f>
        <v>商队枪手</v>
      </c>
      <c r="N68" s="4" t="str">
        <f>IFERROR(INDEX(_角色基线!$C$2:$C$100,MATCH($B68,_角色基线!$A$2:$A$100,0)),"")</f>
        <v>DPS</v>
      </c>
      <c r="O68" s="4">
        <f>IFERROR(INDEX(_怪物基线!$B$2:$B$501,MATCH(INT($L68),_怪物基线!$A$2:$A$501,0)),"")</f>
        <v>44214</v>
      </c>
      <c r="P68" s="4">
        <f>IFERROR(INDEX(_怪物基线!$C$2:$C$501,MATCH(INT($L68),_怪物基线!$A$2:$A$501,0)),"")</f>
        <v>5552</v>
      </c>
      <c r="Q68" s="4">
        <f>IFERROR(INDEX(_怪物基线!$D$2:$D$501,MATCH(INT($L68),_怪物基线!$A$2:$A$501,0)),"")</f>
        <v>8336</v>
      </c>
      <c r="R68" s="4">
        <f>参数!$B$10</f>
        <v>4</v>
      </c>
      <c r="S68" s="4">
        <f>参数!$C$10</f>
        <v>1.2</v>
      </c>
      <c r="T68" s="4">
        <f>参数!$D$10</f>
        <v>1</v>
      </c>
      <c r="U68" s="4">
        <f t="shared" si="0"/>
        <v>176856</v>
      </c>
      <c r="V68" s="4">
        <f t="shared" si="1"/>
        <v>6662.4</v>
      </c>
      <c r="W68" s="4">
        <f t="shared" si="2"/>
        <v>8336</v>
      </c>
      <c r="X68" s="4">
        <f>IFERROR(INDEX(参数!$B$5:$B$7,MATCH($N68,参数!$A$5:$A$7,0)),"")</f>
        <v>1</v>
      </c>
      <c r="Y68" s="4">
        <f>IFERROR(INDEX(参数!$C$5:$C$7,MATCH($N68,参数!$A$5:$A$7,0)),"")</f>
        <v>1.2</v>
      </c>
      <c r="Z68" s="4">
        <f>IFERROR(INDEX(参数!$D$5:$D$7,MATCH($N68,参数!$A$5:$A$7,0)),"")</f>
        <v>1</v>
      </c>
      <c r="AA68" s="4">
        <f>IFERROR(INDEX(楼层配置!$E$5:$E$104,MATCH($K68,楼层配置!$B$5:$B$104,0)),1)</f>
        <v>1</v>
      </c>
      <c r="AB68" s="4">
        <f>IFERROR(INDEX(楼层配置!$F$5:$F$104,MATCH($K68,楼层配置!$B$5:$B$104,0)),1)</f>
        <v>1</v>
      </c>
      <c r="AC68" s="4">
        <f>IFERROR(INDEX(楼层配置!$G$5:$G$104,MATCH($K68,楼层配置!$B$5:$B$104,0)),1)</f>
        <v>1</v>
      </c>
      <c r="AD68" s="6">
        <f t="shared" si="3"/>
        <v>1.39347146472507</v>
      </c>
      <c r="AE68" s="6">
        <f t="shared" si="4"/>
        <v>1.03125</v>
      </c>
      <c r="AF68" s="6">
        <f t="shared" si="5"/>
        <v>1.41203703703704</v>
      </c>
      <c r="AG68" s="4" t="str">
        <f t="shared" si="6"/>
        <v>有效</v>
      </c>
    </row>
    <row r="69" ht="14.25" customHeight="1" spans="1:33">
      <c r="A69" s="4">
        <v>65</v>
      </c>
      <c r="B69" s="4">
        <v>1035</v>
      </c>
      <c r="C69" s="4">
        <v>16</v>
      </c>
      <c r="D69" s="5">
        <f>IFERROR(ROUND($U69*$X69*$AA69*参数!$B$13,0),"")</f>
        <v>176856</v>
      </c>
      <c r="E69" s="5">
        <f>IFERROR(ROUND($V69*$Y69*$AB69*参数!$C$13,0),"")</f>
        <v>7995</v>
      </c>
      <c r="F69" s="5">
        <f>IFERROR(ROUND($W69*$Z69*$AC69*参数!$D$13,0),"")</f>
        <v>8336</v>
      </c>
      <c r="G69" s="4">
        <v>73891</v>
      </c>
      <c r="H69" s="4">
        <v>3936</v>
      </c>
      <c r="I69" s="4">
        <v>3456</v>
      </c>
      <c r="J69" s="4">
        <v>13</v>
      </c>
      <c r="K69" s="4">
        <v>13</v>
      </c>
      <c r="L69" s="4">
        <f>IFERROR(INDEX(楼层配置!$D$5:$D$104,MATCH($K69,楼层配置!$B$5:$B$104,0)),"")</f>
        <v>120</v>
      </c>
      <c r="M69" s="4" t="str">
        <f>IFERROR(INDEX(_角色基线!$B$2:$B$100,MATCH($B69,_角色基线!$A$2:$A$100,0)),"")</f>
        <v>碎冰者</v>
      </c>
      <c r="N69" s="4" t="str">
        <f>IFERROR(INDEX(_角色基线!$C$2:$C$100,MATCH($B69,_角色基线!$A$2:$A$100,0)),"")</f>
        <v>DPS</v>
      </c>
      <c r="O69" s="4">
        <f>IFERROR(INDEX(_怪物基线!$B$2:$B$501,MATCH(INT($L69),_怪物基线!$A$2:$A$501,0)),"")</f>
        <v>44214</v>
      </c>
      <c r="P69" s="4">
        <f>IFERROR(INDEX(_怪物基线!$C$2:$C$501,MATCH(INT($L69),_怪物基线!$A$2:$A$501,0)),"")</f>
        <v>5552</v>
      </c>
      <c r="Q69" s="4">
        <f>IFERROR(INDEX(_怪物基线!$D$2:$D$501,MATCH(INT($L69),_怪物基线!$A$2:$A$501,0)),"")</f>
        <v>8336</v>
      </c>
      <c r="R69" s="4">
        <f>参数!$B$10</f>
        <v>4</v>
      </c>
      <c r="S69" s="4">
        <f>参数!$C$10</f>
        <v>1.2</v>
      </c>
      <c r="T69" s="4">
        <f>参数!$D$10</f>
        <v>1</v>
      </c>
      <c r="U69" s="4">
        <f t="shared" ref="U69:U132" si="7">IF($O69="","",$O69*$R69)</f>
        <v>176856</v>
      </c>
      <c r="V69" s="4">
        <f t="shared" ref="V69:V132" si="8">IF($P69="","",$P69*$S69)</f>
        <v>6662.4</v>
      </c>
      <c r="W69" s="4">
        <f t="shared" ref="W69:W132" si="9">IF($Q69="","",$Q69*$T69)</f>
        <v>8336</v>
      </c>
      <c r="X69" s="4">
        <f>IFERROR(INDEX(参数!$B$5:$B$7,MATCH($N69,参数!$A$5:$A$7,0)),"")</f>
        <v>1</v>
      </c>
      <c r="Y69" s="4">
        <f>IFERROR(INDEX(参数!$C$5:$C$7,MATCH($N69,参数!$A$5:$A$7,0)),"")</f>
        <v>1.2</v>
      </c>
      <c r="Z69" s="4">
        <f>IFERROR(INDEX(参数!$D$5:$D$7,MATCH($N69,参数!$A$5:$A$7,0)),"")</f>
        <v>1</v>
      </c>
      <c r="AA69" s="4">
        <f>IFERROR(INDEX(楼层配置!$E$5:$E$104,MATCH($K69,楼层配置!$B$5:$B$104,0)),1)</f>
        <v>1</v>
      </c>
      <c r="AB69" s="4">
        <f>IFERROR(INDEX(楼层配置!$F$5:$F$104,MATCH($K69,楼层配置!$B$5:$B$104,0)),1)</f>
        <v>1</v>
      </c>
      <c r="AC69" s="4">
        <f>IFERROR(INDEX(楼层配置!$G$5:$G$104,MATCH($K69,楼层配置!$B$5:$B$104,0)),1)</f>
        <v>1</v>
      </c>
      <c r="AD69" s="6">
        <f t="shared" ref="AD69:AD132" si="10">IFERROR($D69/$G69-1,"")</f>
        <v>1.39347146472507</v>
      </c>
      <c r="AE69" s="6">
        <f t="shared" ref="AE69:AE132" si="11">IFERROR($E69/$H69-1,"")</f>
        <v>1.03125</v>
      </c>
      <c r="AF69" s="6">
        <f t="shared" ref="AF69:AF132" si="12">IFERROR($F69/$I69-1,"")</f>
        <v>1.41203703703704</v>
      </c>
      <c r="AG69" s="4" t="str">
        <f t="shared" ref="AG69:AG132" si="13">IF(AND($A69&gt;=1,$L69&gt;=1,$L69&lt;=500,OR($N69="Tank",$N69="DPS",$N69="Support"),ISNUMBER($D69),ISNUMBER($E69),ISNUMBER($F69)),"有效","异常")</f>
        <v>有效</v>
      </c>
    </row>
    <row r="70" ht="14.25" customHeight="1" spans="1:33">
      <c r="A70" s="4">
        <v>66</v>
      </c>
      <c r="B70" s="4">
        <v>1002</v>
      </c>
      <c r="C70" s="4">
        <v>17</v>
      </c>
      <c r="D70" s="5">
        <f>IFERROR(ROUND($U70*$X70*$AA70*参数!$B$13,0),"")</f>
        <v>293094</v>
      </c>
      <c r="E70" s="5">
        <f>IFERROR(ROUND($V70*$Y70*$AB70*参数!$C$13,0),"")</f>
        <v>7111</v>
      </c>
      <c r="F70" s="5">
        <f>IFERROR(ROUND($W70*$Z70*$AC70*参数!$D$13,0),"")</f>
        <v>13257</v>
      </c>
      <c r="G70" s="4">
        <v>122313</v>
      </c>
      <c r="H70" s="4">
        <v>3510</v>
      </c>
      <c r="I70" s="4">
        <v>5529</v>
      </c>
      <c r="J70" s="4">
        <v>14</v>
      </c>
      <c r="K70" s="4">
        <v>14</v>
      </c>
      <c r="L70" s="4">
        <f>IFERROR(INDEX(楼层配置!$D$5:$D$104,MATCH($K70,楼层配置!$B$5:$B$104,0)),"")</f>
        <v>126</v>
      </c>
      <c r="M70" s="4" t="str">
        <f>IFERROR(INDEX(_角色基线!$B$2:$B$100,MATCH($B70,_角色基线!$A$2:$A$100,0)),"")</f>
        <v>大暑</v>
      </c>
      <c r="N70" s="4" t="str">
        <f>IFERROR(INDEX(_角色基线!$C$2:$C$100,MATCH($B70,_角色基线!$A$2:$A$100,0)),"")</f>
        <v>Tank</v>
      </c>
      <c r="O70" s="4">
        <f>IFERROR(INDEX(_怪物基线!$B$2:$B$501,MATCH(INT($L70),_怪物基线!$A$2:$A$501,0)),"")</f>
        <v>48849</v>
      </c>
      <c r="P70" s="4">
        <f>IFERROR(INDEX(_怪物基线!$C$2:$C$501,MATCH(INT($L70),_怪物基线!$A$2:$A$501,0)),"")</f>
        <v>5926</v>
      </c>
      <c r="Q70" s="4">
        <f>IFERROR(INDEX(_怪物基线!$D$2:$D$501,MATCH(INT($L70),_怪物基线!$A$2:$A$501,0)),"")</f>
        <v>8838</v>
      </c>
      <c r="R70" s="4">
        <f>参数!$B$10</f>
        <v>4</v>
      </c>
      <c r="S70" s="4">
        <f>参数!$C$10</f>
        <v>1.2</v>
      </c>
      <c r="T70" s="4">
        <f>参数!$D$10</f>
        <v>1</v>
      </c>
      <c r="U70" s="4">
        <f t="shared" si="7"/>
        <v>195396</v>
      </c>
      <c r="V70" s="4">
        <f t="shared" si="8"/>
        <v>7111.2</v>
      </c>
      <c r="W70" s="4">
        <f t="shared" si="9"/>
        <v>8838</v>
      </c>
      <c r="X70" s="4">
        <f>IFERROR(INDEX(参数!$B$5:$B$7,MATCH($N70,参数!$A$5:$A$7,0)),"")</f>
        <v>1.5</v>
      </c>
      <c r="Y70" s="4">
        <f>IFERROR(INDEX(参数!$C$5:$C$7,MATCH($N70,参数!$A$5:$A$7,0)),"")</f>
        <v>1</v>
      </c>
      <c r="Z70" s="4">
        <f>IFERROR(INDEX(参数!$D$5:$D$7,MATCH($N70,参数!$A$5:$A$7,0)),"")</f>
        <v>1.5</v>
      </c>
      <c r="AA70" s="4">
        <f>IFERROR(INDEX(楼层配置!$E$5:$E$104,MATCH($K70,楼层配置!$B$5:$B$104,0)),1)</f>
        <v>1</v>
      </c>
      <c r="AB70" s="4">
        <f>IFERROR(INDEX(楼层配置!$F$5:$F$104,MATCH($K70,楼层配置!$B$5:$B$104,0)),1)</f>
        <v>1</v>
      </c>
      <c r="AC70" s="4">
        <f>IFERROR(INDEX(楼层配置!$G$5:$G$104,MATCH($K70,楼层配置!$B$5:$B$104,0)),1)</f>
        <v>1</v>
      </c>
      <c r="AD70" s="6">
        <f t="shared" si="10"/>
        <v>1.39626204900542</v>
      </c>
      <c r="AE70" s="6">
        <f t="shared" si="11"/>
        <v>1.02592592592593</v>
      </c>
      <c r="AF70" s="6">
        <f t="shared" si="12"/>
        <v>1.39772110689094</v>
      </c>
      <c r="AG70" s="4" t="str">
        <f t="shared" si="13"/>
        <v>有效</v>
      </c>
    </row>
    <row r="71" ht="14.25" customHeight="1" spans="1:33">
      <c r="A71" s="4">
        <v>67</v>
      </c>
      <c r="B71" s="4">
        <v>1015</v>
      </c>
      <c r="C71" s="4">
        <v>17</v>
      </c>
      <c r="D71" s="5">
        <f>IFERROR(ROUND($U71*$X71*$AA71*参数!$B$13,0),"")</f>
        <v>244245</v>
      </c>
      <c r="E71" s="5">
        <f>IFERROR(ROUND($V71*$Y71*$AB71*参数!$C$13,0),"")</f>
        <v>7111</v>
      </c>
      <c r="F71" s="5">
        <f>IFERROR(ROUND($W71*$Z71*$AC71*参数!$D$13,0),"")</f>
        <v>11048</v>
      </c>
      <c r="G71" s="4">
        <v>101928</v>
      </c>
      <c r="H71" s="4">
        <v>3510</v>
      </c>
      <c r="I71" s="4">
        <v>4608</v>
      </c>
      <c r="J71" s="4">
        <v>14</v>
      </c>
      <c r="K71" s="4">
        <v>14</v>
      </c>
      <c r="L71" s="4">
        <f>IFERROR(INDEX(楼层配置!$D$5:$D$104,MATCH($K71,楼层配置!$B$5:$B$104,0)),"")</f>
        <v>126</v>
      </c>
      <c r="M71" s="4" t="str">
        <f>IFERROR(INDEX(_角色基线!$B$2:$B$100,MATCH($B71,_角色基线!$A$2:$A$100,0)),"")</f>
        <v>阿莱克西娅</v>
      </c>
      <c r="N71" s="4" t="str">
        <f>IFERROR(INDEX(_角色基线!$C$2:$C$100,MATCH($B71,_角色基线!$A$2:$A$100,0)),"")</f>
        <v>Support</v>
      </c>
      <c r="O71" s="4">
        <f>IFERROR(INDEX(_怪物基线!$B$2:$B$501,MATCH(INT($L71),_怪物基线!$A$2:$A$501,0)),"")</f>
        <v>48849</v>
      </c>
      <c r="P71" s="4">
        <f>IFERROR(INDEX(_怪物基线!$C$2:$C$501,MATCH(INT($L71),_怪物基线!$A$2:$A$501,0)),"")</f>
        <v>5926</v>
      </c>
      <c r="Q71" s="4">
        <f>IFERROR(INDEX(_怪物基线!$D$2:$D$501,MATCH(INT($L71),_怪物基线!$A$2:$A$501,0)),"")</f>
        <v>8838</v>
      </c>
      <c r="R71" s="4">
        <f>参数!$B$10</f>
        <v>4</v>
      </c>
      <c r="S71" s="4">
        <f>参数!$C$10</f>
        <v>1.2</v>
      </c>
      <c r="T71" s="4">
        <f>参数!$D$10</f>
        <v>1</v>
      </c>
      <c r="U71" s="4">
        <f t="shared" si="7"/>
        <v>195396</v>
      </c>
      <c r="V71" s="4">
        <f t="shared" si="8"/>
        <v>7111.2</v>
      </c>
      <c r="W71" s="4">
        <f t="shared" si="9"/>
        <v>8838</v>
      </c>
      <c r="X71" s="4">
        <f>IFERROR(INDEX(参数!$B$5:$B$7,MATCH($N71,参数!$A$5:$A$7,0)),"")</f>
        <v>1.25</v>
      </c>
      <c r="Y71" s="4">
        <f>IFERROR(INDEX(参数!$C$5:$C$7,MATCH($N71,参数!$A$5:$A$7,0)),"")</f>
        <v>1</v>
      </c>
      <c r="Z71" s="4">
        <f>IFERROR(INDEX(参数!$D$5:$D$7,MATCH($N71,参数!$A$5:$A$7,0)),"")</f>
        <v>1.25</v>
      </c>
      <c r="AA71" s="4">
        <f>IFERROR(INDEX(楼层配置!$E$5:$E$104,MATCH($K71,楼层配置!$B$5:$B$104,0)),1)</f>
        <v>1</v>
      </c>
      <c r="AB71" s="4">
        <f>IFERROR(INDEX(楼层配置!$F$5:$F$104,MATCH($K71,楼层配置!$B$5:$B$104,0)),1)</f>
        <v>1</v>
      </c>
      <c r="AC71" s="4">
        <f>IFERROR(INDEX(楼层配置!$G$5:$G$104,MATCH($K71,楼层配置!$B$5:$B$104,0)),1)</f>
        <v>1</v>
      </c>
      <c r="AD71" s="6">
        <f t="shared" si="10"/>
        <v>1.39625029432541</v>
      </c>
      <c r="AE71" s="6">
        <f t="shared" si="11"/>
        <v>1.02592592592593</v>
      </c>
      <c r="AF71" s="6">
        <f t="shared" si="12"/>
        <v>1.39756944444444</v>
      </c>
      <c r="AG71" s="4" t="str">
        <f t="shared" si="13"/>
        <v>有效</v>
      </c>
    </row>
    <row r="72" ht="14.25" customHeight="1" spans="1:33">
      <c r="A72" s="4">
        <v>68</v>
      </c>
      <c r="B72" s="4">
        <v>1039</v>
      </c>
      <c r="C72" s="4">
        <v>17</v>
      </c>
      <c r="D72" s="5">
        <f>IFERROR(ROUND($U72*$X72*$AA72*参数!$B$13,0),"")</f>
        <v>195396</v>
      </c>
      <c r="E72" s="5">
        <f>IFERROR(ROUND($V72*$Y72*$AB72*参数!$C$13,0),"")</f>
        <v>8533</v>
      </c>
      <c r="F72" s="5">
        <f>IFERROR(ROUND($W72*$Z72*$AC72*参数!$D$13,0),"")</f>
        <v>8838</v>
      </c>
      <c r="G72" s="4">
        <v>81542</v>
      </c>
      <c r="H72" s="4">
        <v>4212</v>
      </c>
      <c r="I72" s="4">
        <v>3686</v>
      </c>
      <c r="J72" s="4">
        <v>14</v>
      </c>
      <c r="K72" s="4">
        <v>14</v>
      </c>
      <c r="L72" s="4">
        <f>IFERROR(INDEX(楼层配置!$D$5:$D$104,MATCH($K72,楼层配置!$B$5:$B$104,0)),"")</f>
        <v>126</v>
      </c>
      <c r="M72" s="4" t="str">
        <f>IFERROR(INDEX(_角色基线!$B$2:$B$100,MATCH($B72,_角色基线!$A$2:$A$100,0)),"")</f>
        <v>商队枪手</v>
      </c>
      <c r="N72" s="4" t="str">
        <f>IFERROR(INDEX(_角色基线!$C$2:$C$100,MATCH($B72,_角色基线!$A$2:$A$100,0)),"")</f>
        <v>DPS</v>
      </c>
      <c r="O72" s="4">
        <f>IFERROR(INDEX(_怪物基线!$B$2:$B$501,MATCH(INT($L72),_怪物基线!$A$2:$A$501,0)),"")</f>
        <v>48849</v>
      </c>
      <c r="P72" s="4">
        <f>IFERROR(INDEX(_怪物基线!$C$2:$C$501,MATCH(INT($L72),_怪物基线!$A$2:$A$501,0)),"")</f>
        <v>5926</v>
      </c>
      <c r="Q72" s="4">
        <f>IFERROR(INDEX(_怪物基线!$D$2:$D$501,MATCH(INT($L72),_怪物基线!$A$2:$A$501,0)),"")</f>
        <v>8838</v>
      </c>
      <c r="R72" s="4">
        <f>参数!$B$10</f>
        <v>4</v>
      </c>
      <c r="S72" s="4">
        <f>参数!$C$10</f>
        <v>1.2</v>
      </c>
      <c r="T72" s="4">
        <f>参数!$D$10</f>
        <v>1</v>
      </c>
      <c r="U72" s="4">
        <f t="shared" si="7"/>
        <v>195396</v>
      </c>
      <c r="V72" s="4">
        <f t="shared" si="8"/>
        <v>7111.2</v>
      </c>
      <c r="W72" s="4">
        <f t="shared" si="9"/>
        <v>8838</v>
      </c>
      <c r="X72" s="4">
        <f>IFERROR(INDEX(参数!$B$5:$B$7,MATCH($N72,参数!$A$5:$A$7,0)),"")</f>
        <v>1</v>
      </c>
      <c r="Y72" s="4">
        <f>IFERROR(INDEX(参数!$C$5:$C$7,MATCH($N72,参数!$A$5:$A$7,0)),"")</f>
        <v>1.2</v>
      </c>
      <c r="Z72" s="4">
        <f>IFERROR(INDEX(参数!$D$5:$D$7,MATCH($N72,参数!$A$5:$A$7,0)),"")</f>
        <v>1</v>
      </c>
      <c r="AA72" s="4">
        <f>IFERROR(INDEX(楼层配置!$E$5:$E$104,MATCH($K72,楼层配置!$B$5:$B$104,0)),1)</f>
        <v>1</v>
      </c>
      <c r="AB72" s="4">
        <f>IFERROR(INDEX(楼层配置!$F$5:$F$104,MATCH($K72,楼层配置!$B$5:$B$104,0)),1)</f>
        <v>1</v>
      </c>
      <c r="AC72" s="4">
        <f>IFERROR(INDEX(楼层配置!$G$5:$G$104,MATCH($K72,楼层配置!$B$5:$B$104,0)),1)</f>
        <v>1</v>
      </c>
      <c r="AD72" s="6">
        <f t="shared" si="10"/>
        <v>1.39626204900542</v>
      </c>
      <c r="AE72" s="6">
        <f t="shared" si="11"/>
        <v>1.02587844254511</v>
      </c>
      <c r="AF72" s="6">
        <f t="shared" si="12"/>
        <v>1.39772110689094</v>
      </c>
      <c r="AG72" s="4" t="str">
        <f t="shared" si="13"/>
        <v>有效</v>
      </c>
    </row>
    <row r="73" ht="14.25" customHeight="1" spans="1:33">
      <c r="A73" s="4">
        <v>69</v>
      </c>
      <c r="B73" s="4">
        <v>1012</v>
      </c>
      <c r="C73" s="4">
        <v>17</v>
      </c>
      <c r="D73" s="5">
        <f>IFERROR(ROUND($U73*$X73*$AA73*参数!$B$13,0),"")</f>
        <v>244245</v>
      </c>
      <c r="E73" s="5">
        <f>IFERROR(ROUND($V73*$Y73*$AB73*参数!$C$13,0),"")</f>
        <v>7111</v>
      </c>
      <c r="F73" s="5">
        <f>IFERROR(ROUND($W73*$Z73*$AC73*参数!$D$13,0),"")</f>
        <v>11048</v>
      </c>
      <c r="G73" s="4">
        <v>101928</v>
      </c>
      <c r="H73" s="4">
        <v>3510</v>
      </c>
      <c r="I73" s="4">
        <v>4608</v>
      </c>
      <c r="J73" s="4">
        <v>14</v>
      </c>
      <c r="K73" s="4">
        <v>14</v>
      </c>
      <c r="L73" s="4">
        <f>IFERROR(INDEX(楼层配置!$D$5:$D$104,MATCH($K73,楼层配置!$B$5:$B$104,0)),"")</f>
        <v>126</v>
      </c>
      <c r="M73" s="4" t="str">
        <f>IFERROR(INDEX(_角色基线!$B$2:$B$100,MATCH($B73,_角色基线!$A$2:$A$100,0)),"")</f>
        <v>艾德琳</v>
      </c>
      <c r="N73" s="4" t="str">
        <f>IFERROR(INDEX(_角色基线!$C$2:$C$100,MATCH($B73,_角色基线!$A$2:$A$100,0)),"")</f>
        <v>Support</v>
      </c>
      <c r="O73" s="4">
        <f>IFERROR(INDEX(_怪物基线!$B$2:$B$501,MATCH(INT($L73),_怪物基线!$A$2:$A$501,0)),"")</f>
        <v>48849</v>
      </c>
      <c r="P73" s="4">
        <f>IFERROR(INDEX(_怪物基线!$C$2:$C$501,MATCH(INT($L73),_怪物基线!$A$2:$A$501,0)),"")</f>
        <v>5926</v>
      </c>
      <c r="Q73" s="4">
        <f>IFERROR(INDEX(_怪物基线!$D$2:$D$501,MATCH(INT($L73),_怪物基线!$A$2:$A$501,0)),"")</f>
        <v>8838</v>
      </c>
      <c r="R73" s="4">
        <f>参数!$B$10</f>
        <v>4</v>
      </c>
      <c r="S73" s="4">
        <f>参数!$C$10</f>
        <v>1.2</v>
      </c>
      <c r="T73" s="4">
        <f>参数!$D$10</f>
        <v>1</v>
      </c>
      <c r="U73" s="4">
        <f t="shared" si="7"/>
        <v>195396</v>
      </c>
      <c r="V73" s="4">
        <f t="shared" si="8"/>
        <v>7111.2</v>
      </c>
      <c r="W73" s="4">
        <f t="shared" si="9"/>
        <v>8838</v>
      </c>
      <c r="X73" s="4">
        <f>IFERROR(INDEX(参数!$B$5:$B$7,MATCH($N73,参数!$A$5:$A$7,0)),"")</f>
        <v>1.25</v>
      </c>
      <c r="Y73" s="4">
        <f>IFERROR(INDEX(参数!$C$5:$C$7,MATCH($N73,参数!$A$5:$A$7,0)),"")</f>
        <v>1</v>
      </c>
      <c r="Z73" s="4">
        <f>IFERROR(INDEX(参数!$D$5:$D$7,MATCH($N73,参数!$A$5:$A$7,0)),"")</f>
        <v>1.25</v>
      </c>
      <c r="AA73" s="4">
        <f>IFERROR(INDEX(楼层配置!$E$5:$E$104,MATCH($K73,楼层配置!$B$5:$B$104,0)),1)</f>
        <v>1</v>
      </c>
      <c r="AB73" s="4">
        <f>IFERROR(INDEX(楼层配置!$F$5:$F$104,MATCH($K73,楼层配置!$B$5:$B$104,0)),1)</f>
        <v>1</v>
      </c>
      <c r="AC73" s="4">
        <f>IFERROR(INDEX(楼层配置!$G$5:$G$104,MATCH($K73,楼层配置!$B$5:$B$104,0)),1)</f>
        <v>1</v>
      </c>
      <c r="AD73" s="6">
        <f t="shared" si="10"/>
        <v>1.39625029432541</v>
      </c>
      <c r="AE73" s="6">
        <f t="shared" si="11"/>
        <v>1.02592592592593</v>
      </c>
      <c r="AF73" s="6">
        <f t="shared" si="12"/>
        <v>1.39756944444444</v>
      </c>
      <c r="AG73" s="4" t="str">
        <f t="shared" si="13"/>
        <v>有效</v>
      </c>
    </row>
    <row r="74" ht="14.25" customHeight="1" spans="1:33">
      <c r="A74" s="4">
        <v>70</v>
      </c>
      <c r="B74" s="4">
        <v>1011</v>
      </c>
      <c r="C74" s="4">
        <v>17</v>
      </c>
      <c r="D74" s="5">
        <f>IFERROR(ROUND($U74*$X74*$AA74*参数!$B$13,0),"")</f>
        <v>244245</v>
      </c>
      <c r="E74" s="5">
        <f>IFERROR(ROUND($V74*$Y74*$AB74*参数!$C$13,0),"")</f>
        <v>7111</v>
      </c>
      <c r="F74" s="5">
        <f>IFERROR(ROUND($W74*$Z74*$AC74*参数!$D$13,0),"")</f>
        <v>11048</v>
      </c>
      <c r="G74" s="4">
        <v>101928</v>
      </c>
      <c r="H74" s="4">
        <v>3510</v>
      </c>
      <c r="I74" s="4">
        <v>4608</v>
      </c>
      <c r="J74" s="4">
        <v>14</v>
      </c>
      <c r="K74" s="4">
        <v>14</v>
      </c>
      <c r="L74" s="4">
        <f>IFERROR(INDEX(楼层配置!$D$5:$D$104,MATCH($K74,楼层配置!$B$5:$B$104,0)),"")</f>
        <v>126</v>
      </c>
      <c r="M74" s="4" t="str">
        <f>IFERROR(INDEX(_角色基线!$B$2:$B$100,MATCH($B74,_角色基线!$A$2:$A$100,0)),"")</f>
        <v>陈双双</v>
      </c>
      <c r="N74" s="4" t="str">
        <f>IFERROR(INDEX(_角色基线!$C$2:$C$100,MATCH($B74,_角色基线!$A$2:$A$100,0)),"")</f>
        <v>Support</v>
      </c>
      <c r="O74" s="4">
        <f>IFERROR(INDEX(_怪物基线!$B$2:$B$501,MATCH(INT($L74),_怪物基线!$A$2:$A$501,0)),"")</f>
        <v>48849</v>
      </c>
      <c r="P74" s="4">
        <f>IFERROR(INDEX(_怪物基线!$C$2:$C$501,MATCH(INT($L74),_怪物基线!$A$2:$A$501,0)),"")</f>
        <v>5926</v>
      </c>
      <c r="Q74" s="4">
        <f>IFERROR(INDEX(_怪物基线!$D$2:$D$501,MATCH(INT($L74),_怪物基线!$A$2:$A$501,0)),"")</f>
        <v>8838</v>
      </c>
      <c r="R74" s="4">
        <f>参数!$B$10</f>
        <v>4</v>
      </c>
      <c r="S74" s="4">
        <f>参数!$C$10</f>
        <v>1.2</v>
      </c>
      <c r="T74" s="4">
        <f>参数!$D$10</f>
        <v>1</v>
      </c>
      <c r="U74" s="4">
        <f t="shared" si="7"/>
        <v>195396</v>
      </c>
      <c r="V74" s="4">
        <f t="shared" si="8"/>
        <v>7111.2</v>
      </c>
      <c r="W74" s="4">
        <f t="shared" si="9"/>
        <v>8838</v>
      </c>
      <c r="X74" s="4">
        <f>IFERROR(INDEX(参数!$B$5:$B$7,MATCH($N74,参数!$A$5:$A$7,0)),"")</f>
        <v>1.25</v>
      </c>
      <c r="Y74" s="4">
        <f>IFERROR(INDEX(参数!$C$5:$C$7,MATCH($N74,参数!$A$5:$A$7,0)),"")</f>
        <v>1</v>
      </c>
      <c r="Z74" s="4">
        <f>IFERROR(INDEX(参数!$D$5:$D$7,MATCH($N74,参数!$A$5:$A$7,0)),"")</f>
        <v>1.25</v>
      </c>
      <c r="AA74" s="4">
        <f>IFERROR(INDEX(楼层配置!$E$5:$E$104,MATCH($K74,楼层配置!$B$5:$B$104,0)),1)</f>
        <v>1</v>
      </c>
      <c r="AB74" s="4">
        <f>IFERROR(INDEX(楼层配置!$F$5:$F$104,MATCH($K74,楼层配置!$B$5:$B$104,0)),1)</f>
        <v>1</v>
      </c>
      <c r="AC74" s="4">
        <f>IFERROR(INDEX(楼层配置!$G$5:$G$104,MATCH($K74,楼层配置!$B$5:$B$104,0)),1)</f>
        <v>1</v>
      </c>
      <c r="AD74" s="6">
        <f t="shared" si="10"/>
        <v>1.39625029432541</v>
      </c>
      <c r="AE74" s="6">
        <f t="shared" si="11"/>
        <v>1.02592592592593</v>
      </c>
      <c r="AF74" s="6">
        <f t="shared" si="12"/>
        <v>1.39756944444444</v>
      </c>
      <c r="AG74" s="4" t="str">
        <f t="shared" si="13"/>
        <v>有效</v>
      </c>
    </row>
    <row r="75" ht="14.25" customHeight="1" spans="1:33">
      <c r="A75" s="4">
        <v>71</v>
      </c>
      <c r="B75" s="4">
        <v>1003</v>
      </c>
      <c r="C75" s="4">
        <v>17</v>
      </c>
      <c r="D75" s="5">
        <f>IFERROR(ROUND($U75*$X75*$AA75*参数!$B$13,0),"")</f>
        <v>327948</v>
      </c>
      <c r="E75" s="5">
        <f>IFERROR(ROUND($V75*$Y75*$AB75*参数!$C$13,0),"")</f>
        <v>7652</v>
      </c>
      <c r="F75" s="5">
        <f>IFERROR(ROUND($W75*$Z75*$AC75*参数!$D$13,0),"")</f>
        <v>14153</v>
      </c>
      <c r="G75" s="4">
        <v>134438</v>
      </c>
      <c r="H75" s="4">
        <v>3744</v>
      </c>
      <c r="I75" s="4">
        <v>5878</v>
      </c>
      <c r="J75" s="4">
        <v>15</v>
      </c>
      <c r="K75" s="4">
        <v>15</v>
      </c>
      <c r="L75" s="4">
        <f>IFERROR(INDEX(楼层配置!$D$5:$D$104,MATCH($K75,楼层配置!$B$5:$B$104,0)),"")</f>
        <v>133</v>
      </c>
      <c r="M75" s="4" t="str">
        <f>IFERROR(INDEX(_角色基线!$B$2:$B$100,MATCH($B75,_角色基线!$A$2:$A$100,0)),"")</f>
        <v>塔拉夏</v>
      </c>
      <c r="N75" s="4" t="str">
        <f>IFERROR(INDEX(_角色基线!$C$2:$C$100,MATCH($B75,_角色基线!$A$2:$A$100,0)),"")</f>
        <v>Tank</v>
      </c>
      <c r="O75" s="4">
        <f>IFERROR(INDEX(_怪物基线!$B$2:$B$501,MATCH(INT($L75),_怪物基线!$A$2:$A$501,0)),"")</f>
        <v>54658</v>
      </c>
      <c r="P75" s="4">
        <f>IFERROR(INDEX(_怪物基线!$C$2:$C$501,MATCH(INT($L75),_怪物基线!$A$2:$A$501,0)),"")</f>
        <v>6377</v>
      </c>
      <c r="Q75" s="4">
        <f>IFERROR(INDEX(_怪物基线!$D$2:$D$501,MATCH(INT($L75),_怪物基线!$A$2:$A$501,0)),"")</f>
        <v>9435</v>
      </c>
      <c r="R75" s="4">
        <f>参数!$B$10</f>
        <v>4</v>
      </c>
      <c r="S75" s="4">
        <f>参数!$C$10</f>
        <v>1.2</v>
      </c>
      <c r="T75" s="4">
        <f>参数!$D$10</f>
        <v>1</v>
      </c>
      <c r="U75" s="4">
        <f t="shared" si="7"/>
        <v>218632</v>
      </c>
      <c r="V75" s="4">
        <f t="shared" si="8"/>
        <v>7652.4</v>
      </c>
      <c r="W75" s="4">
        <f t="shared" si="9"/>
        <v>9435</v>
      </c>
      <c r="X75" s="4">
        <f>IFERROR(INDEX(参数!$B$5:$B$7,MATCH($N75,参数!$A$5:$A$7,0)),"")</f>
        <v>1.5</v>
      </c>
      <c r="Y75" s="4">
        <f>IFERROR(INDEX(参数!$C$5:$C$7,MATCH($N75,参数!$A$5:$A$7,0)),"")</f>
        <v>1</v>
      </c>
      <c r="Z75" s="4">
        <f>IFERROR(INDEX(参数!$D$5:$D$7,MATCH($N75,参数!$A$5:$A$7,0)),"")</f>
        <v>1.5</v>
      </c>
      <c r="AA75" s="4">
        <f>IFERROR(INDEX(楼层配置!$E$5:$E$104,MATCH($K75,楼层配置!$B$5:$B$104,0)),1)</f>
        <v>1</v>
      </c>
      <c r="AB75" s="4">
        <f>IFERROR(INDEX(楼层配置!$F$5:$F$104,MATCH($K75,楼层配置!$B$5:$B$104,0)),1)</f>
        <v>1</v>
      </c>
      <c r="AC75" s="4">
        <f>IFERROR(INDEX(楼层配置!$G$5:$G$104,MATCH($K75,楼层配置!$B$5:$B$104,0)),1)</f>
        <v>1</v>
      </c>
      <c r="AD75" s="6">
        <f t="shared" si="10"/>
        <v>1.43939957452506</v>
      </c>
      <c r="AE75" s="6">
        <f t="shared" si="11"/>
        <v>1.04380341880342</v>
      </c>
      <c r="AF75" s="6">
        <f t="shared" si="12"/>
        <v>1.40779176590677</v>
      </c>
      <c r="AG75" s="4" t="str">
        <f t="shared" si="13"/>
        <v>有效</v>
      </c>
    </row>
    <row r="76" ht="14.25" customHeight="1" spans="1:33">
      <c r="A76" s="4">
        <v>72</v>
      </c>
      <c r="B76" s="4">
        <v>1021</v>
      </c>
      <c r="C76" s="4">
        <v>17</v>
      </c>
      <c r="D76" s="5">
        <f>IFERROR(ROUND($U76*$X76*$AA76*参数!$B$13,0),"")</f>
        <v>218632</v>
      </c>
      <c r="E76" s="5">
        <f>IFERROR(ROUND($V76*$Y76*$AB76*参数!$C$13,0),"")</f>
        <v>9183</v>
      </c>
      <c r="F76" s="5">
        <f>IFERROR(ROUND($W76*$Z76*$AC76*参数!$D$13,0),"")</f>
        <v>9435</v>
      </c>
      <c r="G76" s="4">
        <v>89625</v>
      </c>
      <c r="H76" s="4">
        <v>4492</v>
      </c>
      <c r="I76" s="4">
        <v>3919</v>
      </c>
      <c r="J76" s="4">
        <v>15</v>
      </c>
      <c r="K76" s="4">
        <v>15</v>
      </c>
      <c r="L76" s="4">
        <f>IFERROR(INDEX(楼层配置!$D$5:$D$104,MATCH($K76,楼层配置!$B$5:$B$104,0)),"")</f>
        <v>133</v>
      </c>
      <c r="M76" s="4" t="str">
        <f>IFERROR(INDEX(_角色基线!$B$2:$B$100,MATCH($B76,_角色基线!$A$2:$A$100,0)),"")</f>
        <v>梅梅</v>
      </c>
      <c r="N76" s="4" t="str">
        <f>IFERROR(INDEX(_角色基线!$C$2:$C$100,MATCH($B76,_角色基线!$A$2:$A$100,0)),"")</f>
        <v>DPS</v>
      </c>
      <c r="O76" s="4">
        <f>IFERROR(INDEX(_怪物基线!$B$2:$B$501,MATCH(INT($L76),_怪物基线!$A$2:$A$501,0)),"")</f>
        <v>54658</v>
      </c>
      <c r="P76" s="4">
        <f>IFERROR(INDEX(_怪物基线!$C$2:$C$501,MATCH(INT($L76),_怪物基线!$A$2:$A$501,0)),"")</f>
        <v>6377</v>
      </c>
      <c r="Q76" s="4">
        <f>IFERROR(INDEX(_怪物基线!$D$2:$D$501,MATCH(INT($L76),_怪物基线!$A$2:$A$501,0)),"")</f>
        <v>9435</v>
      </c>
      <c r="R76" s="4">
        <f>参数!$B$10</f>
        <v>4</v>
      </c>
      <c r="S76" s="4">
        <f>参数!$C$10</f>
        <v>1.2</v>
      </c>
      <c r="T76" s="4">
        <f>参数!$D$10</f>
        <v>1</v>
      </c>
      <c r="U76" s="4">
        <f t="shared" si="7"/>
        <v>218632</v>
      </c>
      <c r="V76" s="4">
        <f t="shared" si="8"/>
        <v>7652.4</v>
      </c>
      <c r="W76" s="4">
        <f t="shared" si="9"/>
        <v>9435</v>
      </c>
      <c r="X76" s="4">
        <f>IFERROR(INDEX(参数!$B$5:$B$7,MATCH($N76,参数!$A$5:$A$7,0)),"")</f>
        <v>1</v>
      </c>
      <c r="Y76" s="4">
        <f>IFERROR(INDEX(参数!$C$5:$C$7,MATCH($N76,参数!$A$5:$A$7,0)),"")</f>
        <v>1.2</v>
      </c>
      <c r="Z76" s="4">
        <f>IFERROR(INDEX(参数!$D$5:$D$7,MATCH($N76,参数!$A$5:$A$7,0)),"")</f>
        <v>1</v>
      </c>
      <c r="AA76" s="4">
        <f>IFERROR(INDEX(楼层配置!$E$5:$E$104,MATCH($K76,楼层配置!$B$5:$B$104,0)),1)</f>
        <v>1</v>
      </c>
      <c r="AB76" s="4">
        <f>IFERROR(INDEX(楼层配置!$F$5:$F$104,MATCH($K76,楼层配置!$B$5:$B$104,0)),1)</f>
        <v>1</v>
      </c>
      <c r="AC76" s="4">
        <f>IFERROR(INDEX(楼层配置!$G$5:$G$104,MATCH($K76,楼层配置!$B$5:$B$104,0)),1)</f>
        <v>1</v>
      </c>
      <c r="AD76" s="6">
        <f t="shared" si="10"/>
        <v>1.43940864714086</v>
      </c>
      <c r="AE76" s="6">
        <f t="shared" si="11"/>
        <v>1.04430097951915</v>
      </c>
      <c r="AF76" s="6">
        <f t="shared" si="12"/>
        <v>1.40750191375351</v>
      </c>
      <c r="AG76" s="4" t="str">
        <f t="shared" si="13"/>
        <v>有效</v>
      </c>
    </row>
    <row r="77" ht="14.25" customHeight="1" spans="1:33">
      <c r="A77" s="4">
        <v>73</v>
      </c>
      <c r="B77" s="4">
        <v>1007</v>
      </c>
      <c r="C77" s="4">
        <v>17</v>
      </c>
      <c r="D77" s="5">
        <f>IFERROR(ROUND($U77*$X77*$AA77*参数!$B$13,0),"")</f>
        <v>273290</v>
      </c>
      <c r="E77" s="5">
        <f>IFERROR(ROUND($V77*$Y77*$AB77*参数!$C$13,0),"")</f>
        <v>7652</v>
      </c>
      <c r="F77" s="5">
        <f>IFERROR(ROUND($W77*$Z77*$AC77*参数!$D$13,0),"")</f>
        <v>11794</v>
      </c>
      <c r="G77" s="4">
        <v>112032</v>
      </c>
      <c r="H77" s="4">
        <v>3744</v>
      </c>
      <c r="I77" s="4">
        <v>4899</v>
      </c>
      <c r="J77" s="4">
        <v>15</v>
      </c>
      <c r="K77" s="4">
        <v>15</v>
      </c>
      <c r="L77" s="4">
        <f>IFERROR(INDEX(楼层配置!$D$5:$D$104,MATCH($K77,楼层配置!$B$5:$B$104,0)),"")</f>
        <v>133</v>
      </c>
      <c r="M77" s="4" t="str">
        <f>IFERROR(INDEX(_角色基线!$B$2:$B$100,MATCH($B77,_角色基线!$A$2:$A$100,0)),"")</f>
        <v>萨萨莉安</v>
      </c>
      <c r="N77" s="4" t="str">
        <f>IFERROR(INDEX(_角色基线!$C$2:$C$100,MATCH($B77,_角色基线!$A$2:$A$100,0)),"")</f>
        <v>Support</v>
      </c>
      <c r="O77" s="4">
        <f>IFERROR(INDEX(_怪物基线!$B$2:$B$501,MATCH(INT($L77),_怪物基线!$A$2:$A$501,0)),"")</f>
        <v>54658</v>
      </c>
      <c r="P77" s="4">
        <f>IFERROR(INDEX(_怪物基线!$C$2:$C$501,MATCH(INT($L77),_怪物基线!$A$2:$A$501,0)),"")</f>
        <v>6377</v>
      </c>
      <c r="Q77" s="4">
        <f>IFERROR(INDEX(_怪物基线!$D$2:$D$501,MATCH(INT($L77),_怪物基线!$A$2:$A$501,0)),"")</f>
        <v>9435</v>
      </c>
      <c r="R77" s="4">
        <f>参数!$B$10</f>
        <v>4</v>
      </c>
      <c r="S77" s="4">
        <f>参数!$C$10</f>
        <v>1.2</v>
      </c>
      <c r="T77" s="4">
        <f>参数!$D$10</f>
        <v>1</v>
      </c>
      <c r="U77" s="4">
        <f t="shared" si="7"/>
        <v>218632</v>
      </c>
      <c r="V77" s="4">
        <f t="shared" si="8"/>
        <v>7652.4</v>
      </c>
      <c r="W77" s="4">
        <f t="shared" si="9"/>
        <v>9435</v>
      </c>
      <c r="X77" s="4">
        <f>IFERROR(INDEX(参数!$B$5:$B$7,MATCH($N77,参数!$A$5:$A$7,0)),"")</f>
        <v>1.25</v>
      </c>
      <c r="Y77" s="4">
        <f>IFERROR(INDEX(参数!$C$5:$C$7,MATCH($N77,参数!$A$5:$A$7,0)),"")</f>
        <v>1</v>
      </c>
      <c r="Z77" s="4">
        <f>IFERROR(INDEX(参数!$D$5:$D$7,MATCH($N77,参数!$A$5:$A$7,0)),"")</f>
        <v>1.25</v>
      </c>
      <c r="AA77" s="4">
        <f>IFERROR(INDEX(楼层配置!$E$5:$E$104,MATCH($K77,楼层配置!$B$5:$B$104,0)),1)</f>
        <v>1</v>
      </c>
      <c r="AB77" s="4">
        <f>IFERROR(INDEX(楼层配置!$F$5:$F$104,MATCH($K77,楼层配置!$B$5:$B$104,0)),1)</f>
        <v>1</v>
      </c>
      <c r="AC77" s="4">
        <f>IFERROR(INDEX(楼层配置!$G$5:$G$104,MATCH($K77,楼层配置!$B$5:$B$104,0)),1)</f>
        <v>1</v>
      </c>
      <c r="AD77" s="6">
        <f t="shared" si="10"/>
        <v>1.43939231648101</v>
      </c>
      <c r="AE77" s="6">
        <f t="shared" si="11"/>
        <v>1.04380341880342</v>
      </c>
      <c r="AF77" s="6">
        <f t="shared" si="12"/>
        <v>1.40743008777301</v>
      </c>
      <c r="AG77" s="4" t="str">
        <f t="shared" si="13"/>
        <v>有效</v>
      </c>
    </row>
    <row r="78" ht="14.25" customHeight="1" spans="1:33">
      <c r="A78" s="4">
        <v>74</v>
      </c>
      <c r="B78" s="4">
        <v>1008</v>
      </c>
      <c r="C78" s="4">
        <v>17</v>
      </c>
      <c r="D78" s="5">
        <f>IFERROR(ROUND($U78*$X78*$AA78*参数!$B$13,0),"")</f>
        <v>218632</v>
      </c>
      <c r="E78" s="5">
        <f>IFERROR(ROUND($V78*$Y78*$AB78*参数!$C$13,0),"")</f>
        <v>9183</v>
      </c>
      <c r="F78" s="5">
        <f>IFERROR(ROUND($W78*$Z78*$AC78*参数!$D$13,0),"")</f>
        <v>9435</v>
      </c>
      <c r="G78" s="4">
        <v>89625</v>
      </c>
      <c r="H78" s="4">
        <v>4492</v>
      </c>
      <c r="I78" s="4">
        <v>3919</v>
      </c>
      <c r="J78" s="4">
        <v>15</v>
      </c>
      <c r="K78" s="4">
        <v>15</v>
      </c>
      <c r="L78" s="4">
        <f>IFERROR(INDEX(楼层配置!$D$5:$D$104,MATCH($K78,楼层配置!$B$5:$B$104,0)),"")</f>
        <v>133</v>
      </c>
      <c r="M78" s="4" t="str">
        <f>IFERROR(INDEX(_角色基线!$B$2:$B$100,MATCH($B78,_角色基线!$A$2:$A$100,0)),"")</f>
        <v>薇</v>
      </c>
      <c r="N78" s="4" t="str">
        <f>IFERROR(INDEX(_角色基线!$C$2:$C$100,MATCH($B78,_角色基线!$A$2:$A$100,0)),"")</f>
        <v>DPS</v>
      </c>
      <c r="O78" s="4">
        <f>IFERROR(INDEX(_怪物基线!$B$2:$B$501,MATCH(INT($L78),_怪物基线!$A$2:$A$501,0)),"")</f>
        <v>54658</v>
      </c>
      <c r="P78" s="4">
        <f>IFERROR(INDEX(_怪物基线!$C$2:$C$501,MATCH(INT($L78),_怪物基线!$A$2:$A$501,0)),"")</f>
        <v>6377</v>
      </c>
      <c r="Q78" s="4">
        <f>IFERROR(INDEX(_怪物基线!$D$2:$D$501,MATCH(INT($L78),_怪物基线!$A$2:$A$501,0)),"")</f>
        <v>9435</v>
      </c>
      <c r="R78" s="4">
        <f>参数!$B$10</f>
        <v>4</v>
      </c>
      <c r="S78" s="4">
        <f>参数!$C$10</f>
        <v>1.2</v>
      </c>
      <c r="T78" s="4">
        <f>参数!$D$10</f>
        <v>1</v>
      </c>
      <c r="U78" s="4">
        <f t="shared" si="7"/>
        <v>218632</v>
      </c>
      <c r="V78" s="4">
        <f t="shared" si="8"/>
        <v>7652.4</v>
      </c>
      <c r="W78" s="4">
        <f t="shared" si="9"/>
        <v>9435</v>
      </c>
      <c r="X78" s="4">
        <f>IFERROR(INDEX(参数!$B$5:$B$7,MATCH($N78,参数!$A$5:$A$7,0)),"")</f>
        <v>1</v>
      </c>
      <c r="Y78" s="4">
        <f>IFERROR(INDEX(参数!$C$5:$C$7,MATCH($N78,参数!$A$5:$A$7,0)),"")</f>
        <v>1.2</v>
      </c>
      <c r="Z78" s="4">
        <f>IFERROR(INDEX(参数!$D$5:$D$7,MATCH($N78,参数!$A$5:$A$7,0)),"")</f>
        <v>1</v>
      </c>
      <c r="AA78" s="4">
        <f>IFERROR(INDEX(楼层配置!$E$5:$E$104,MATCH($K78,楼层配置!$B$5:$B$104,0)),1)</f>
        <v>1</v>
      </c>
      <c r="AB78" s="4">
        <f>IFERROR(INDEX(楼层配置!$F$5:$F$104,MATCH($K78,楼层配置!$B$5:$B$104,0)),1)</f>
        <v>1</v>
      </c>
      <c r="AC78" s="4">
        <f>IFERROR(INDEX(楼层配置!$G$5:$G$104,MATCH($K78,楼层配置!$B$5:$B$104,0)),1)</f>
        <v>1</v>
      </c>
      <c r="AD78" s="6">
        <f t="shared" si="10"/>
        <v>1.43940864714086</v>
      </c>
      <c r="AE78" s="6">
        <f t="shared" si="11"/>
        <v>1.04430097951915</v>
      </c>
      <c r="AF78" s="6">
        <f t="shared" si="12"/>
        <v>1.40750191375351</v>
      </c>
      <c r="AG78" s="4" t="str">
        <f t="shared" si="13"/>
        <v>有效</v>
      </c>
    </row>
    <row r="79" ht="14.25" customHeight="1" spans="1:33">
      <c r="A79" s="4">
        <v>75</v>
      </c>
      <c r="B79" s="4">
        <v>1029</v>
      </c>
      <c r="C79" s="4">
        <v>17</v>
      </c>
      <c r="D79" s="5">
        <f>IFERROR(ROUND($U79*$X79*$AA79*参数!$B$13,0),"")</f>
        <v>273290</v>
      </c>
      <c r="E79" s="5">
        <f>IFERROR(ROUND($V79*$Y79*$AB79*参数!$C$13,0),"")</f>
        <v>7652</v>
      </c>
      <c r="F79" s="5">
        <f>IFERROR(ROUND($W79*$Z79*$AC79*参数!$D$13,0),"")</f>
        <v>11794</v>
      </c>
      <c r="G79" s="4">
        <v>112032</v>
      </c>
      <c r="H79" s="4">
        <v>3744</v>
      </c>
      <c r="I79" s="4">
        <v>4899</v>
      </c>
      <c r="J79" s="4">
        <v>15</v>
      </c>
      <c r="K79" s="4">
        <v>15</v>
      </c>
      <c r="L79" s="4">
        <f>IFERROR(INDEX(楼层配置!$D$5:$D$104,MATCH($K79,楼层配置!$B$5:$B$104,0)),"")</f>
        <v>133</v>
      </c>
      <c r="M79" s="4" t="str">
        <f>IFERROR(INDEX(_角色基线!$B$2:$B$100,MATCH($B79,_角色基线!$A$2:$A$100,0)),"")</f>
        <v>凯兰</v>
      </c>
      <c r="N79" s="4" t="str">
        <f>IFERROR(INDEX(_角色基线!$C$2:$C$100,MATCH($B79,_角色基线!$A$2:$A$100,0)),"")</f>
        <v>Support</v>
      </c>
      <c r="O79" s="4">
        <f>IFERROR(INDEX(_怪物基线!$B$2:$B$501,MATCH(INT($L79),_怪物基线!$A$2:$A$501,0)),"")</f>
        <v>54658</v>
      </c>
      <c r="P79" s="4">
        <f>IFERROR(INDEX(_怪物基线!$C$2:$C$501,MATCH(INT($L79),_怪物基线!$A$2:$A$501,0)),"")</f>
        <v>6377</v>
      </c>
      <c r="Q79" s="4">
        <f>IFERROR(INDEX(_怪物基线!$D$2:$D$501,MATCH(INT($L79),_怪物基线!$A$2:$A$501,0)),"")</f>
        <v>9435</v>
      </c>
      <c r="R79" s="4">
        <f>参数!$B$10</f>
        <v>4</v>
      </c>
      <c r="S79" s="4">
        <f>参数!$C$10</f>
        <v>1.2</v>
      </c>
      <c r="T79" s="4">
        <f>参数!$D$10</f>
        <v>1</v>
      </c>
      <c r="U79" s="4">
        <f t="shared" si="7"/>
        <v>218632</v>
      </c>
      <c r="V79" s="4">
        <f t="shared" si="8"/>
        <v>7652.4</v>
      </c>
      <c r="W79" s="4">
        <f t="shared" si="9"/>
        <v>9435</v>
      </c>
      <c r="X79" s="4">
        <f>IFERROR(INDEX(参数!$B$5:$B$7,MATCH($N79,参数!$A$5:$A$7,0)),"")</f>
        <v>1.25</v>
      </c>
      <c r="Y79" s="4">
        <f>IFERROR(INDEX(参数!$C$5:$C$7,MATCH($N79,参数!$A$5:$A$7,0)),"")</f>
        <v>1</v>
      </c>
      <c r="Z79" s="4">
        <f>IFERROR(INDEX(参数!$D$5:$D$7,MATCH($N79,参数!$A$5:$A$7,0)),"")</f>
        <v>1.25</v>
      </c>
      <c r="AA79" s="4">
        <f>IFERROR(INDEX(楼层配置!$E$5:$E$104,MATCH($K79,楼层配置!$B$5:$B$104,0)),1)</f>
        <v>1</v>
      </c>
      <c r="AB79" s="4">
        <f>IFERROR(INDEX(楼层配置!$F$5:$F$104,MATCH($K79,楼层配置!$B$5:$B$104,0)),1)</f>
        <v>1</v>
      </c>
      <c r="AC79" s="4">
        <f>IFERROR(INDEX(楼层配置!$G$5:$G$104,MATCH($K79,楼层配置!$B$5:$B$104,0)),1)</f>
        <v>1</v>
      </c>
      <c r="AD79" s="6">
        <f t="shared" si="10"/>
        <v>1.43939231648101</v>
      </c>
      <c r="AE79" s="6">
        <f t="shared" si="11"/>
        <v>1.04380341880342</v>
      </c>
      <c r="AF79" s="6">
        <f t="shared" si="12"/>
        <v>1.40743008777301</v>
      </c>
      <c r="AG79" s="4" t="str">
        <f t="shared" si="13"/>
        <v>有效</v>
      </c>
    </row>
    <row r="80" ht="14.25" customHeight="1" spans="1:33">
      <c r="A80" s="4">
        <v>76</v>
      </c>
      <c r="B80" s="4">
        <v>1030</v>
      </c>
      <c r="C80" s="4">
        <v>18</v>
      </c>
      <c r="D80" s="5">
        <f>IFERROR(ROUND($U80*$X80*$AA80*参数!$B$13,0),"")</f>
        <v>371124</v>
      </c>
      <c r="E80" s="5">
        <f>IFERROR(ROUND($V80*$Y80*$AB80*参数!$C$13,0),"")</f>
        <v>8296</v>
      </c>
      <c r="F80" s="5">
        <f>IFERROR(ROUND($W80*$Z80*$AC80*参数!$D$13,0),"")</f>
        <v>15197</v>
      </c>
      <c r="G80" s="4">
        <v>147247</v>
      </c>
      <c r="H80" s="4">
        <v>3984</v>
      </c>
      <c r="I80" s="4">
        <v>6231</v>
      </c>
      <c r="J80" s="4">
        <v>16</v>
      </c>
      <c r="K80" s="4">
        <v>16</v>
      </c>
      <c r="L80" s="4">
        <f>IFERROR(INDEX(楼层配置!$D$5:$D$104,MATCH($K80,楼层配置!$B$5:$B$104,0)),"")</f>
        <v>141</v>
      </c>
      <c r="M80" s="4" t="str">
        <f>IFERROR(INDEX(_角色基线!$B$2:$B$100,MATCH($B80,_角色基线!$A$2:$A$100,0)),"")</f>
        <v>莫莉</v>
      </c>
      <c r="N80" s="4" t="str">
        <f>IFERROR(INDEX(_角色基线!$C$2:$C$100,MATCH($B80,_角色基线!$A$2:$A$100,0)),"")</f>
        <v>Tank</v>
      </c>
      <c r="O80" s="4">
        <f>IFERROR(INDEX(_怪物基线!$B$2:$B$501,MATCH(INT($L80),_怪物基线!$A$2:$A$501,0)),"")</f>
        <v>61854</v>
      </c>
      <c r="P80" s="4">
        <f>IFERROR(INDEX(_怪物基线!$C$2:$C$501,MATCH(INT($L80),_怪物基线!$A$2:$A$501,0)),"")</f>
        <v>6913</v>
      </c>
      <c r="Q80" s="4">
        <f>IFERROR(INDEX(_怪物基线!$D$2:$D$501,MATCH(INT($L80),_怪物基线!$A$2:$A$501,0)),"")</f>
        <v>10131</v>
      </c>
      <c r="R80" s="4">
        <f>参数!$B$10</f>
        <v>4</v>
      </c>
      <c r="S80" s="4">
        <f>参数!$C$10</f>
        <v>1.2</v>
      </c>
      <c r="T80" s="4">
        <f>参数!$D$10</f>
        <v>1</v>
      </c>
      <c r="U80" s="4">
        <f t="shared" si="7"/>
        <v>247416</v>
      </c>
      <c r="V80" s="4">
        <f t="shared" si="8"/>
        <v>8295.6</v>
      </c>
      <c r="W80" s="4">
        <f t="shared" si="9"/>
        <v>10131</v>
      </c>
      <c r="X80" s="4">
        <f>IFERROR(INDEX(参数!$B$5:$B$7,MATCH($N80,参数!$A$5:$A$7,0)),"")</f>
        <v>1.5</v>
      </c>
      <c r="Y80" s="4">
        <f>IFERROR(INDEX(参数!$C$5:$C$7,MATCH($N80,参数!$A$5:$A$7,0)),"")</f>
        <v>1</v>
      </c>
      <c r="Z80" s="4">
        <f>IFERROR(INDEX(参数!$D$5:$D$7,MATCH($N80,参数!$A$5:$A$7,0)),"")</f>
        <v>1.5</v>
      </c>
      <c r="AA80" s="4">
        <f>IFERROR(INDEX(楼层配置!$E$5:$E$104,MATCH($K80,楼层配置!$B$5:$B$104,0)),1)</f>
        <v>1</v>
      </c>
      <c r="AB80" s="4">
        <f>IFERROR(INDEX(楼层配置!$F$5:$F$104,MATCH($K80,楼层配置!$B$5:$B$104,0)),1)</f>
        <v>1</v>
      </c>
      <c r="AC80" s="4">
        <f>IFERROR(INDEX(楼层配置!$G$5:$G$104,MATCH($K80,楼层配置!$B$5:$B$104,0)),1)</f>
        <v>1</v>
      </c>
      <c r="AD80" s="6">
        <f t="shared" si="10"/>
        <v>1.52041807303375</v>
      </c>
      <c r="AE80" s="6">
        <f t="shared" si="11"/>
        <v>1.08232931726908</v>
      </c>
      <c r="AF80" s="6">
        <f t="shared" si="12"/>
        <v>1.43893436045579</v>
      </c>
      <c r="AG80" s="4" t="str">
        <f t="shared" si="13"/>
        <v>有效</v>
      </c>
    </row>
    <row r="81" ht="14.25" customHeight="1" spans="1:33">
      <c r="A81" s="4">
        <v>77</v>
      </c>
      <c r="B81" s="4">
        <v>1002</v>
      </c>
      <c r="C81" s="4">
        <v>18</v>
      </c>
      <c r="D81" s="5">
        <f>IFERROR(ROUND($U81*$X81*$AA81*参数!$B$13,0),"")</f>
        <v>371124</v>
      </c>
      <c r="E81" s="5">
        <f>IFERROR(ROUND($V81*$Y81*$AB81*参数!$C$13,0),"")</f>
        <v>8296</v>
      </c>
      <c r="F81" s="5">
        <f>IFERROR(ROUND($W81*$Z81*$AC81*参数!$D$13,0),"")</f>
        <v>15197</v>
      </c>
      <c r="G81" s="4">
        <v>147247</v>
      </c>
      <c r="H81" s="4">
        <v>3984</v>
      </c>
      <c r="I81" s="4">
        <v>6231</v>
      </c>
      <c r="J81" s="4">
        <v>16</v>
      </c>
      <c r="K81" s="4">
        <v>16</v>
      </c>
      <c r="L81" s="4">
        <f>IFERROR(INDEX(楼层配置!$D$5:$D$104,MATCH($K81,楼层配置!$B$5:$B$104,0)),"")</f>
        <v>141</v>
      </c>
      <c r="M81" s="4" t="str">
        <f>IFERROR(INDEX(_角色基线!$B$2:$B$100,MATCH($B81,_角色基线!$A$2:$A$100,0)),"")</f>
        <v>大暑</v>
      </c>
      <c r="N81" s="4" t="str">
        <f>IFERROR(INDEX(_角色基线!$C$2:$C$100,MATCH($B81,_角色基线!$A$2:$A$100,0)),"")</f>
        <v>Tank</v>
      </c>
      <c r="O81" s="4">
        <f>IFERROR(INDEX(_怪物基线!$B$2:$B$501,MATCH(INT($L81),_怪物基线!$A$2:$A$501,0)),"")</f>
        <v>61854</v>
      </c>
      <c r="P81" s="4">
        <f>IFERROR(INDEX(_怪物基线!$C$2:$C$501,MATCH(INT($L81),_怪物基线!$A$2:$A$501,0)),"")</f>
        <v>6913</v>
      </c>
      <c r="Q81" s="4">
        <f>IFERROR(INDEX(_怪物基线!$D$2:$D$501,MATCH(INT($L81),_怪物基线!$A$2:$A$501,0)),"")</f>
        <v>10131</v>
      </c>
      <c r="R81" s="4">
        <f>参数!$B$10</f>
        <v>4</v>
      </c>
      <c r="S81" s="4">
        <f>参数!$C$10</f>
        <v>1.2</v>
      </c>
      <c r="T81" s="4">
        <f>参数!$D$10</f>
        <v>1</v>
      </c>
      <c r="U81" s="4">
        <f t="shared" si="7"/>
        <v>247416</v>
      </c>
      <c r="V81" s="4">
        <f t="shared" si="8"/>
        <v>8295.6</v>
      </c>
      <c r="W81" s="4">
        <f t="shared" si="9"/>
        <v>10131</v>
      </c>
      <c r="X81" s="4">
        <f>IFERROR(INDEX(参数!$B$5:$B$7,MATCH($N81,参数!$A$5:$A$7,0)),"")</f>
        <v>1.5</v>
      </c>
      <c r="Y81" s="4">
        <f>IFERROR(INDEX(参数!$C$5:$C$7,MATCH($N81,参数!$A$5:$A$7,0)),"")</f>
        <v>1</v>
      </c>
      <c r="Z81" s="4">
        <f>IFERROR(INDEX(参数!$D$5:$D$7,MATCH($N81,参数!$A$5:$A$7,0)),"")</f>
        <v>1.5</v>
      </c>
      <c r="AA81" s="4">
        <f>IFERROR(INDEX(楼层配置!$E$5:$E$104,MATCH($K81,楼层配置!$B$5:$B$104,0)),1)</f>
        <v>1</v>
      </c>
      <c r="AB81" s="4">
        <f>IFERROR(INDEX(楼层配置!$F$5:$F$104,MATCH($K81,楼层配置!$B$5:$B$104,0)),1)</f>
        <v>1</v>
      </c>
      <c r="AC81" s="4">
        <f>IFERROR(INDEX(楼层配置!$G$5:$G$104,MATCH($K81,楼层配置!$B$5:$B$104,0)),1)</f>
        <v>1</v>
      </c>
      <c r="AD81" s="6">
        <f t="shared" si="10"/>
        <v>1.52041807303375</v>
      </c>
      <c r="AE81" s="6">
        <f t="shared" si="11"/>
        <v>1.08232931726908</v>
      </c>
      <c r="AF81" s="6">
        <f t="shared" si="12"/>
        <v>1.43893436045579</v>
      </c>
      <c r="AG81" s="4" t="str">
        <f t="shared" si="13"/>
        <v>有效</v>
      </c>
    </row>
    <row r="82" ht="14.25" customHeight="1" spans="1:33">
      <c r="A82" s="4">
        <v>78</v>
      </c>
      <c r="B82" s="4">
        <v>1012</v>
      </c>
      <c r="C82" s="4">
        <v>18</v>
      </c>
      <c r="D82" s="5">
        <f>IFERROR(ROUND($U82*$X82*$AA82*参数!$B$13,0),"")</f>
        <v>309270</v>
      </c>
      <c r="E82" s="5">
        <f>IFERROR(ROUND($V82*$Y82*$AB82*参数!$C$13,0),"")</f>
        <v>8296</v>
      </c>
      <c r="F82" s="5">
        <f>IFERROR(ROUND($W82*$Z82*$AC82*参数!$D$13,0),"")</f>
        <v>12664</v>
      </c>
      <c r="G82" s="4">
        <v>122706</v>
      </c>
      <c r="H82" s="4">
        <v>3984</v>
      </c>
      <c r="I82" s="4">
        <v>5193</v>
      </c>
      <c r="J82" s="4">
        <v>16</v>
      </c>
      <c r="K82" s="4">
        <v>16</v>
      </c>
      <c r="L82" s="4">
        <f>IFERROR(INDEX(楼层配置!$D$5:$D$104,MATCH($K82,楼层配置!$B$5:$B$104,0)),"")</f>
        <v>141</v>
      </c>
      <c r="M82" s="4" t="str">
        <f>IFERROR(INDEX(_角色基线!$B$2:$B$100,MATCH($B82,_角色基线!$A$2:$A$100,0)),"")</f>
        <v>艾德琳</v>
      </c>
      <c r="N82" s="4" t="str">
        <f>IFERROR(INDEX(_角色基线!$C$2:$C$100,MATCH($B82,_角色基线!$A$2:$A$100,0)),"")</f>
        <v>Support</v>
      </c>
      <c r="O82" s="4">
        <f>IFERROR(INDEX(_怪物基线!$B$2:$B$501,MATCH(INT($L82),_怪物基线!$A$2:$A$501,0)),"")</f>
        <v>61854</v>
      </c>
      <c r="P82" s="4">
        <f>IFERROR(INDEX(_怪物基线!$C$2:$C$501,MATCH(INT($L82),_怪物基线!$A$2:$A$501,0)),"")</f>
        <v>6913</v>
      </c>
      <c r="Q82" s="4">
        <f>IFERROR(INDEX(_怪物基线!$D$2:$D$501,MATCH(INT($L82),_怪物基线!$A$2:$A$501,0)),"")</f>
        <v>10131</v>
      </c>
      <c r="R82" s="4">
        <f>参数!$B$10</f>
        <v>4</v>
      </c>
      <c r="S82" s="4">
        <f>参数!$C$10</f>
        <v>1.2</v>
      </c>
      <c r="T82" s="4">
        <f>参数!$D$10</f>
        <v>1</v>
      </c>
      <c r="U82" s="4">
        <f t="shared" si="7"/>
        <v>247416</v>
      </c>
      <c r="V82" s="4">
        <f t="shared" si="8"/>
        <v>8295.6</v>
      </c>
      <c r="W82" s="4">
        <f t="shared" si="9"/>
        <v>10131</v>
      </c>
      <c r="X82" s="4">
        <f>IFERROR(INDEX(参数!$B$5:$B$7,MATCH($N82,参数!$A$5:$A$7,0)),"")</f>
        <v>1.25</v>
      </c>
      <c r="Y82" s="4">
        <f>IFERROR(INDEX(参数!$C$5:$C$7,MATCH($N82,参数!$A$5:$A$7,0)),"")</f>
        <v>1</v>
      </c>
      <c r="Z82" s="4">
        <f>IFERROR(INDEX(参数!$D$5:$D$7,MATCH($N82,参数!$A$5:$A$7,0)),"")</f>
        <v>1.25</v>
      </c>
      <c r="AA82" s="4">
        <f>IFERROR(INDEX(楼层配置!$E$5:$E$104,MATCH($K82,楼层配置!$B$5:$B$104,0)),1)</f>
        <v>1</v>
      </c>
      <c r="AB82" s="4">
        <f>IFERROR(INDEX(楼层配置!$F$5:$F$104,MATCH($K82,楼层配置!$B$5:$B$104,0)),1)</f>
        <v>1</v>
      </c>
      <c r="AC82" s="4">
        <f>IFERROR(INDEX(楼层配置!$G$5:$G$104,MATCH($K82,楼层配置!$B$5:$B$104,0)),1)</f>
        <v>1</v>
      </c>
      <c r="AD82" s="6">
        <f t="shared" si="10"/>
        <v>1.52041464965038</v>
      </c>
      <c r="AE82" s="6">
        <f t="shared" si="11"/>
        <v>1.08232931726908</v>
      </c>
      <c r="AF82" s="6">
        <f t="shared" si="12"/>
        <v>1.43866743693433</v>
      </c>
      <c r="AG82" s="4" t="str">
        <f t="shared" si="13"/>
        <v>有效</v>
      </c>
    </row>
    <row r="83" ht="14.25" customHeight="1" spans="1:33">
      <c r="A83" s="4">
        <v>79</v>
      </c>
      <c r="B83" s="4">
        <v>1035</v>
      </c>
      <c r="C83" s="4">
        <v>18</v>
      </c>
      <c r="D83" s="5">
        <f>IFERROR(ROUND($U83*$X83*$AA83*参数!$B$13,0),"")</f>
        <v>247416</v>
      </c>
      <c r="E83" s="5">
        <f>IFERROR(ROUND($V83*$Y83*$AB83*参数!$C$13,0),"")</f>
        <v>9955</v>
      </c>
      <c r="F83" s="5">
        <f>IFERROR(ROUND($W83*$Z83*$AC83*参数!$D$13,0),"")</f>
        <v>10131</v>
      </c>
      <c r="G83" s="4">
        <v>98164</v>
      </c>
      <c r="H83" s="4">
        <v>4780</v>
      </c>
      <c r="I83" s="4">
        <v>4154</v>
      </c>
      <c r="J83" s="4">
        <v>16</v>
      </c>
      <c r="K83" s="4">
        <v>16</v>
      </c>
      <c r="L83" s="4">
        <f>IFERROR(INDEX(楼层配置!$D$5:$D$104,MATCH($K83,楼层配置!$B$5:$B$104,0)),"")</f>
        <v>141</v>
      </c>
      <c r="M83" s="4" t="str">
        <f>IFERROR(INDEX(_角色基线!$B$2:$B$100,MATCH($B83,_角色基线!$A$2:$A$100,0)),"")</f>
        <v>碎冰者</v>
      </c>
      <c r="N83" s="4" t="str">
        <f>IFERROR(INDEX(_角色基线!$C$2:$C$100,MATCH($B83,_角色基线!$A$2:$A$100,0)),"")</f>
        <v>DPS</v>
      </c>
      <c r="O83" s="4">
        <f>IFERROR(INDEX(_怪物基线!$B$2:$B$501,MATCH(INT($L83),_怪物基线!$A$2:$A$501,0)),"")</f>
        <v>61854</v>
      </c>
      <c r="P83" s="4">
        <f>IFERROR(INDEX(_怪物基线!$C$2:$C$501,MATCH(INT($L83),_怪物基线!$A$2:$A$501,0)),"")</f>
        <v>6913</v>
      </c>
      <c r="Q83" s="4">
        <f>IFERROR(INDEX(_怪物基线!$D$2:$D$501,MATCH(INT($L83),_怪物基线!$A$2:$A$501,0)),"")</f>
        <v>10131</v>
      </c>
      <c r="R83" s="4">
        <f>参数!$B$10</f>
        <v>4</v>
      </c>
      <c r="S83" s="4">
        <f>参数!$C$10</f>
        <v>1.2</v>
      </c>
      <c r="T83" s="4">
        <f>参数!$D$10</f>
        <v>1</v>
      </c>
      <c r="U83" s="4">
        <f t="shared" si="7"/>
        <v>247416</v>
      </c>
      <c r="V83" s="4">
        <f t="shared" si="8"/>
        <v>8295.6</v>
      </c>
      <c r="W83" s="4">
        <f t="shared" si="9"/>
        <v>10131</v>
      </c>
      <c r="X83" s="4">
        <f>IFERROR(INDEX(参数!$B$5:$B$7,MATCH($N83,参数!$A$5:$A$7,0)),"")</f>
        <v>1</v>
      </c>
      <c r="Y83" s="4">
        <f>IFERROR(INDEX(参数!$C$5:$C$7,MATCH($N83,参数!$A$5:$A$7,0)),"")</f>
        <v>1.2</v>
      </c>
      <c r="Z83" s="4">
        <f>IFERROR(INDEX(参数!$D$5:$D$7,MATCH($N83,参数!$A$5:$A$7,0)),"")</f>
        <v>1</v>
      </c>
      <c r="AA83" s="4">
        <f>IFERROR(INDEX(楼层配置!$E$5:$E$104,MATCH($K83,楼层配置!$B$5:$B$104,0)),1)</f>
        <v>1</v>
      </c>
      <c r="AB83" s="4">
        <f>IFERROR(INDEX(楼层配置!$F$5:$F$104,MATCH($K83,楼层配置!$B$5:$B$104,0)),1)</f>
        <v>1</v>
      </c>
      <c r="AC83" s="4">
        <f>IFERROR(INDEX(楼层配置!$G$5:$G$104,MATCH($K83,楼层配置!$B$5:$B$104,0)),1)</f>
        <v>1</v>
      </c>
      <c r="AD83" s="6">
        <f t="shared" si="10"/>
        <v>1.52043519009005</v>
      </c>
      <c r="AE83" s="6">
        <f t="shared" si="11"/>
        <v>1.0826359832636</v>
      </c>
      <c r="AF83" s="6">
        <f t="shared" si="12"/>
        <v>1.4388541165142</v>
      </c>
      <c r="AG83" s="4" t="str">
        <f t="shared" si="13"/>
        <v>有效</v>
      </c>
    </row>
    <row r="84" ht="14.25" customHeight="1" spans="1:33">
      <c r="A84" s="4">
        <v>80</v>
      </c>
      <c r="B84" s="4">
        <v>1036</v>
      </c>
      <c r="C84" s="4">
        <v>18</v>
      </c>
      <c r="D84" s="5">
        <f>IFERROR(ROUND($U84*$X84*$AA84*参数!$B$13,0),"")</f>
        <v>247416</v>
      </c>
      <c r="E84" s="5">
        <f>IFERROR(ROUND($V84*$Y84*$AB84*参数!$C$13,0),"")</f>
        <v>9955</v>
      </c>
      <c r="F84" s="5">
        <f>IFERROR(ROUND($W84*$Z84*$AC84*参数!$D$13,0),"")</f>
        <v>10131</v>
      </c>
      <c r="G84" s="4">
        <v>98164</v>
      </c>
      <c r="H84" s="4">
        <v>4780</v>
      </c>
      <c r="I84" s="4">
        <v>4154</v>
      </c>
      <c r="J84" s="4">
        <v>16</v>
      </c>
      <c r="K84" s="4">
        <v>16</v>
      </c>
      <c r="L84" s="4">
        <f>IFERROR(INDEX(楼层配置!$D$5:$D$104,MATCH($K84,楼层配置!$B$5:$B$104,0)),"")</f>
        <v>141</v>
      </c>
      <c r="M84" s="4" t="str">
        <f>IFERROR(INDEX(_角色基线!$B$2:$B$100,MATCH($B84,_角色基线!$A$2:$A$100,0)),"")</f>
        <v>霜狼法师</v>
      </c>
      <c r="N84" s="4" t="str">
        <f>IFERROR(INDEX(_角色基线!$C$2:$C$100,MATCH($B84,_角色基线!$A$2:$A$100,0)),"")</f>
        <v>DPS</v>
      </c>
      <c r="O84" s="4">
        <f>IFERROR(INDEX(_怪物基线!$B$2:$B$501,MATCH(INT($L84),_怪物基线!$A$2:$A$501,0)),"")</f>
        <v>61854</v>
      </c>
      <c r="P84" s="4">
        <f>IFERROR(INDEX(_怪物基线!$C$2:$C$501,MATCH(INT($L84),_怪物基线!$A$2:$A$501,0)),"")</f>
        <v>6913</v>
      </c>
      <c r="Q84" s="4">
        <f>IFERROR(INDEX(_怪物基线!$D$2:$D$501,MATCH(INT($L84),_怪物基线!$A$2:$A$501,0)),"")</f>
        <v>10131</v>
      </c>
      <c r="R84" s="4">
        <f>参数!$B$10</f>
        <v>4</v>
      </c>
      <c r="S84" s="4">
        <f>参数!$C$10</f>
        <v>1.2</v>
      </c>
      <c r="T84" s="4">
        <f>参数!$D$10</f>
        <v>1</v>
      </c>
      <c r="U84" s="4">
        <f t="shared" si="7"/>
        <v>247416</v>
      </c>
      <c r="V84" s="4">
        <f t="shared" si="8"/>
        <v>8295.6</v>
      </c>
      <c r="W84" s="4">
        <f t="shared" si="9"/>
        <v>10131</v>
      </c>
      <c r="X84" s="4">
        <f>IFERROR(INDEX(参数!$B$5:$B$7,MATCH($N84,参数!$A$5:$A$7,0)),"")</f>
        <v>1</v>
      </c>
      <c r="Y84" s="4">
        <f>IFERROR(INDEX(参数!$C$5:$C$7,MATCH($N84,参数!$A$5:$A$7,0)),"")</f>
        <v>1.2</v>
      </c>
      <c r="Z84" s="4">
        <f>IFERROR(INDEX(参数!$D$5:$D$7,MATCH($N84,参数!$A$5:$A$7,0)),"")</f>
        <v>1</v>
      </c>
      <c r="AA84" s="4">
        <f>IFERROR(INDEX(楼层配置!$E$5:$E$104,MATCH($K84,楼层配置!$B$5:$B$104,0)),1)</f>
        <v>1</v>
      </c>
      <c r="AB84" s="4">
        <f>IFERROR(INDEX(楼层配置!$F$5:$F$104,MATCH($K84,楼层配置!$B$5:$B$104,0)),1)</f>
        <v>1</v>
      </c>
      <c r="AC84" s="4">
        <f>IFERROR(INDEX(楼层配置!$G$5:$G$104,MATCH($K84,楼层配置!$B$5:$B$104,0)),1)</f>
        <v>1</v>
      </c>
      <c r="AD84" s="6">
        <f t="shared" si="10"/>
        <v>1.52043519009005</v>
      </c>
      <c r="AE84" s="6">
        <f t="shared" si="11"/>
        <v>1.0826359832636</v>
      </c>
      <c r="AF84" s="6">
        <f t="shared" si="12"/>
        <v>1.4388541165142</v>
      </c>
      <c r="AG84" s="4" t="str">
        <f t="shared" si="13"/>
        <v>有效</v>
      </c>
    </row>
    <row r="85" ht="14.25" customHeight="1" spans="1:33">
      <c r="A85" s="4">
        <v>81</v>
      </c>
      <c r="B85" s="4">
        <v>1038</v>
      </c>
      <c r="C85" s="4">
        <v>18</v>
      </c>
      <c r="D85" s="5">
        <f>IFERROR(ROUND($U85*$X85*$AA85*参数!$B$13,0),"")</f>
        <v>411972</v>
      </c>
      <c r="E85" s="5">
        <f>IFERROR(ROUND($V85*$Y85*$AB85*参数!$C$13,0),"")</f>
        <v>8879</v>
      </c>
      <c r="F85" s="5">
        <f>IFERROR(ROUND($W85*$Z85*$AC85*参数!$D$13,0),"")</f>
        <v>16128</v>
      </c>
      <c r="G85" s="4">
        <v>160761</v>
      </c>
      <c r="H85" s="4">
        <v>4229</v>
      </c>
      <c r="I85" s="4">
        <v>6589</v>
      </c>
      <c r="J85" s="4">
        <v>17</v>
      </c>
      <c r="K85" s="4">
        <v>17</v>
      </c>
      <c r="L85" s="4">
        <f>IFERROR(INDEX(楼层配置!$D$5:$D$104,MATCH($K85,楼层配置!$B$5:$B$104,0)),"")</f>
        <v>148</v>
      </c>
      <c r="M85" s="4" t="str">
        <f>IFERROR(INDEX(_角色基线!$B$2:$B$100,MATCH($B85,_角色基线!$A$2:$A$100,0)),"")</f>
        <v>商队战斗员</v>
      </c>
      <c r="N85" s="4" t="str">
        <f>IFERROR(INDEX(_角色基线!$C$2:$C$100,MATCH($B85,_角色基线!$A$2:$A$100,0)),"")</f>
        <v>Tank</v>
      </c>
      <c r="O85" s="4">
        <f>IFERROR(INDEX(_怪物基线!$B$2:$B$501,MATCH(INT($L85),_怪物基线!$A$2:$A$501,0)),"")</f>
        <v>68662</v>
      </c>
      <c r="P85" s="4">
        <f>IFERROR(INDEX(_怪物基线!$C$2:$C$501,MATCH(INT($L85),_怪物基线!$A$2:$A$501,0)),"")</f>
        <v>7399</v>
      </c>
      <c r="Q85" s="4">
        <f>IFERROR(INDEX(_怪物基线!$D$2:$D$501,MATCH(INT($L85),_怪物基线!$A$2:$A$501,0)),"")</f>
        <v>10752</v>
      </c>
      <c r="R85" s="4">
        <f>参数!$B$10</f>
        <v>4</v>
      </c>
      <c r="S85" s="4">
        <f>参数!$C$10</f>
        <v>1.2</v>
      </c>
      <c r="T85" s="4">
        <f>参数!$D$10</f>
        <v>1</v>
      </c>
      <c r="U85" s="4">
        <f t="shared" si="7"/>
        <v>274648</v>
      </c>
      <c r="V85" s="4">
        <f t="shared" si="8"/>
        <v>8878.8</v>
      </c>
      <c r="W85" s="4">
        <f t="shared" si="9"/>
        <v>10752</v>
      </c>
      <c r="X85" s="4">
        <f>IFERROR(INDEX(参数!$B$5:$B$7,MATCH($N85,参数!$A$5:$A$7,0)),"")</f>
        <v>1.5</v>
      </c>
      <c r="Y85" s="4">
        <f>IFERROR(INDEX(参数!$C$5:$C$7,MATCH($N85,参数!$A$5:$A$7,0)),"")</f>
        <v>1</v>
      </c>
      <c r="Z85" s="4">
        <f>IFERROR(INDEX(参数!$D$5:$D$7,MATCH($N85,参数!$A$5:$A$7,0)),"")</f>
        <v>1.5</v>
      </c>
      <c r="AA85" s="4">
        <f>IFERROR(INDEX(楼层配置!$E$5:$E$104,MATCH($K85,楼层配置!$B$5:$B$104,0)),1)</f>
        <v>1</v>
      </c>
      <c r="AB85" s="4">
        <f>IFERROR(INDEX(楼层配置!$F$5:$F$104,MATCH($K85,楼层配置!$B$5:$B$104,0)),1)</f>
        <v>1</v>
      </c>
      <c r="AC85" s="4">
        <f>IFERROR(INDEX(楼层配置!$G$5:$G$104,MATCH($K85,楼层配置!$B$5:$B$104,0)),1)</f>
        <v>1</v>
      </c>
      <c r="AD85" s="6">
        <f t="shared" si="10"/>
        <v>1.56263646033553</v>
      </c>
      <c r="AE85" s="6">
        <f t="shared" si="11"/>
        <v>1.09955072121069</v>
      </c>
      <c r="AF85" s="6">
        <f t="shared" si="12"/>
        <v>1.4477158901199</v>
      </c>
      <c r="AG85" s="4" t="str">
        <f t="shared" si="13"/>
        <v>有效</v>
      </c>
    </row>
    <row r="86" ht="14.25" customHeight="1" spans="1:33">
      <c r="A86" s="4">
        <v>82</v>
      </c>
      <c r="B86" s="4">
        <v>1038</v>
      </c>
      <c r="C86" s="4">
        <v>18</v>
      </c>
      <c r="D86" s="5">
        <f>IFERROR(ROUND($U86*$X86*$AA86*参数!$B$13,0),"")</f>
        <v>411972</v>
      </c>
      <c r="E86" s="5">
        <f>IFERROR(ROUND($V86*$Y86*$AB86*参数!$C$13,0),"")</f>
        <v>8879</v>
      </c>
      <c r="F86" s="5">
        <f>IFERROR(ROUND($W86*$Z86*$AC86*参数!$D$13,0),"")</f>
        <v>16128</v>
      </c>
      <c r="G86" s="4">
        <v>160761</v>
      </c>
      <c r="H86" s="4">
        <v>4229</v>
      </c>
      <c r="I86" s="4">
        <v>6589</v>
      </c>
      <c r="J86" s="4">
        <v>17</v>
      </c>
      <c r="K86" s="4">
        <v>17</v>
      </c>
      <c r="L86" s="4">
        <f>IFERROR(INDEX(楼层配置!$D$5:$D$104,MATCH($K86,楼层配置!$B$5:$B$104,0)),"")</f>
        <v>148</v>
      </c>
      <c r="M86" s="4" t="str">
        <f>IFERROR(INDEX(_角色基线!$B$2:$B$100,MATCH($B86,_角色基线!$A$2:$A$100,0)),"")</f>
        <v>商队战斗员</v>
      </c>
      <c r="N86" s="4" t="str">
        <f>IFERROR(INDEX(_角色基线!$C$2:$C$100,MATCH($B86,_角色基线!$A$2:$A$100,0)),"")</f>
        <v>Tank</v>
      </c>
      <c r="O86" s="4">
        <f>IFERROR(INDEX(_怪物基线!$B$2:$B$501,MATCH(INT($L86),_怪物基线!$A$2:$A$501,0)),"")</f>
        <v>68662</v>
      </c>
      <c r="P86" s="4">
        <f>IFERROR(INDEX(_怪物基线!$C$2:$C$501,MATCH(INT($L86),_怪物基线!$A$2:$A$501,0)),"")</f>
        <v>7399</v>
      </c>
      <c r="Q86" s="4">
        <f>IFERROR(INDEX(_怪物基线!$D$2:$D$501,MATCH(INT($L86),_怪物基线!$A$2:$A$501,0)),"")</f>
        <v>10752</v>
      </c>
      <c r="R86" s="4">
        <f>参数!$B$10</f>
        <v>4</v>
      </c>
      <c r="S86" s="4">
        <f>参数!$C$10</f>
        <v>1.2</v>
      </c>
      <c r="T86" s="4">
        <f>参数!$D$10</f>
        <v>1</v>
      </c>
      <c r="U86" s="4">
        <f t="shared" si="7"/>
        <v>274648</v>
      </c>
      <c r="V86" s="4">
        <f t="shared" si="8"/>
        <v>8878.8</v>
      </c>
      <c r="W86" s="4">
        <f t="shared" si="9"/>
        <v>10752</v>
      </c>
      <c r="X86" s="4">
        <f>IFERROR(INDEX(参数!$B$5:$B$7,MATCH($N86,参数!$A$5:$A$7,0)),"")</f>
        <v>1.5</v>
      </c>
      <c r="Y86" s="4">
        <f>IFERROR(INDEX(参数!$C$5:$C$7,MATCH($N86,参数!$A$5:$A$7,0)),"")</f>
        <v>1</v>
      </c>
      <c r="Z86" s="4">
        <f>IFERROR(INDEX(参数!$D$5:$D$7,MATCH($N86,参数!$A$5:$A$7,0)),"")</f>
        <v>1.5</v>
      </c>
      <c r="AA86" s="4">
        <f>IFERROR(INDEX(楼层配置!$E$5:$E$104,MATCH($K86,楼层配置!$B$5:$B$104,0)),1)</f>
        <v>1</v>
      </c>
      <c r="AB86" s="4">
        <f>IFERROR(INDEX(楼层配置!$F$5:$F$104,MATCH($K86,楼层配置!$B$5:$B$104,0)),1)</f>
        <v>1</v>
      </c>
      <c r="AC86" s="4">
        <f>IFERROR(INDEX(楼层配置!$G$5:$G$104,MATCH($K86,楼层配置!$B$5:$B$104,0)),1)</f>
        <v>1</v>
      </c>
      <c r="AD86" s="6">
        <f t="shared" si="10"/>
        <v>1.56263646033553</v>
      </c>
      <c r="AE86" s="6">
        <f t="shared" si="11"/>
        <v>1.09955072121069</v>
      </c>
      <c r="AF86" s="6">
        <f t="shared" si="12"/>
        <v>1.4477158901199</v>
      </c>
      <c r="AG86" s="4" t="str">
        <f t="shared" si="13"/>
        <v>有效</v>
      </c>
    </row>
    <row r="87" ht="14.25" customHeight="1" spans="1:33">
      <c r="A87" s="4">
        <v>83</v>
      </c>
      <c r="B87" s="4">
        <v>1039</v>
      </c>
      <c r="C87" s="4">
        <v>18</v>
      </c>
      <c r="D87" s="5">
        <f>IFERROR(ROUND($U87*$X87*$AA87*参数!$B$13,0),"")</f>
        <v>274648</v>
      </c>
      <c r="E87" s="5">
        <f>IFERROR(ROUND($V87*$Y87*$AB87*参数!$C$13,0),"")</f>
        <v>10655</v>
      </c>
      <c r="F87" s="5">
        <f>IFERROR(ROUND($W87*$Z87*$AC87*参数!$D$13,0),"")</f>
        <v>10752</v>
      </c>
      <c r="G87" s="4">
        <v>107174</v>
      </c>
      <c r="H87" s="4">
        <v>5074</v>
      </c>
      <c r="I87" s="4">
        <v>4392</v>
      </c>
      <c r="J87" s="4">
        <v>17</v>
      </c>
      <c r="K87" s="4">
        <v>17</v>
      </c>
      <c r="L87" s="4">
        <f>IFERROR(INDEX(楼层配置!$D$5:$D$104,MATCH($K87,楼层配置!$B$5:$B$104,0)),"")</f>
        <v>148</v>
      </c>
      <c r="M87" s="4" t="str">
        <f>IFERROR(INDEX(_角色基线!$B$2:$B$100,MATCH($B87,_角色基线!$A$2:$A$100,0)),"")</f>
        <v>商队枪手</v>
      </c>
      <c r="N87" s="4" t="str">
        <f>IFERROR(INDEX(_角色基线!$C$2:$C$100,MATCH($B87,_角色基线!$A$2:$A$100,0)),"")</f>
        <v>DPS</v>
      </c>
      <c r="O87" s="4">
        <f>IFERROR(INDEX(_怪物基线!$B$2:$B$501,MATCH(INT($L87),_怪物基线!$A$2:$A$501,0)),"")</f>
        <v>68662</v>
      </c>
      <c r="P87" s="4">
        <f>IFERROR(INDEX(_怪物基线!$C$2:$C$501,MATCH(INT($L87),_怪物基线!$A$2:$A$501,0)),"")</f>
        <v>7399</v>
      </c>
      <c r="Q87" s="4">
        <f>IFERROR(INDEX(_怪物基线!$D$2:$D$501,MATCH(INT($L87),_怪物基线!$A$2:$A$501,0)),"")</f>
        <v>10752</v>
      </c>
      <c r="R87" s="4">
        <f>参数!$B$10</f>
        <v>4</v>
      </c>
      <c r="S87" s="4">
        <f>参数!$C$10</f>
        <v>1.2</v>
      </c>
      <c r="T87" s="4">
        <f>参数!$D$10</f>
        <v>1</v>
      </c>
      <c r="U87" s="4">
        <f t="shared" si="7"/>
        <v>274648</v>
      </c>
      <c r="V87" s="4">
        <f t="shared" si="8"/>
        <v>8878.8</v>
      </c>
      <c r="W87" s="4">
        <f t="shared" si="9"/>
        <v>10752</v>
      </c>
      <c r="X87" s="4">
        <f>IFERROR(INDEX(参数!$B$5:$B$7,MATCH($N87,参数!$A$5:$A$7,0)),"")</f>
        <v>1</v>
      </c>
      <c r="Y87" s="4">
        <f>IFERROR(INDEX(参数!$C$5:$C$7,MATCH($N87,参数!$A$5:$A$7,0)),"")</f>
        <v>1.2</v>
      </c>
      <c r="Z87" s="4">
        <f>IFERROR(INDEX(参数!$D$5:$D$7,MATCH($N87,参数!$A$5:$A$7,0)),"")</f>
        <v>1</v>
      </c>
      <c r="AA87" s="4">
        <f>IFERROR(INDEX(楼层配置!$E$5:$E$104,MATCH($K87,楼层配置!$B$5:$B$104,0)),1)</f>
        <v>1</v>
      </c>
      <c r="AB87" s="4">
        <f>IFERROR(INDEX(楼层配置!$F$5:$F$104,MATCH($K87,楼层配置!$B$5:$B$104,0)),1)</f>
        <v>1</v>
      </c>
      <c r="AC87" s="4">
        <f>IFERROR(INDEX(楼层配置!$G$5:$G$104,MATCH($K87,楼层配置!$B$5:$B$104,0)),1)</f>
        <v>1</v>
      </c>
      <c r="AD87" s="6">
        <f t="shared" si="10"/>
        <v>1.56263646033553</v>
      </c>
      <c r="AE87" s="6">
        <f t="shared" si="11"/>
        <v>1.09992116673236</v>
      </c>
      <c r="AF87" s="6">
        <f t="shared" si="12"/>
        <v>1.44808743169399</v>
      </c>
      <c r="AG87" s="4" t="str">
        <f t="shared" si="13"/>
        <v>有效</v>
      </c>
    </row>
    <row r="88" ht="14.25" customHeight="1" spans="1:33">
      <c r="A88" s="4">
        <v>84</v>
      </c>
      <c r="B88" s="4">
        <v>1035</v>
      </c>
      <c r="C88" s="4">
        <v>18</v>
      </c>
      <c r="D88" s="5">
        <f>IFERROR(ROUND($U88*$X88*$AA88*参数!$B$13,0),"")</f>
        <v>274648</v>
      </c>
      <c r="E88" s="5">
        <f>IFERROR(ROUND($V88*$Y88*$AB88*参数!$C$13,0),"")</f>
        <v>10655</v>
      </c>
      <c r="F88" s="5">
        <f>IFERROR(ROUND($W88*$Z88*$AC88*参数!$D$13,0),"")</f>
        <v>10752</v>
      </c>
      <c r="G88" s="4">
        <v>107174</v>
      </c>
      <c r="H88" s="4">
        <v>5074</v>
      </c>
      <c r="I88" s="4">
        <v>4392</v>
      </c>
      <c r="J88" s="4">
        <v>17</v>
      </c>
      <c r="K88" s="4">
        <v>17</v>
      </c>
      <c r="L88" s="4">
        <f>IFERROR(INDEX(楼层配置!$D$5:$D$104,MATCH($K88,楼层配置!$B$5:$B$104,0)),"")</f>
        <v>148</v>
      </c>
      <c r="M88" s="4" t="str">
        <f>IFERROR(INDEX(_角色基线!$B$2:$B$100,MATCH($B88,_角色基线!$A$2:$A$100,0)),"")</f>
        <v>碎冰者</v>
      </c>
      <c r="N88" s="4" t="str">
        <f>IFERROR(INDEX(_角色基线!$C$2:$C$100,MATCH($B88,_角色基线!$A$2:$A$100,0)),"")</f>
        <v>DPS</v>
      </c>
      <c r="O88" s="4">
        <f>IFERROR(INDEX(_怪物基线!$B$2:$B$501,MATCH(INT($L88),_怪物基线!$A$2:$A$501,0)),"")</f>
        <v>68662</v>
      </c>
      <c r="P88" s="4">
        <f>IFERROR(INDEX(_怪物基线!$C$2:$C$501,MATCH(INT($L88),_怪物基线!$A$2:$A$501,0)),"")</f>
        <v>7399</v>
      </c>
      <c r="Q88" s="4">
        <f>IFERROR(INDEX(_怪物基线!$D$2:$D$501,MATCH(INT($L88),_怪物基线!$A$2:$A$501,0)),"")</f>
        <v>10752</v>
      </c>
      <c r="R88" s="4">
        <f>参数!$B$10</f>
        <v>4</v>
      </c>
      <c r="S88" s="4">
        <f>参数!$C$10</f>
        <v>1.2</v>
      </c>
      <c r="T88" s="4">
        <f>参数!$D$10</f>
        <v>1</v>
      </c>
      <c r="U88" s="4">
        <f t="shared" si="7"/>
        <v>274648</v>
      </c>
      <c r="V88" s="4">
        <f t="shared" si="8"/>
        <v>8878.8</v>
      </c>
      <c r="W88" s="4">
        <f t="shared" si="9"/>
        <v>10752</v>
      </c>
      <c r="X88" s="4">
        <f>IFERROR(INDEX(参数!$B$5:$B$7,MATCH($N88,参数!$A$5:$A$7,0)),"")</f>
        <v>1</v>
      </c>
      <c r="Y88" s="4">
        <f>IFERROR(INDEX(参数!$C$5:$C$7,MATCH($N88,参数!$A$5:$A$7,0)),"")</f>
        <v>1.2</v>
      </c>
      <c r="Z88" s="4">
        <f>IFERROR(INDEX(参数!$D$5:$D$7,MATCH($N88,参数!$A$5:$A$7,0)),"")</f>
        <v>1</v>
      </c>
      <c r="AA88" s="4">
        <f>IFERROR(INDEX(楼层配置!$E$5:$E$104,MATCH($K88,楼层配置!$B$5:$B$104,0)),1)</f>
        <v>1</v>
      </c>
      <c r="AB88" s="4">
        <f>IFERROR(INDEX(楼层配置!$F$5:$F$104,MATCH($K88,楼层配置!$B$5:$B$104,0)),1)</f>
        <v>1</v>
      </c>
      <c r="AC88" s="4">
        <f>IFERROR(INDEX(楼层配置!$G$5:$G$104,MATCH($K88,楼层配置!$B$5:$B$104,0)),1)</f>
        <v>1</v>
      </c>
      <c r="AD88" s="6">
        <f t="shared" si="10"/>
        <v>1.56263646033553</v>
      </c>
      <c r="AE88" s="6">
        <f t="shared" si="11"/>
        <v>1.09992116673236</v>
      </c>
      <c r="AF88" s="6">
        <f t="shared" si="12"/>
        <v>1.44808743169399</v>
      </c>
      <c r="AG88" s="4" t="str">
        <f t="shared" si="13"/>
        <v>有效</v>
      </c>
    </row>
    <row r="89" ht="14.25" customHeight="1" spans="1:33">
      <c r="A89" s="4">
        <v>85</v>
      </c>
      <c r="B89" s="4">
        <v>1015</v>
      </c>
      <c r="C89" s="4">
        <v>18</v>
      </c>
      <c r="D89" s="5">
        <f>IFERROR(ROUND($U89*$X89*$AA89*参数!$B$13,0),"")</f>
        <v>343310</v>
      </c>
      <c r="E89" s="5">
        <f>IFERROR(ROUND($V89*$Y89*$AB89*参数!$C$13,0),"")</f>
        <v>8879</v>
      </c>
      <c r="F89" s="5">
        <f>IFERROR(ROUND($W89*$Z89*$AC89*参数!$D$13,0),"")</f>
        <v>13440</v>
      </c>
      <c r="G89" s="4">
        <v>133968</v>
      </c>
      <c r="H89" s="4">
        <v>4229</v>
      </c>
      <c r="I89" s="4">
        <v>5491</v>
      </c>
      <c r="J89" s="4">
        <v>17</v>
      </c>
      <c r="K89" s="4">
        <v>17</v>
      </c>
      <c r="L89" s="4">
        <f>IFERROR(INDEX(楼层配置!$D$5:$D$104,MATCH($K89,楼层配置!$B$5:$B$104,0)),"")</f>
        <v>148</v>
      </c>
      <c r="M89" s="4" t="str">
        <f>IFERROR(INDEX(_角色基线!$B$2:$B$100,MATCH($B89,_角色基线!$A$2:$A$100,0)),"")</f>
        <v>阿莱克西娅</v>
      </c>
      <c r="N89" s="4" t="str">
        <f>IFERROR(INDEX(_角色基线!$C$2:$C$100,MATCH($B89,_角色基线!$A$2:$A$100,0)),"")</f>
        <v>Support</v>
      </c>
      <c r="O89" s="4">
        <f>IFERROR(INDEX(_怪物基线!$B$2:$B$501,MATCH(INT($L89),_怪物基线!$A$2:$A$501,0)),"")</f>
        <v>68662</v>
      </c>
      <c r="P89" s="4">
        <f>IFERROR(INDEX(_怪物基线!$C$2:$C$501,MATCH(INT($L89),_怪物基线!$A$2:$A$501,0)),"")</f>
        <v>7399</v>
      </c>
      <c r="Q89" s="4">
        <f>IFERROR(INDEX(_怪物基线!$D$2:$D$501,MATCH(INT($L89),_怪物基线!$A$2:$A$501,0)),"")</f>
        <v>10752</v>
      </c>
      <c r="R89" s="4">
        <f>参数!$B$10</f>
        <v>4</v>
      </c>
      <c r="S89" s="4">
        <f>参数!$C$10</f>
        <v>1.2</v>
      </c>
      <c r="T89" s="4">
        <f>参数!$D$10</f>
        <v>1</v>
      </c>
      <c r="U89" s="4">
        <f t="shared" si="7"/>
        <v>274648</v>
      </c>
      <c r="V89" s="4">
        <f t="shared" si="8"/>
        <v>8878.8</v>
      </c>
      <c r="W89" s="4">
        <f t="shared" si="9"/>
        <v>10752</v>
      </c>
      <c r="X89" s="4">
        <f>IFERROR(INDEX(参数!$B$5:$B$7,MATCH($N89,参数!$A$5:$A$7,0)),"")</f>
        <v>1.25</v>
      </c>
      <c r="Y89" s="4">
        <f>IFERROR(INDEX(参数!$C$5:$C$7,MATCH($N89,参数!$A$5:$A$7,0)),"")</f>
        <v>1</v>
      </c>
      <c r="Z89" s="4">
        <f>IFERROR(INDEX(参数!$D$5:$D$7,MATCH($N89,参数!$A$5:$A$7,0)),"")</f>
        <v>1.25</v>
      </c>
      <c r="AA89" s="4">
        <f>IFERROR(INDEX(楼层配置!$E$5:$E$104,MATCH($K89,楼层配置!$B$5:$B$104,0)),1)</f>
        <v>1</v>
      </c>
      <c r="AB89" s="4">
        <f>IFERROR(INDEX(楼层配置!$F$5:$F$104,MATCH($K89,楼层配置!$B$5:$B$104,0)),1)</f>
        <v>1</v>
      </c>
      <c r="AC89" s="4">
        <f>IFERROR(INDEX(楼层配置!$G$5:$G$104,MATCH($K89,楼层配置!$B$5:$B$104,0)),1)</f>
        <v>1</v>
      </c>
      <c r="AD89" s="6">
        <f t="shared" si="10"/>
        <v>1.56262689597516</v>
      </c>
      <c r="AE89" s="6">
        <f t="shared" si="11"/>
        <v>1.09955072121069</v>
      </c>
      <c r="AF89" s="6">
        <f t="shared" si="12"/>
        <v>1.44764159533783</v>
      </c>
      <c r="AG89" s="4" t="str">
        <f t="shared" si="13"/>
        <v>有效</v>
      </c>
    </row>
    <row r="90" ht="14.25" customHeight="1" spans="1:33">
      <c r="A90" s="4">
        <v>86</v>
      </c>
      <c r="B90" s="4">
        <v>1035</v>
      </c>
      <c r="C90" s="4">
        <v>19</v>
      </c>
      <c r="D90" s="5">
        <f>IFERROR(ROUND($U90*$X90*$AA90*参数!$B$13,0),"")</f>
        <v>303884</v>
      </c>
      <c r="E90" s="5">
        <f>IFERROR(ROUND($V90*$Y90*$AB90*参数!$C$13,0),"")</f>
        <v>11379</v>
      </c>
      <c r="F90" s="5">
        <f>IFERROR(ROUND($W90*$Z90*$AC90*参数!$D$13,0),"")</f>
        <v>11384</v>
      </c>
      <c r="G90" s="4">
        <v>116668</v>
      </c>
      <c r="H90" s="4">
        <v>5373</v>
      </c>
      <c r="I90" s="4">
        <v>4634</v>
      </c>
      <c r="J90" s="4">
        <v>18</v>
      </c>
      <c r="K90" s="4">
        <v>18</v>
      </c>
      <c r="L90" s="4">
        <f>IFERROR(INDEX(楼层配置!$D$5:$D$104,MATCH($K90,楼层配置!$B$5:$B$104,0)),"")</f>
        <v>155</v>
      </c>
      <c r="M90" s="4" t="str">
        <f>IFERROR(INDEX(_角色基线!$B$2:$B$100,MATCH($B90,_角色基线!$A$2:$A$100,0)),"")</f>
        <v>碎冰者</v>
      </c>
      <c r="N90" s="4" t="str">
        <f>IFERROR(INDEX(_角色基线!$C$2:$C$100,MATCH($B90,_角色基线!$A$2:$A$100,0)),"")</f>
        <v>DPS</v>
      </c>
      <c r="O90" s="4">
        <f>IFERROR(INDEX(_怪物基线!$B$2:$B$501,MATCH(INT($L90),_怪物基线!$A$2:$A$501,0)),"")</f>
        <v>75971</v>
      </c>
      <c r="P90" s="4">
        <f>IFERROR(INDEX(_怪物基线!$C$2:$C$501,MATCH(INT($L90),_怪物基线!$A$2:$A$501,0)),"")</f>
        <v>7902</v>
      </c>
      <c r="Q90" s="4">
        <f>IFERROR(INDEX(_怪物基线!$D$2:$D$501,MATCH(INT($L90),_怪物基线!$A$2:$A$501,0)),"")</f>
        <v>11384</v>
      </c>
      <c r="R90" s="4">
        <f>参数!$B$10</f>
        <v>4</v>
      </c>
      <c r="S90" s="4">
        <f>参数!$C$10</f>
        <v>1.2</v>
      </c>
      <c r="T90" s="4">
        <f>参数!$D$10</f>
        <v>1</v>
      </c>
      <c r="U90" s="4">
        <f t="shared" si="7"/>
        <v>303884</v>
      </c>
      <c r="V90" s="4">
        <f t="shared" si="8"/>
        <v>9482.4</v>
      </c>
      <c r="W90" s="4">
        <f t="shared" si="9"/>
        <v>11384</v>
      </c>
      <c r="X90" s="4">
        <f>IFERROR(INDEX(参数!$B$5:$B$7,MATCH($N90,参数!$A$5:$A$7,0)),"")</f>
        <v>1</v>
      </c>
      <c r="Y90" s="4">
        <f>IFERROR(INDEX(参数!$C$5:$C$7,MATCH($N90,参数!$A$5:$A$7,0)),"")</f>
        <v>1.2</v>
      </c>
      <c r="Z90" s="4">
        <f>IFERROR(INDEX(参数!$D$5:$D$7,MATCH($N90,参数!$A$5:$A$7,0)),"")</f>
        <v>1</v>
      </c>
      <c r="AA90" s="4">
        <f>IFERROR(INDEX(楼层配置!$E$5:$E$104,MATCH($K90,楼层配置!$B$5:$B$104,0)),1)</f>
        <v>1</v>
      </c>
      <c r="AB90" s="4">
        <f>IFERROR(INDEX(楼层配置!$F$5:$F$104,MATCH($K90,楼层配置!$B$5:$B$104,0)),1)</f>
        <v>1</v>
      </c>
      <c r="AC90" s="4">
        <f>IFERROR(INDEX(楼层配置!$G$5:$G$104,MATCH($K90,楼层配置!$B$5:$B$104,0)),1)</f>
        <v>1</v>
      </c>
      <c r="AD90" s="6">
        <f t="shared" si="10"/>
        <v>1.60469023211163</v>
      </c>
      <c r="AE90" s="6">
        <f t="shared" si="11"/>
        <v>1.1178112786153</v>
      </c>
      <c r="AF90" s="6">
        <f t="shared" si="12"/>
        <v>1.45662494605093</v>
      </c>
      <c r="AG90" s="4" t="str">
        <f t="shared" si="13"/>
        <v>有效</v>
      </c>
    </row>
    <row r="91" ht="14.25" customHeight="1" spans="1:33">
      <c r="A91" s="4">
        <v>87</v>
      </c>
      <c r="B91" s="4">
        <v>1015</v>
      </c>
      <c r="C91" s="4">
        <v>19</v>
      </c>
      <c r="D91" s="5">
        <f>IFERROR(ROUND($U91*$X91*$AA91*参数!$B$13,0),"")</f>
        <v>379855</v>
      </c>
      <c r="E91" s="5">
        <f>IFERROR(ROUND($V91*$Y91*$AB91*参数!$C$13,0),"")</f>
        <v>9482</v>
      </c>
      <c r="F91" s="5">
        <f>IFERROR(ROUND($W91*$Z91*$AC91*参数!$D$13,0),"")</f>
        <v>14230</v>
      </c>
      <c r="G91" s="4">
        <v>145836</v>
      </c>
      <c r="H91" s="4">
        <v>4478</v>
      </c>
      <c r="I91" s="4">
        <v>5793</v>
      </c>
      <c r="J91" s="4">
        <v>18</v>
      </c>
      <c r="K91" s="4">
        <v>18</v>
      </c>
      <c r="L91" s="4">
        <f>IFERROR(INDEX(楼层配置!$D$5:$D$104,MATCH($K91,楼层配置!$B$5:$B$104,0)),"")</f>
        <v>155</v>
      </c>
      <c r="M91" s="4" t="str">
        <f>IFERROR(INDEX(_角色基线!$B$2:$B$100,MATCH($B91,_角色基线!$A$2:$A$100,0)),"")</f>
        <v>阿莱克西娅</v>
      </c>
      <c r="N91" s="4" t="str">
        <f>IFERROR(INDEX(_角色基线!$C$2:$C$100,MATCH($B91,_角色基线!$A$2:$A$100,0)),"")</f>
        <v>Support</v>
      </c>
      <c r="O91" s="4">
        <f>IFERROR(INDEX(_怪物基线!$B$2:$B$501,MATCH(INT($L91),_怪物基线!$A$2:$A$501,0)),"")</f>
        <v>75971</v>
      </c>
      <c r="P91" s="4">
        <f>IFERROR(INDEX(_怪物基线!$C$2:$C$501,MATCH(INT($L91),_怪物基线!$A$2:$A$501,0)),"")</f>
        <v>7902</v>
      </c>
      <c r="Q91" s="4">
        <f>IFERROR(INDEX(_怪物基线!$D$2:$D$501,MATCH(INT($L91),_怪物基线!$A$2:$A$501,0)),"")</f>
        <v>11384</v>
      </c>
      <c r="R91" s="4">
        <f>参数!$B$10</f>
        <v>4</v>
      </c>
      <c r="S91" s="4">
        <f>参数!$C$10</f>
        <v>1.2</v>
      </c>
      <c r="T91" s="4">
        <f>参数!$D$10</f>
        <v>1</v>
      </c>
      <c r="U91" s="4">
        <f t="shared" si="7"/>
        <v>303884</v>
      </c>
      <c r="V91" s="4">
        <f t="shared" si="8"/>
        <v>9482.4</v>
      </c>
      <c r="W91" s="4">
        <f t="shared" si="9"/>
        <v>11384</v>
      </c>
      <c r="X91" s="4">
        <f>IFERROR(INDEX(参数!$B$5:$B$7,MATCH($N91,参数!$A$5:$A$7,0)),"")</f>
        <v>1.25</v>
      </c>
      <c r="Y91" s="4">
        <f>IFERROR(INDEX(参数!$C$5:$C$7,MATCH($N91,参数!$A$5:$A$7,0)),"")</f>
        <v>1</v>
      </c>
      <c r="Z91" s="4">
        <f>IFERROR(INDEX(参数!$D$5:$D$7,MATCH($N91,参数!$A$5:$A$7,0)),"")</f>
        <v>1.25</v>
      </c>
      <c r="AA91" s="4">
        <f>IFERROR(INDEX(楼层配置!$E$5:$E$104,MATCH($K91,楼层配置!$B$5:$B$104,0)),1)</f>
        <v>1</v>
      </c>
      <c r="AB91" s="4">
        <f>IFERROR(INDEX(楼层配置!$F$5:$F$104,MATCH($K91,楼层配置!$B$5:$B$104,0)),1)</f>
        <v>1</v>
      </c>
      <c r="AC91" s="4">
        <f>IFERROR(INDEX(楼层配置!$G$5:$G$104,MATCH($K91,楼层配置!$B$5:$B$104,0)),1)</f>
        <v>1</v>
      </c>
      <c r="AD91" s="6">
        <f t="shared" si="10"/>
        <v>1.6046723717052</v>
      </c>
      <c r="AE91" s="6">
        <f t="shared" si="11"/>
        <v>1.11746315319339</v>
      </c>
      <c r="AF91" s="6">
        <f t="shared" si="12"/>
        <v>1.45641291213534</v>
      </c>
      <c r="AG91" s="4" t="str">
        <f t="shared" si="13"/>
        <v>有效</v>
      </c>
    </row>
    <row r="92" ht="14.25" customHeight="1" spans="1:33">
      <c r="A92" s="4">
        <v>88</v>
      </c>
      <c r="B92" s="4">
        <v>1037</v>
      </c>
      <c r="C92" s="4">
        <v>19</v>
      </c>
      <c r="D92" s="5">
        <f>IFERROR(ROUND($U92*$X92*$AA92*参数!$B$13,0),"")</f>
        <v>303884</v>
      </c>
      <c r="E92" s="5">
        <f>IFERROR(ROUND($V92*$Y92*$AB92*参数!$C$13,0),"")</f>
        <v>11379</v>
      </c>
      <c r="F92" s="5">
        <f>IFERROR(ROUND($W92*$Z92*$AC92*参数!$D$13,0),"")</f>
        <v>11384</v>
      </c>
      <c r="G92" s="4">
        <v>116668</v>
      </c>
      <c r="H92" s="4">
        <v>5373</v>
      </c>
      <c r="I92" s="4">
        <v>4634</v>
      </c>
      <c r="J92" s="4">
        <v>18</v>
      </c>
      <c r="K92" s="4">
        <v>18</v>
      </c>
      <c r="L92" s="4">
        <f>IFERROR(INDEX(楼层配置!$D$5:$D$104,MATCH($K92,楼层配置!$B$5:$B$104,0)),"")</f>
        <v>155</v>
      </c>
      <c r="M92" s="4" t="str">
        <f>IFERROR(INDEX(_角色基线!$B$2:$B$100,MATCH($B92,_角色基线!$A$2:$A$100,0)),"")</f>
        <v>霜狼战士</v>
      </c>
      <c r="N92" s="4" t="str">
        <f>IFERROR(INDEX(_角色基线!$C$2:$C$100,MATCH($B92,_角色基线!$A$2:$A$100,0)),"")</f>
        <v>DPS</v>
      </c>
      <c r="O92" s="4">
        <f>IFERROR(INDEX(_怪物基线!$B$2:$B$501,MATCH(INT($L92),_怪物基线!$A$2:$A$501,0)),"")</f>
        <v>75971</v>
      </c>
      <c r="P92" s="4">
        <f>IFERROR(INDEX(_怪物基线!$C$2:$C$501,MATCH(INT($L92),_怪物基线!$A$2:$A$501,0)),"")</f>
        <v>7902</v>
      </c>
      <c r="Q92" s="4">
        <f>IFERROR(INDEX(_怪物基线!$D$2:$D$501,MATCH(INT($L92),_怪物基线!$A$2:$A$501,0)),"")</f>
        <v>11384</v>
      </c>
      <c r="R92" s="4">
        <f>参数!$B$10</f>
        <v>4</v>
      </c>
      <c r="S92" s="4">
        <f>参数!$C$10</f>
        <v>1.2</v>
      </c>
      <c r="T92" s="4">
        <f>参数!$D$10</f>
        <v>1</v>
      </c>
      <c r="U92" s="4">
        <f t="shared" si="7"/>
        <v>303884</v>
      </c>
      <c r="V92" s="4">
        <f t="shared" si="8"/>
        <v>9482.4</v>
      </c>
      <c r="W92" s="4">
        <f t="shared" si="9"/>
        <v>11384</v>
      </c>
      <c r="X92" s="4">
        <f>IFERROR(INDEX(参数!$B$5:$B$7,MATCH($N92,参数!$A$5:$A$7,0)),"")</f>
        <v>1</v>
      </c>
      <c r="Y92" s="4">
        <f>IFERROR(INDEX(参数!$C$5:$C$7,MATCH($N92,参数!$A$5:$A$7,0)),"")</f>
        <v>1.2</v>
      </c>
      <c r="Z92" s="4">
        <f>IFERROR(INDEX(参数!$D$5:$D$7,MATCH($N92,参数!$A$5:$A$7,0)),"")</f>
        <v>1</v>
      </c>
      <c r="AA92" s="4">
        <f>IFERROR(INDEX(楼层配置!$E$5:$E$104,MATCH($K92,楼层配置!$B$5:$B$104,0)),1)</f>
        <v>1</v>
      </c>
      <c r="AB92" s="4">
        <f>IFERROR(INDEX(楼层配置!$F$5:$F$104,MATCH($K92,楼层配置!$B$5:$B$104,0)),1)</f>
        <v>1</v>
      </c>
      <c r="AC92" s="4">
        <f>IFERROR(INDEX(楼层配置!$G$5:$G$104,MATCH($K92,楼层配置!$B$5:$B$104,0)),1)</f>
        <v>1</v>
      </c>
      <c r="AD92" s="6">
        <f t="shared" si="10"/>
        <v>1.60469023211163</v>
      </c>
      <c r="AE92" s="6">
        <f t="shared" si="11"/>
        <v>1.1178112786153</v>
      </c>
      <c r="AF92" s="6">
        <f t="shared" si="12"/>
        <v>1.45662494605093</v>
      </c>
      <c r="AG92" s="4" t="str">
        <f t="shared" si="13"/>
        <v>有效</v>
      </c>
    </row>
    <row r="93" ht="14.25" customHeight="1" spans="1:33">
      <c r="A93" s="4">
        <v>89</v>
      </c>
      <c r="B93" s="4">
        <v>1018</v>
      </c>
      <c r="C93" s="4">
        <v>19</v>
      </c>
      <c r="D93" s="5">
        <f>IFERROR(ROUND($U93*$X93*$AA93*参数!$B$13,0),"")</f>
        <v>379855</v>
      </c>
      <c r="E93" s="5">
        <f>IFERROR(ROUND($V93*$Y93*$AB93*参数!$C$13,0),"")</f>
        <v>9482</v>
      </c>
      <c r="F93" s="5">
        <f>IFERROR(ROUND($W93*$Z93*$AC93*参数!$D$13,0),"")</f>
        <v>14230</v>
      </c>
      <c r="G93" s="4">
        <v>145836</v>
      </c>
      <c r="H93" s="4">
        <v>4478</v>
      </c>
      <c r="I93" s="4">
        <v>5793</v>
      </c>
      <c r="J93" s="4">
        <v>18</v>
      </c>
      <c r="K93" s="4">
        <v>18</v>
      </c>
      <c r="L93" s="4">
        <f>IFERROR(INDEX(楼层配置!$D$5:$D$104,MATCH($K93,楼层配置!$B$5:$B$104,0)),"")</f>
        <v>155</v>
      </c>
      <c r="M93" s="4" t="str">
        <f>IFERROR(INDEX(_角色基线!$B$2:$B$100,MATCH($B93,_角色基线!$A$2:$A$100,0)),"")</f>
        <v>埃莉诺</v>
      </c>
      <c r="N93" s="4" t="str">
        <f>IFERROR(INDEX(_角色基线!$C$2:$C$100,MATCH($B93,_角色基线!$A$2:$A$100,0)),"")</f>
        <v>Support</v>
      </c>
      <c r="O93" s="4">
        <f>IFERROR(INDEX(_怪物基线!$B$2:$B$501,MATCH(INT($L93),_怪物基线!$A$2:$A$501,0)),"")</f>
        <v>75971</v>
      </c>
      <c r="P93" s="4">
        <f>IFERROR(INDEX(_怪物基线!$C$2:$C$501,MATCH(INT($L93),_怪物基线!$A$2:$A$501,0)),"")</f>
        <v>7902</v>
      </c>
      <c r="Q93" s="4">
        <f>IFERROR(INDEX(_怪物基线!$D$2:$D$501,MATCH(INT($L93),_怪物基线!$A$2:$A$501,0)),"")</f>
        <v>11384</v>
      </c>
      <c r="R93" s="4">
        <f>参数!$B$10</f>
        <v>4</v>
      </c>
      <c r="S93" s="4">
        <f>参数!$C$10</f>
        <v>1.2</v>
      </c>
      <c r="T93" s="4">
        <f>参数!$D$10</f>
        <v>1</v>
      </c>
      <c r="U93" s="4">
        <f t="shared" si="7"/>
        <v>303884</v>
      </c>
      <c r="V93" s="4">
        <f t="shared" si="8"/>
        <v>9482.4</v>
      </c>
      <c r="W93" s="4">
        <f t="shared" si="9"/>
        <v>11384</v>
      </c>
      <c r="X93" s="4">
        <f>IFERROR(INDEX(参数!$B$5:$B$7,MATCH($N93,参数!$A$5:$A$7,0)),"")</f>
        <v>1.25</v>
      </c>
      <c r="Y93" s="4">
        <f>IFERROR(INDEX(参数!$C$5:$C$7,MATCH($N93,参数!$A$5:$A$7,0)),"")</f>
        <v>1</v>
      </c>
      <c r="Z93" s="4">
        <f>IFERROR(INDEX(参数!$D$5:$D$7,MATCH($N93,参数!$A$5:$A$7,0)),"")</f>
        <v>1.25</v>
      </c>
      <c r="AA93" s="4">
        <f>IFERROR(INDEX(楼层配置!$E$5:$E$104,MATCH($K93,楼层配置!$B$5:$B$104,0)),1)</f>
        <v>1</v>
      </c>
      <c r="AB93" s="4">
        <f>IFERROR(INDEX(楼层配置!$F$5:$F$104,MATCH($K93,楼层配置!$B$5:$B$104,0)),1)</f>
        <v>1</v>
      </c>
      <c r="AC93" s="4">
        <f>IFERROR(INDEX(楼层配置!$G$5:$G$104,MATCH($K93,楼层配置!$B$5:$B$104,0)),1)</f>
        <v>1</v>
      </c>
      <c r="AD93" s="6">
        <f t="shared" si="10"/>
        <v>1.6046723717052</v>
      </c>
      <c r="AE93" s="6">
        <f t="shared" si="11"/>
        <v>1.11746315319339</v>
      </c>
      <c r="AF93" s="6">
        <f t="shared" si="12"/>
        <v>1.45641291213534</v>
      </c>
      <c r="AG93" s="4" t="str">
        <f t="shared" si="13"/>
        <v>有效</v>
      </c>
    </row>
    <row r="94" ht="14.25" customHeight="1" spans="1:33">
      <c r="A94" s="4">
        <v>90</v>
      </c>
      <c r="B94" s="4">
        <v>1012</v>
      </c>
      <c r="C94" s="4">
        <v>19</v>
      </c>
      <c r="D94" s="5">
        <f>IFERROR(ROUND($U94*$X94*$AA94*参数!$B$13,0),"")</f>
        <v>379855</v>
      </c>
      <c r="E94" s="5">
        <f>IFERROR(ROUND($V94*$Y94*$AB94*参数!$C$13,0),"")</f>
        <v>9482</v>
      </c>
      <c r="F94" s="5">
        <f>IFERROR(ROUND($W94*$Z94*$AC94*参数!$D$13,0),"")</f>
        <v>14230</v>
      </c>
      <c r="G94" s="4">
        <v>145836</v>
      </c>
      <c r="H94" s="4">
        <v>4478</v>
      </c>
      <c r="I94" s="4">
        <v>5793</v>
      </c>
      <c r="J94" s="4">
        <v>18</v>
      </c>
      <c r="K94" s="4">
        <v>18</v>
      </c>
      <c r="L94" s="4">
        <f>IFERROR(INDEX(楼层配置!$D$5:$D$104,MATCH($K94,楼层配置!$B$5:$B$104,0)),"")</f>
        <v>155</v>
      </c>
      <c r="M94" s="4" t="str">
        <f>IFERROR(INDEX(_角色基线!$B$2:$B$100,MATCH($B94,_角色基线!$A$2:$A$100,0)),"")</f>
        <v>艾德琳</v>
      </c>
      <c r="N94" s="4" t="str">
        <f>IFERROR(INDEX(_角色基线!$C$2:$C$100,MATCH($B94,_角色基线!$A$2:$A$100,0)),"")</f>
        <v>Support</v>
      </c>
      <c r="O94" s="4">
        <f>IFERROR(INDEX(_怪物基线!$B$2:$B$501,MATCH(INT($L94),_怪物基线!$A$2:$A$501,0)),"")</f>
        <v>75971</v>
      </c>
      <c r="P94" s="4">
        <f>IFERROR(INDEX(_怪物基线!$C$2:$C$501,MATCH(INT($L94),_怪物基线!$A$2:$A$501,0)),"")</f>
        <v>7902</v>
      </c>
      <c r="Q94" s="4">
        <f>IFERROR(INDEX(_怪物基线!$D$2:$D$501,MATCH(INT($L94),_怪物基线!$A$2:$A$501,0)),"")</f>
        <v>11384</v>
      </c>
      <c r="R94" s="4">
        <f>参数!$B$10</f>
        <v>4</v>
      </c>
      <c r="S94" s="4">
        <f>参数!$C$10</f>
        <v>1.2</v>
      </c>
      <c r="T94" s="4">
        <f>参数!$D$10</f>
        <v>1</v>
      </c>
      <c r="U94" s="4">
        <f t="shared" si="7"/>
        <v>303884</v>
      </c>
      <c r="V94" s="4">
        <f t="shared" si="8"/>
        <v>9482.4</v>
      </c>
      <c r="W94" s="4">
        <f t="shared" si="9"/>
        <v>11384</v>
      </c>
      <c r="X94" s="4">
        <f>IFERROR(INDEX(参数!$B$5:$B$7,MATCH($N94,参数!$A$5:$A$7,0)),"")</f>
        <v>1.25</v>
      </c>
      <c r="Y94" s="4">
        <f>IFERROR(INDEX(参数!$C$5:$C$7,MATCH($N94,参数!$A$5:$A$7,0)),"")</f>
        <v>1</v>
      </c>
      <c r="Z94" s="4">
        <f>IFERROR(INDEX(参数!$D$5:$D$7,MATCH($N94,参数!$A$5:$A$7,0)),"")</f>
        <v>1.25</v>
      </c>
      <c r="AA94" s="4">
        <f>IFERROR(INDEX(楼层配置!$E$5:$E$104,MATCH($K94,楼层配置!$B$5:$B$104,0)),1)</f>
        <v>1</v>
      </c>
      <c r="AB94" s="4">
        <f>IFERROR(INDEX(楼层配置!$F$5:$F$104,MATCH($K94,楼层配置!$B$5:$B$104,0)),1)</f>
        <v>1</v>
      </c>
      <c r="AC94" s="4">
        <f>IFERROR(INDEX(楼层配置!$G$5:$G$104,MATCH($K94,楼层配置!$B$5:$B$104,0)),1)</f>
        <v>1</v>
      </c>
      <c r="AD94" s="6">
        <f t="shared" si="10"/>
        <v>1.6046723717052</v>
      </c>
      <c r="AE94" s="6">
        <f t="shared" si="11"/>
        <v>1.11746315319339</v>
      </c>
      <c r="AF94" s="6">
        <f t="shared" si="12"/>
        <v>1.45641291213534</v>
      </c>
      <c r="AG94" s="4" t="str">
        <f t="shared" si="13"/>
        <v>有效</v>
      </c>
    </row>
    <row r="95" ht="14.25" customHeight="1" spans="1:33">
      <c r="A95" s="4">
        <v>91</v>
      </c>
      <c r="B95" s="4">
        <v>1002</v>
      </c>
      <c r="C95" s="4">
        <v>19</v>
      </c>
      <c r="D95" s="5">
        <f>IFERROR(ROUND($U95*$X95*$AA95*参数!$B$13,0),"")</f>
        <v>502824</v>
      </c>
      <c r="E95" s="5">
        <f>IFERROR(ROUND($V95*$Y95*$AB95*参数!$C$13,0),"")</f>
        <v>10109</v>
      </c>
      <c r="F95" s="5">
        <f>IFERROR(ROUND($W95*$Z95*$AC95*参数!$D$13,0),"")</f>
        <v>18041</v>
      </c>
      <c r="G95" s="4">
        <v>190000</v>
      </c>
      <c r="H95" s="4">
        <v>4733</v>
      </c>
      <c r="I95" s="4">
        <v>7317</v>
      </c>
      <c r="J95" s="4">
        <v>19</v>
      </c>
      <c r="K95" s="4">
        <v>19</v>
      </c>
      <c r="L95" s="4">
        <f>IFERROR(INDEX(楼层配置!$D$5:$D$104,MATCH($K95,楼层配置!$B$5:$B$104,0)),"")</f>
        <v>162</v>
      </c>
      <c r="M95" s="4" t="str">
        <f>IFERROR(INDEX(_角色基线!$B$2:$B$100,MATCH($B95,_角色基线!$A$2:$A$100,0)),"")</f>
        <v>大暑</v>
      </c>
      <c r="N95" s="4" t="str">
        <f>IFERROR(INDEX(_角色基线!$C$2:$C$100,MATCH($B95,_角色基线!$A$2:$A$100,0)),"")</f>
        <v>Tank</v>
      </c>
      <c r="O95" s="4">
        <f>IFERROR(INDEX(_怪物基线!$B$2:$B$501,MATCH(INT($L95),_怪物基线!$A$2:$A$501,0)),"")</f>
        <v>83804</v>
      </c>
      <c r="P95" s="4">
        <f>IFERROR(INDEX(_怪物基线!$C$2:$C$501,MATCH(INT($L95),_怪物基线!$A$2:$A$501,0)),"")</f>
        <v>8424</v>
      </c>
      <c r="Q95" s="4">
        <f>IFERROR(INDEX(_怪物基线!$D$2:$D$501,MATCH(INT($L95),_怪物基线!$A$2:$A$501,0)),"")</f>
        <v>12027</v>
      </c>
      <c r="R95" s="4">
        <f>参数!$B$10</f>
        <v>4</v>
      </c>
      <c r="S95" s="4">
        <f>参数!$C$10</f>
        <v>1.2</v>
      </c>
      <c r="T95" s="4">
        <f>参数!$D$10</f>
        <v>1</v>
      </c>
      <c r="U95" s="4">
        <f t="shared" si="7"/>
        <v>335216</v>
      </c>
      <c r="V95" s="4">
        <f t="shared" si="8"/>
        <v>10108.8</v>
      </c>
      <c r="W95" s="4">
        <f t="shared" si="9"/>
        <v>12027</v>
      </c>
      <c r="X95" s="4">
        <f>IFERROR(INDEX(参数!$B$5:$B$7,MATCH($N95,参数!$A$5:$A$7,0)),"")</f>
        <v>1.5</v>
      </c>
      <c r="Y95" s="4">
        <f>IFERROR(INDEX(参数!$C$5:$C$7,MATCH($N95,参数!$A$5:$A$7,0)),"")</f>
        <v>1</v>
      </c>
      <c r="Z95" s="4">
        <f>IFERROR(INDEX(参数!$D$5:$D$7,MATCH($N95,参数!$A$5:$A$7,0)),"")</f>
        <v>1.5</v>
      </c>
      <c r="AA95" s="4">
        <f>IFERROR(INDEX(楼层配置!$E$5:$E$104,MATCH($K95,楼层配置!$B$5:$B$104,0)),1)</f>
        <v>1</v>
      </c>
      <c r="AB95" s="4">
        <f>IFERROR(INDEX(楼层配置!$F$5:$F$104,MATCH($K95,楼层配置!$B$5:$B$104,0)),1)</f>
        <v>1</v>
      </c>
      <c r="AC95" s="4">
        <f>IFERROR(INDEX(楼层配置!$G$5:$G$104,MATCH($K95,楼层配置!$B$5:$B$104,0)),1)</f>
        <v>1</v>
      </c>
      <c r="AD95" s="6">
        <f t="shared" si="10"/>
        <v>1.64644210526316</v>
      </c>
      <c r="AE95" s="6">
        <f t="shared" si="11"/>
        <v>1.13585463765054</v>
      </c>
      <c r="AF95" s="6">
        <f t="shared" si="12"/>
        <v>1.46562798961323</v>
      </c>
      <c r="AG95" s="4" t="str">
        <f t="shared" si="13"/>
        <v>有效</v>
      </c>
    </row>
    <row r="96" ht="14.25" customHeight="1" spans="1:33">
      <c r="A96" s="4">
        <v>92</v>
      </c>
      <c r="B96" s="4">
        <v>1018</v>
      </c>
      <c r="C96" s="4">
        <v>19</v>
      </c>
      <c r="D96" s="5">
        <f>IFERROR(ROUND($U96*$X96*$AA96*参数!$B$13,0),"")</f>
        <v>419020</v>
      </c>
      <c r="E96" s="5">
        <f>IFERROR(ROUND($V96*$Y96*$AB96*参数!$C$13,0),"")</f>
        <v>10109</v>
      </c>
      <c r="F96" s="5">
        <f>IFERROR(ROUND($W96*$Z96*$AC96*参数!$D$13,0),"")</f>
        <v>15034</v>
      </c>
      <c r="G96" s="4">
        <v>158334</v>
      </c>
      <c r="H96" s="4">
        <v>4733</v>
      </c>
      <c r="I96" s="4">
        <v>6098</v>
      </c>
      <c r="J96" s="4">
        <v>19</v>
      </c>
      <c r="K96" s="4">
        <v>19</v>
      </c>
      <c r="L96" s="4">
        <f>IFERROR(INDEX(楼层配置!$D$5:$D$104,MATCH($K96,楼层配置!$B$5:$B$104,0)),"")</f>
        <v>162</v>
      </c>
      <c r="M96" s="4" t="str">
        <f>IFERROR(INDEX(_角色基线!$B$2:$B$100,MATCH($B96,_角色基线!$A$2:$A$100,0)),"")</f>
        <v>埃莉诺</v>
      </c>
      <c r="N96" s="4" t="str">
        <f>IFERROR(INDEX(_角色基线!$C$2:$C$100,MATCH($B96,_角色基线!$A$2:$A$100,0)),"")</f>
        <v>Support</v>
      </c>
      <c r="O96" s="4">
        <f>IFERROR(INDEX(_怪物基线!$B$2:$B$501,MATCH(INT($L96),_怪物基线!$A$2:$A$501,0)),"")</f>
        <v>83804</v>
      </c>
      <c r="P96" s="4">
        <f>IFERROR(INDEX(_怪物基线!$C$2:$C$501,MATCH(INT($L96),_怪物基线!$A$2:$A$501,0)),"")</f>
        <v>8424</v>
      </c>
      <c r="Q96" s="4">
        <f>IFERROR(INDEX(_怪物基线!$D$2:$D$501,MATCH(INT($L96),_怪物基线!$A$2:$A$501,0)),"")</f>
        <v>12027</v>
      </c>
      <c r="R96" s="4">
        <f>参数!$B$10</f>
        <v>4</v>
      </c>
      <c r="S96" s="4">
        <f>参数!$C$10</f>
        <v>1.2</v>
      </c>
      <c r="T96" s="4">
        <f>参数!$D$10</f>
        <v>1</v>
      </c>
      <c r="U96" s="4">
        <f t="shared" si="7"/>
        <v>335216</v>
      </c>
      <c r="V96" s="4">
        <f t="shared" si="8"/>
        <v>10108.8</v>
      </c>
      <c r="W96" s="4">
        <f t="shared" si="9"/>
        <v>12027</v>
      </c>
      <c r="X96" s="4">
        <f>IFERROR(INDEX(参数!$B$5:$B$7,MATCH($N96,参数!$A$5:$A$7,0)),"")</f>
        <v>1.25</v>
      </c>
      <c r="Y96" s="4">
        <f>IFERROR(INDEX(参数!$C$5:$C$7,MATCH($N96,参数!$A$5:$A$7,0)),"")</f>
        <v>1</v>
      </c>
      <c r="Z96" s="4">
        <f>IFERROR(INDEX(参数!$D$5:$D$7,MATCH($N96,参数!$A$5:$A$7,0)),"")</f>
        <v>1.25</v>
      </c>
      <c r="AA96" s="4">
        <f>IFERROR(INDEX(楼层配置!$E$5:$E$104,MATCH($K96,楼层配置!$B$5:$B$104,0)),1)</f>
        <v>1</v>
      </c>
      <c r="AB96" s="4">
        <f>IFERROR(INDEX(楼层配置!$F$5:$F$104,MATCH($K96,楼层配置!$B$5:$B$104,0)),1)</f>
        <v>1</v>
      </c>
      <c r="AC96" s="4">
        <f>IFERROR(INDEX(楼层配置!$G$5:$G$104,MATCH($K96,楼层配置!$B$5:$B$104,0)),1)</f>
        <v>1</v>
      </c>
      <c r="AD96" s="6">
        <f t="shared" si="10"/>
        <v>1.64643096239595</v>
      </c>
      <c r="AE96" s="6">
        <f t="shared" si="11"/>
        <v>1.13585463765054</v>
      </c>
      <c r="AF96" s="6">
        <f t="shared" si="12"/>
        <v>1.46539849130863</v>
      </c>
      <c r="AG96" s="4" t="str">
        <f t="shared" si="13"/>
        <v>有效</v>
      </c>
    </row>
    <row r="97" ht="14.25" customHeight="1" spans="1:33">
      <c r="A97" s="4">
        <v>93</v>
      </c>
      <c r="B97" s="4">
        <v>1018</v>
      </c>
      <c r="C97" s="4">
        <v>19</v>
      </c>
      <c r="D97" s="5">
        <f>IFERROR(ROUND($U97*$X97*$AA97*参数!$B$13,0),"")</f>
        <v>419020</v>
      </c>
      <c r="E97" s="5">
        <f>IFERROR(ROUND($V97*$Y97*$AB97*参数!$C$13,0),"")</f>
        <v>10109</v>
      </c>
      <c r="F97" s="5">
        <f>IFERROR(ROUND($W97*$Z97*$AC97*参数!$D$13,0),"")</f>
        <v>15034</v>
      </c>
      <c r="G97" s="4">
        <v>158334</v>
      </c>
      <c r="H97" s="4">
        <v>4733</v>
      </c>
      <c r="I97" s="4">
        <v>6098</v>
      </c>
      <c r="J97" s="4">
        <v>19</v>
      </c>
      <c r="K97" s="4">
        <v>19</v>
      </c>
      <c r="L97" s="4">
        <f>IFERROR(INDEX(楼层配置!$D$5:$D$104,MATCH($K97,楼层配置!$B$5:$B$104,0)),"")</f>
        <v>162</v>
      </c>
      <c r="M97" s="4" t="str">
        <f>IFERROR(INDEX(_角色基线!$B$2:$B$100,MATCH($B97,_角色基线!$A$2:$A$100,0)),"")</f>
        <v>埃莉诺</v>
      </c>
      <c r="N97" s="4" t="str">
        <f>IFERROR(INDEX(_角色基线!$C$2:$C$100,MATCH($B97,_角色基线!$A$2:$A$100,0)),"")</f>
        <v>Support</v>
      </c>
      <c r="O97" s="4">
        <f>IFERROR(INDEX(_怪物基线!$B$2:$B$501,MATCH(INT($L97),_怪物基线!$A$2:$A$501,0)),"")</f>
        <v>83804</v>
      </c>
      <c r="P97" s="4">
        <f>IFERROR(INDEX(_怪物基线!$C$2:$C$501,MATCH(INT($L97),_怪物基线!$A$2:$A$501,0)),"")</f>
        <v>8424</v>
      </c>
      <c r="Q97" s="4">
        <f>IFERROR(INDEX(_怪物基线!$D$2:$D$501,MATCH(INT($L97),_怪物基线!$A$2:$A$501,0)),"")</f>
        <v>12027</v>
      </c>
      <c r="R97" s="4">
        <f>参数!$B$10</f>
        <v>4</v>
      </c>
      <c r="S97" s="4">
        <f>参数!$C$10</f>
        <v>1.2</v>
      </c>
      <c r="T97" s="4">
        <f>参数!$D$10</f>
        <v>1</v>
      </c>
      <c r="U97" s="4">
        <f t="shared" si="7"/>
        <v>335216</v>
      </c>
      <c r="V97" s="4">
        <f t="shared" si="8"/>
        <v>10108.8</v>
      </c>
      <c r="W97" s="4">
        <f t="shared" si="9"/>
        <v>12027</v>
      </c>
      <c r="X97" s="4">
        <f>IFERROR(INDEX(参数!$B$5:$B$7,MATCH($N97,参数!$A$5:$A$7,0)),"")</f>
        <v>1.25</v>
      </c>
      <c r="Y97" s="4">
        <f>IFERROR(INDEX(参数!$C$5:$C$7,MATCH($N97,参数!$A$5:$A$7,0)),"")</f>
        <v>1</v>
      </c>
      <c r="Z97" s="4">
        <f>IFERROR(INDEX(参数!$D$5:$D$7,MATCH($N97,参数!$A$5:$A$7,0)),"")</f>
        <v>1.25</v>
      </c>
      <c r="AA97" s="4">
        <f>IFERROR(INDEX(楼层配置!$E$5:$E$104,MATCH($K97,楼层配置!$B$5:$B$104,0)),1)</f>
        <v>1</v>
      </c>
      <c r="AB97" s="4">
        <f>IFERROR(INDEX(楼层配置!$F$5:$F$104,MATCH($K97,楼层配置!$B$5:$B$104,0)),1)</f>
        <v>1</v>
      </c>
      <c r="AC97" s="4">
        <f>IFERROR(INDEX(楼层配置!$G$5:$G$104,MATCH($K97,楼层配置!$B$5:$B$104,0)),1)</f>
        <v>1</v>
      </c>
      <c r="AD97" s="6">
        <f t="shared" si="10"/>
        <v>1.64643096239595</v>
      </c>
      <c r="AE97" s="6">
        <f t="shared" si="11"/>
        <v>1.13585463765054</v>
      </c>
      <c r="AF97" s="6">
        <f t="shared" si="12"/>
        <v>1.46539849130863</v>
      </c>
      <c r="AG97" s="4" t="str">
        <f t="shared" si="13"/>
        <v>有效</v>
      </c>
    </row>
    <row r="98" ht="14.25" customHeight="1" spans="1:33">
      <c r="A98" s="4">
        <v>94</v>
      </c>
      <c r="B98" s="4">
        <v>1012</v>
      </c>
      <c r="C98" s="4">
        <v>19</v>
      </c>
      <c r="D98" s="5">
        <f>IFERROR(ROUND($U98*$X98*$AA98*参数!$B$13,0),"")</f>
        <v>419020</v>
      </c>
      <c r="E98" s="5">
        <f>IFERROR(ROUND($V98*$Y98*$AB98*参数!$C$13,0),"")</f>
        <v>10109</v>
      </c>
      <c r="F98" s="5">
        <f>IFERROR(ROUND($W98*$Z98*$AC98*参数!$D$13,0),"")</f>
        <v>15034</v>
      </c>
      <c r="G98" s="4">
        <v>158334</v>
      </c>
      <c r="H98" s="4">
        <v>4733</v>
      </c>
      <c r="I98" s="4">
        <v>6098</v>
      </c>
      <c r="J98" s="4">
        <v>19</v>
      </c>
      <c r="K98" s="4">
        <v>19</v>
      </c>
      <c r="L98" s="4">
        <f>IFERROR(INDEX(楼层配置!$D$5:$D$104,MATCH($K98,楼层配置!$B$5:$B$104,0)),"")</f>
        <v>162</v>
      </c>
      <c r="M98" s="4" t="str">
        <f>IFERROR(INDEX(_角色基线!$B$2:$B$100,MATCH($B98,_角色基线!$A$2:$A$100,0)),"")</f>
        <v>艾德琳</v>
      </c>
      <c r="N98" s="4" t="str">
        <f>IFERROR(INDEX(_角色基线!$C$2:$C$100,MATCH($B98,_角色基线!$A$2:$A$100,0)),"")</f>
        <v>Support</v>
      </c>
      <c r="O98" s="4">
        <f>IFERROR(INDEX(_怪物基线!$B$2:$B$501,MATCH(INT($L98),_怪物基线!$A$2:$A$501,0)),"")</f>
        <v>83804</v>
      </c>
      <c r="P98" s="4">
        <f>IFERROR(INDEX(_怪物基线!$C$2:$C$501,MATCH(INT($L98),_怪物基线!$A$2:$A$501,0)),"")</f>
        <v>8424</v>
      </c>
      <c r="Q98" s="4">
        <f>IFERROR(INDEX(_怪物基线!$D$2:$D$501,MATCH(INT($L98),_怪物基线!$A$2:$A$501,0)),"")</f>
        <v>12027</v>
      </c>
      <c r="R98" s="4">
        <f>参数!$B$10</f>
        <v>4</v>
      </c>
      <c r="S98" s="4">
        <f>参数!$C$10</f>
        <v>1.2</v>
      </c>
      <c r="T98" s="4">
        <f>参数!$D$10</f>
        <v>1</v>
      </c>
      <c r="U98" s="4">
        <f t="shared" si="7"/>
        <v>335216</v>
      </c>
      <c r="V98" s="4">
        <f t="shared" si="8"/>
        <v>10108.8</v>
      </c>
      <c r="W98" s="4">
        <f t="shared" si="9"/>
        <v>12027</v>
      </c>
      <c r="X98" s="4">
        <f>IFERROR(INDEX(参数!$B$5:$B$7,MATCH($N98,参数!$A$5:$A$7,0)),"")</f>
        <v>1.25</v>
      </c>
      <c r="Y98" s="4">
        <f>IFERROR(INDEX(参数!$C$5:$C$7,MATCH($N98,参数!$A$5:$A$7,0)),"")</f>
        <v>1</v>
      </c>
      <c r="Z98" s="4">
        <f>IFERROR(INDEX(参数!$D$5:$D$7,MATCH($N98,参数!$A$5:$A$7,0)),"")</f>
        <v>1.25</v>
      </c>
      <c r="AA98" s="4">
        <f>IFERROR(INDEX(楼层配置!$E$5:$E$104,MATCH($K98,楼层配置!$B$5:$B$104,0)),1)</f>
        <v>1</v>
      </c>
      <c r="AB98" s="4">
        <f>IFERROR(INDEX(楼层配置!$F$5:$F$104,MATCH($K98,楼层配置!$B$5:$B$104,0)),1)</f>
        <v>1</v>
      </c>
      <c r="AC98" s="4">
        <f>IFERROR(INDEX(楼层配置!$G$5:$G$104,MATCH($K98,楼层配置!$B$5:$B$104,0)),1)</f>
        <v>1</v>
      </c>
      <c r="AD98" s="6">
        <f t="shared" si="10"/>
        <v>1.64643096239595</v>
      </c>
      <c r="AE98" s="6">
        <f t="shared" si="11"/>
        <v>1.13585463765054</v>
      </c>
      <c r="AF98" s="6">
        <f t="shared" si="12"/>
        <v>1.46539849130863</v>
      </c>
      <c r="AG98" s="4" t="str">
        <f t="shared" si="13"/>
        <v>有效</v>
      </c>
    </row>
    <row r="99" ht="14.25" customHeight="1" spans="1:33">
      <c r="A99" s="4">
        <v>95</v>
      </c>
      <c r="B99" s="4">
        <v>1036</v>
      </c>
      <c r="C99" s="4">
        <v>19</v>
      </c>
      <c r="D99" s="5">
        <f>IFERROR(ROUND($U99*$X99*$AA99*参数!$B$13,0),"")</f>
        <v>335216</v>
      </c>
      <c r="E99" s="5">
        <f>IFERROR(ROUND($V99*$Y99*$AB99*参数!$C$13,0),"")</f>
        <v>12131</v>
      </c>
      <c r="F99" s="5">
        <f>IFERROR(ROUND($W99*$Z99*$AC99*参数!$D$13,0),"")</f>
        <v>12027</v>
      </c>
      <c r="G99" s="4">
        <v>126667</v>
      </c>
      <c r="H99" s="4">
        <v>5679</v>
      </c>
      <c r="I99" s="4">
        <v>4878</v>
      </c>
      <c r="J99" s="4">
        <v>19</v>
      </c>
      <c r="K99" s="4">
        <v>19</v>
      </c>
      <c r="L99" s="4">
        <f>IFERROR(INDEX(楼层配置!$D$5:$D$104,MATCH($K99,楼层配置!$B$5:$B$104,0)),"")</f>
        <v>162</v>
      </c>
      <c r="M99" s="4" t="str">
        <f>IFERROR(INDEX(_角色基线!$B$2:$B$100,MATCH($B99,_角色基线!$A$2:$A$100,0)),"")</f>
        <v>霜狼法师</v>
      </c>
      <c r="N99" s="4" t="str">
        <f>IFERROR(INDEX(_角色基线!$C$2:$C$100,MATCH($B99,_角色基线!$A$2:$A$100,0)),"")</f>
        <v>DPS</v>
      </c>
      <c r="O99" s="4">
        <f>IFERROR(INDEX(_怪物基线!$B$2:$B$501,MATCH(INT($L99),_怪物基线!$A$2:$A$501,0)),"")</f>
        <v>83804</v>
      </c>
      <c r="P99" s="4">
        <f>IFERROR(INDEX(_怪物基线!$C$2:$C$501,MATCH(INT($L99),_怪物基线!$A$2:$A$501,0)),"")</f>
        <v>8424</v>
      </c>
      <c r="Q99" s="4">
        <f>IFERROR(INDEX(_怪物基线!$D$2:$D$501,MATCH(INT($L99),_怪物基线!$A$2:$A$501,0)),"")</f>
        <v>12027</v>
      </c>
      <c r="R99" s="4">
        <f>参数!$B$10</f>
        <v>4</v>
      </c>
      <c r="S99" s="4">
        <f>参数!$C$10</f>
        <v>1.2</v>
      </c>
      <c r="T99" s="4">
        <f>参数!$D$10</f>
        <v>1</v>
      </c>
      <c r="U99" s="4">
        <f t="shared" si="7"/>
        <v>335216</v>
      </c>
      <c r="V99" s="4">
        <f t="shared" si="8"/>
        <v>10108.8</v>
      </c>
      <c r="W99" s="4">
        <f t="shared" si="9"/>
        <v>12027</v>
      </c>
      <c r="X99" s="4">
        <f>IFERROR(INDEX(参数!$B$5:$B$7,MATCH($N99,参数!$A$5:$A$7,0)),"")</f>
        <v>1</v>
      </c>
      <c r="Y99" s="4">
        <f>IFERROR(INDEX(参数!$C$5:$C$7,MATCH($N99,参数!$A$5:$A$7,0)),"")</f>
        <v>1.2</v>
      </c>
      <c r="Z99" s="4">
        <f>IFERROR(INDEX(参数!$D$5:$D$7,MATCH($N99,参数!$A$5:$A$7,0)),"")</f>
        <v>1</v>
      </c>
      <c r="AA99" s="4">
        <f>IFERROR(INDEX(楼层配置!$E$5:$E$104,MATCH($K99,楼层配置!$B$5:$B$104,0)),1)</f>
        <v>1</v>
      </c>
      <c r="AB99" s="4">
        <f>IFERROR(INDEX(楼层配置!$F$5:$F$104,MATCH($K99,楼层配置!$B$5:$B$104,0)),1)</f>
        <v>1</v>
      </c>
      <c r="AC99" s="4">
        <f>IFERROR(INDEX(楼层配置!$G$5:$G$104,MATCH($K99,楼层配置!$B$5:$B$104,0)),1)</f>
        <v>1</v>
      </c>
      <c r="AD99" s="6">
        <f t="shared" si="10"/>
        <v>1.64643514096016</v>
      </c>
      <c r="AE99" s="6">
        <f t="shared" si="11"/>
        <v>1.13611551329459</v>
      </c>
      <c r="AF99" s="6">
        <f t="shared" si="12"/>
        <v>1.46555965559656</v>
      </c>
      <c r="AG99" s="4" t="str">
        <f t="shared" si="13"/>
        <v>有效</v>
      </c>
    </row>
    <row r="100" ht="14.25" customHeight="1" spans="1:33">
      <c r="A100" s="4">
        <v>96</v>
      </c>
      <c r="B100" s="4">
        <v>1008</v>
      </c>
      <c r="C100" s="4">
        <v>20</v>
      </c>
      <c r="D100" s="5">
        <f>IFERROR(ROUND($U100*$X100*$AA100*参数!$B$13,0),"")</f>
        <v>368736</v>
      </c>
      <c r="E100" s="5">
        <f>IFERROR(ROUND($V100*$Y100*$AB100*参数!$C$13,0),"")</f>
        <v>12908</v>
      </c>
      <c r="F100" s="5">
        <f>IFERROR(ROUND($W100*$Z100*$AC100*参数!$D$13,0),"")</f>
        <v>12681</v>
      </c>
      <c r="G100" s="4">
        <v>137188</v>
      </c>
      <c r="H100" s="4">
        <v>5990</v>
      </c>
      <c r="I100" s="4">
        <v>5124</v>
      </c>
      <c r="J100" s="4">
        <v>20</v>
      </c>
      <c r="K100" s="4">
        <v>20</v>
      </c>
      <c r="L100" s="4">
        <f>IFERROR(INDEX(楼层配置!$D$5:$D$104,MATCH($K100,楼层配置!$B$5:$B$104,0)),"")</f>
        <v>169</v>
      </c>
      <c r="M100" s="4" t="str">
        <f>IFERROR(INDEX(_角色基线!$B$2:$B$100,MATCH($B100,_角色基线!$A$2:$A$100,0)),"")</f>
        <v>薇</v>
      </c>
      <c r="N100" s="4" t="str">
        <f>IFERROR(INDEX(_角色基线!$C$2:$C$100,MATCH($B100,_角色基线!$A$2:$A$100,0)),"")</f>
        <v>DPS</v>
      </c>
      <c r="O100" s="4">
        <f>IFERROR(INDEX(_怪物基线!$B$2:$B$501,MATCH(INT($L100),_怪物基线!$A$2:$A$501,0)),"")</f>
        <v>92184</v>
      </c>
      <c r="P100" s="4">
        <f>IFERROR(INDEX(_怪物基线!$C$2:$C$501,MATCH(INT($L100),_怪物基线!$A$2:$A$501,0)),"")</f>
        <v>8964</v>
      </c>
      <c r="Q100" s="4">
        <f>IFERROR(INDEX(_怪物基线!$D$2:$D$501,MATCH(INT($L100),_怪物基线!$A$2:$A$501,0)),"")</f>
        <v>12681</v>
      </c>
      <c r="R100" s="4">
        <f>参数!$B$10</f>
        <v>4</v>
      </c>
      <c r="S100" s="4">
        <f>参数!$C$10</f>
        <v>1.2</v>
      </c>
      <c r="T100" s="4">
        <f>参数!$D$10</f>
        <v>1</v>
      </c>
      <c r="U100" s="4">
        <f t="shared" si="7"/>
        <v>368736</v>
      </c>
      <c r="V100" s="4">
        <f t="shared" si="8"/>
        <v>10756.8</v>
      </c>
      <c r="W100" s="4">
        <f t="shared" si="9"/>
        <v>12681</v>
      </c>
      <c r="X100" s="4">
        <f>IFERROR(INDEX(参数!$B$5:$B$7,MATCH($N100,参数!$A$5:$A$7,0)),"")</f>
        <v>1</v>
      </c>
      <c r="Y100" s="4">
        <f>IFERROR(INDEX(参数!$C$5:$C$7,MATCH($N100,参数!$A$5:$A$7,0)),"")</f>
        <v>1.2</v>
      </c>
      <c r="Z100" s="4">
        <f>IFERROR(INDEX(参数!$D$5:$D$7,MATCH($N100,参数!$A$5:$A$7,0)),"")</f>
        <v>1</v>
      </c>
      <c r="AA100" s="4">
        <f>IFERROR(INDEX(楼层配置!$E$5:$E$104,MATCH($K100,楼层配置!$B$5:$B$104,0)),1)</f>
        <v>1</v>
      </c>
      <c r="AB100" s="4">
        <f>IFERROR(INDEX(楼层配置!$F$5:$F$104,MATCH($K100,楼层配置!$B$5:$B$104,0)),1)</f>
        <v>1</v>
      </c>
      <c r="AC100" s="4">
        <f>IFERROR(INDEX(楼层配置!$G$5:$G$104,MATCH($K100,楼层配置!$B$5:$B$104,0)),1)</f>
        <v>1</v>
      </c>
      <c r="AD100" s="6">
        <f t="shared" si="10"/>
        <v>1.68781526080998</v>
      </c>
      <c r="AE100" s="6">
        <f t="shared" si="11"/>
        <v>1.15492487479132</v>
      </c>
      <c r="AF100" s="6">
        <f t="shared" si="12"/>
        <v>1.4748243559719</v>
      </c>
      <c r="AG100" s="4" t="str">
        <f t="shared" si="13"/>
        <v>有效</v>
      </c>
    </row>
    <row r="101" ht="14.25" customHeight="1" spans="1:33">
      <c r="A101" s="4">
        <v>97</v>
      </c>
      <c r="B101" s="4">
        <v>1008</v>
      </c>
      <c r="C101" s="4">
        <v>20</v>
      </c>
      <c r="D101" s="5">
        <f>IFERROR(ROUND($U101*$X101*$AA101*参数!$B$13,0),"")</f>
        <v>368736</v>
      </c>
      <c r="E101" s="5">
        <f>IFERROR(ROUND($V101*$Y101*$AB101*参数!$C$13,0),"")</f>
        <v>12908</v>
      </c>
      <c r="F101" s="5">
        <f>IFERROR(ROUND($W101*$Z101*$AC101*参数!$D$13,0),"")</f>
        <v>12681</v>
      </c>
      <c r="G101" s="4">
        <v>137188</v>
      </c>
      <c r="H101" s="4">
        <v>5990</v>
      </c>
      <c r="I101" s="4">
        <v>5124</v>
      </c>
      <c r="J101" s="4">
        <v>20</v>
      </c>
      <c r="K101" s="4">
        <v>20</v>
      </c>
      <c r="L101" s="4">
        <f>IFERROR(INDEX(楼层配置!$D$5:$D$104,MATCH($K101,楼层配置!$B$5:$B$104,0)),"")</f>
        <v>169</v>
      </c>
      <c r="M101" s="4" t="str">
        <f>IFERROR(INDEX(_角色基线!$B$2:$B$100,MATCH($B101,_角色基线!$A$2:$A$100,0)),"")</f>
        <v>薇</v>
      </c>
      <c r="N101" s="4" t="str">
        <f>IFERROR(INDEX(_角色基线!$C$2:$C$100,MATCH($B101,_角色基线!$A$2:$A$100,0)),"")</f>
        <v>DPS</v>
      </c>
      <c r="O101" s="4">
        <f>IFERROR(INDEX(_怪物基线!$B$2:$B$501,MATCH(INT($L101),_怪物基线!$A$2:$A$501,0)),"")</f>
        <v>92184</v>
      </c>
      <c r="P101" s="4">
        <f>IFERROR(INDEX(_怪物基线!$C$2:$C$501,MATCH(INT($L101),_怪物基线!$A$2:$A$501,0)),"")</f>
        <v>8964</v>
      </c>
      <c r="Q101" s="4">
        <f>IFERROR(INDEX(_怪物基线!$D$2:$D$501,MATCH(INT($L101),_怪物基线!$A$2:$A$501,0)),"")</f>
        <v>12681</v>
      </c>
      <c r="R101" s="4">
        <f>参数!$B$10</f>
        <v>4</v>
      </c>
      <c r="S101" s="4">
        <f>参数!$C$10</f>
        <v>1.2</v>
      </c>
      <c r="T101" s="4">
        <f>参数!$D$10</f>
        <v>1</v>
      </c>
      <c r="U101" s="4">
        <f t="shared" si="7"/>
        <v>368736</v>
      </c>
      <c r="V101" s="4">
        <f t="shared" si="8"/>
        <v>10756.8</v>
      </c>
      <c r="W101" s="4">
        <f t="shared" si="9"/>
        <v>12681</v>
      </c>
      <c r="X101" s="4">
        <f>IFERROR(INDEX(参数!$B$5:$B$7,MATCH($N101,参数!$A$5:$A$7,0)),"")</f>
        <v>1</v>
      </c>
      <c r="Y101" s="4">
        <f>IFERROR(INDEX(参数!$C$5:$C$7,MATCH($N101,参数!$A$5:$A$7,0)),"")</f>
        <v>1.2</v>
      </c>
      <c r="Z101" s="4">
        <f>IFERROR(INDEX(参数!$D$5:$D$7,MATCH($N101,参数!$A$5:$A$7,0)),"")</f>
        <v>1</v>
      </c>
      <c r="AA101" s="4">
        <f>IFERROR(INDEX(楼层配置!$E$5:$E$104,MATCH($K101,楼层配置!$B$5:$B$104,0)),1)</f>
        <v>1</v>
      </c>
      <c r="AB101" s="4">
        <f>IFERROR(INDEX(楼层配置!$F$5:$F$104,MATCH($K101,楼层配置!$B$5:$B$104,0)),1)</f>
        <v>1</v>
      </c>
      <c r="AC101" s="4">
        <f>IFERROR(INDEX(楼层配置!$G$5:$G$104,MATCH($K101,楼层配置!$B$5:$B$104,0)),1)</f>
        <v>1</v>
      </c>
      <c r="AD101" s="6">
        <f t="shared" si="10"/>
        <v>1.68781526080998</v>
      </c>
      <c r="AE101" s="6">
        <f t="shared" si="11"/>
        <v>1.15492487479132</v>
      </c>
      <c r="AF101" s="6">
        <f t="shared" si="12"/>
        <v>1.4748243559719</v>
      </c>
      <c r="AG101" s="4" t="str">
        <f t="shared" si="13"/>
        <v>有效</v>
      </c>
    </row>
    <row r="102" ht="14.25" customHeight="1" spans="1:33">
      <c r="A102" s="4">
        <v>98</v>
      </c>
      <c r="B102" s="4">
        <v>1008</v>
      </c>
      <c r="C102" s="4">
        <v>20</v>
      </c>
      <c r="D102" s="5">
        <f>IFERROR(ROUND($U102*$X102*$AA102*参数!$B$13,0),"")</f>
        <v>368736</v>
      </c>
      <c r="E102" s="5">
        <f>IFERROR(ROUND($V102*$Y102*$AB102*参数!$C$13,0),"")</f>
        <v>12908</v>
      </c>
      <c r="F102" s="5">
        <f>IFERROR(ROUND($W102*$Z102*$AC102*参数!$D$13,0),"")</f>
        <v>12681</v>
      </c>
      <c r="G102" s="4">
        <v>137188</v>
      </c>
      <c r="H102" s="4">
        <v>5990</v>
      </c>
      <c r="I102" s="4">
        <v>5124</v>
      </c>
      <c r="J102" s="4">
        <v>20</v>
      </c>
      <c r="K102" s="4">
        <v>20</v>
      </c>
      <c r="L102" s="4">
        <f>IFERROR(INDEX(楼层配置!$D$5:$D$104,MATCH($K102,楼层配置!$B$5:$B$104,0)),"")</f>
        <v>169</v>
      </c>
      <c r="M102" s="4" t="str">
        <f>IFERROR(INDEX(_角色基线!$B$2:$B$100,MATCH($B102,_角色基线!$A$2:$A$100,0)),"")</f>
        <v>薇</v>
      </c>
      <c r="N102" s="4" t="str">
        <f>IFERROR(INDEX(_角色基线!$C$2:$C$100,MATCH($B102,_角色基线!$A$2:$A$100,0)),"")</f>
        <v>DPS</v>
      </c>
      <c r="O102" s="4">
        <f>IFERROR(INDEX(_怪物基线!$B$2:$B$501,MATCH(INT($L102),_怪物基线!$A$2:$A$501,0)),"")</f>
        <v>92184</v>
      </c>
      <c r="P102" s="4">
        <f>IFERROR(INDEX(_怪物基线!$C$2:$C$501,MATCH(INT($L102),_怪物基线!$A$2:$A$501,0)),"")</f>
        <v>8964</v>
      </c>
      <c r="Q102" s="4">
        <f>IFERROR(INDEX(_怪物基线!$D$2:$D$501,MATCH(INT($L102),_怪物基线!$A$2:$A$501,0)),"")</f>
        <v>12681</v>
      </c>
      <c r="R102" s="4">
        <f>参数!$B$10</f>
        <v>4</v>
      </c>
      <c r="S102" s="4">
        <f>参数!$C$10</f>
        <v>1.2</v>
      </c>
      <c r="T102" s="4">
        <f>参数!$D$10</f>
        <v>1</v>
      </c>
      <c r="U102" s="4">
        <f t="shared" si="7"/>
        <v>368736</v>
      </c>
      <c r="V102" s="4">
        <f t="shared" si="8"/>
        <v>10756.8</v>
      </c>
      <c r="W102" s="4">
        <f t="shared" si="9"/>
        <v>12681</v>
      </c>
      <c r="X102" s="4">
        <f>IFERROR(INDEX(参数!$B$5:$B$7,MATCH($N102,参数!$A$5:$A$7,0)),"")</f>
        <v>1</v>
      </c>
      <c r="Y102" s="4">
        <f>IFERROR(INDEX(参数!$C$5:$C$7,MATCH($N102,参数!$A$5:$A$7,0)),"")</f>
        <v>1.2</v>
      </c>
      <c r="Z102" s="4">
        <f>IFERROR(INDEX(参数!$D$5:$D$7,MATCH($N102,参数!$A$5:$A$7,0)),"")</f>
        <v>1</v>
      </c>
      <c r="AA102" s="4">
        <f>IFERROR(INDEX(楼层配置!$E$5:$E$104,MATCH($K102,楼层配置!$B$5:$B$104,0)),1)</f>
        <v>1</v>
      </c>
      <c r="AB102" s="4">
        <f>IFERROR(INDEX(楼层配置!$F$5:$F$104,MATCH($K102,楼层配置!$B$5:$B$104,0)),1)</f>
        <v>1</v>
      </c>
      <c r="AC102" s="4">
        <f>IFERROR(INDEX(楼层配置!$G$5:$G$104,MATCH($K102,楼层配置!$B$5:$B$104,0)),1)</f>
        <v>1</v>
      </c>
      <c r="AD102" s="6">
        <f t="shared" si="10"/>
        <v>1.68781526080998</v>
      </c>
      <c r="AE102" s="6">
        <f t="shared" si="11"/>
        <v>1.15492487479132</v>
      </c>
      <c r="AF102" s="6">
        <f t="shared" si="12"/>
        <v>1.4748243559719</v>
      </c>
      <c r="AG102" s="4" t="str">
        <f t="shared" si="13"/>
        <v>有效</v>
      </c>
    </row>
    <row r="103" ht="14.25" customHeight="1" spans="1:33">
      <c r="A103" s="4">
        <v>99</v>
      </c>
      <c r="B103" s="4">
        <v>1007</v>
      </c>
      <c r="C103" s="4">
        <v>20</v>
      </c>
      <c r="D103" s="5">
        <f>IFERROR(ROUND($U103*$X103*$AA103*参数!$B$13,0),"")</f>
        <v>460920</v>
      </c>
      <c r="E103" s="5">
        <f>IFERROR(ROUND($V103*$Y103*$AB103*参数!$C$13,0),"")</f>
        <v>10757</v>
      </c>
      <c r="F103" s="5">
        <f>IFERROR(ROUND($W103*$Z103*$AC103*参数!$D$13,0),"")</f>
        <v>15851</v>
      </c>
      <c r="G103" s="4">
        <v>171486</v>
      </c>
      <c r="H103" s="4">
        <v>4992</v>
      </c>
      <c r="I103" s="4">
        <v>6406</v>
      </c>
      <c r="J103" s="4">
        <v>20</v>
      </c>
      <c r="K103" s="4">
        <v>20</v>
      </c>
      <c r="L103" s="4">
        <f>IFERROR(INDEX(楼层配置!$D$5:$D$104,MATCH($K103,楼层配置!$B$5:$B$104,0)),"")</f>
        <v>169</v>
      </c>
      <c r="M103" s="4" t="str">
        <f>IFERROR(INDEX(_角色基线!$B$2:$B$100,MATCH($B103,_角色基线!$A$2:$A$100,0)),"")</f>
        <v>萨萨莉安</v>
      </c>
      <c r="N103" s="4" t="str">
        <f>IFERROR(INDEX(_角色基线!$C$2:$C$100,MATCH($B103,_角色基线!$A$2:$A$100,0)),"")</f>
        <v>Support</v>
      </c>
      <c r="O103" s="4">
        <f>IFERROR(INDEX(_怪物基线!$B$2:$B$501,MATCH(INT($L103),_怪物基线!$A$2:$A$501,0)),"")</f>
        <v>92184</v>
      </c>
      <c r="P103" s="4">
        <f>IFERROR(INDEX(_怪物基线!$C$2:$C$501,MATCH(INT($L103),_怪物基线!$A$2:$A$501,0)),"")</f>
        <v>8964</v>
      </c>
      <c r="Q103" s="4">
        <f>IFERROR(INDEX(_怪物基线!$D$2:$D$501,MATCH(INT($L103),_怪物基线!$A$2:$A$501,0)),"")</f>
        <v>12681</v>
      </c>
      <c r="R103" s="4">
        <f>参数!$B$10</f>
        <v>4</v>
      </c>
      <c r="S103" s="4">
        <f>参数!$C$10</f>
        <v>1.2</v>
      </c>
      <c r="T103" s="4">
        <f>参数!$D$10</f>
        <v>1</v>
      </c>
      <c r="U103" s="4">
        <f t="shared" si="7"/>
        <v>368736</v>
      </c>
      <c r="V103" s="4">
        <f t="shared" si="8"/>
        <v>10756.8</v>
      </c>
      <c r="W103" s="4">
        <f t="shared" si="9"/>
        <v>12681</v>
      </c>
      <c r="X103" s="4">
        <f>IFERROR(INDEX(参数!$B$5:$B$7,MATCH($N103,参数!$A$5:$A$7,0)),"")</f>
        <v>1.25</v>
      </c>
      <c r="Y103" s="4">
        <f>IFERROR(INDEX(参数!$C$5:$C$7,MATCH($N103,参数!$A$5:$A$7,0)),"")</f>
        <v>1</v>
      </c>
      <c r="Z103" s="4">
        <f>IFERROR(INDEX(参数!$D$5:$D$7,MATCH($N103,参数!$A$5:$A$7,0)),"")</f>
        <v>1.25</v>
      </c>
      <c r="AA103" s="4">
        <f>IFERROR(INDEX(楼层配置!$E$5:$E$104,MATCH($K103,楼层配置!$B$5:$B$104,0)),1)</f>
        <v>1</v>
      </c>
      <c r="AB103" s="4">
        <f>IFERROR(INDEX(楼层配置!$F$5:$F$104,MATCH($K103,楼层配置!$B$5:$B$104,0)),1)</f>
        <v>1</v>
      </c>
      <c r="AC103" s="4">
        <f>IFERROR(INDEX(楼层配置!$G$5:$G$104,MATCH($K103,楼层配置!$B$5:$B$104,0)),1)</f>
        <v>1</v>
      </c>
      <c r="AD103" s="6">
        <f t="shared" si="10"/>
        <v>1.68779958713831</v>
      </c>
      <c r="AE103" s="6">
        <f t="shared" si="11"/>
        <v>1.15484775641026</v>
      </c>
      <c r="AF103" s="6">
        <f t="shared" si="12"/>
        <v>1.47439900093662</v>
      </c>
      <c r="AG103" s="4" t="str">
        <f t="shared" si="13"/>
        <v>有效</v>
      </c>
    </row>
    <row r="104" ht="14.25" customHeight="1" spans="1:33">
      <c r="A104" s="4">
        <v>100</v>
      </c>
      <c r="B104" s="4">
        <v>1007</v>
      </c>
      <c r="C104" s="4">
        <v>20</v>
      </c>
      <c r="D104" s="5">
        <f>IFERROR(ROUND($U104*$X104*$AA104*参数!$B$13,0),"")</f>
        <v>460920</v>
      </c>
      <c r="E104" s="5">
        <f>IFERROR(ROUND($V104*$Y104*$AB104*参数!$C$13,0),"")</f>
        <v>10757</v>
      </c>
      <c r="F104" s="5">
        <f>IFERROR(ROUND($W104*$Z104*$AC104*参数!$D$13,0),"")</f>
        <v>15851</v>
      </c>
      <c r="G104" s="4">
        <v>171486</v>
      </c>
      <c r="H104" s="4">
        <v>4992</v>
      </c>
      <c r="I104" s="4">
        <v>6406</v>
      </c>
      <c r="J104" s="4">
        <v>20</v>
      </c>
      <c r="K104" s="4">
        <v>20</v>
      </c>
      <c r="L104" s="4">
        <f>IFERROR(INDEX(楼层配置!$D$5:$D$104,MATCH($K104,楼层配置!$B$5:$B$104,0)),"")</f>
        <v>169</v>
      </c>
      <c r="M104" s="4" t="str">
        <f>IFERROR(INDEX(_角色基线!$B$2:$B$100,MATCH($B104,_角色基线!$A$2:$A$100,0)),"")</f>
        <v>萨萨莉安</v>
      </c>
      <c r="N104" s="4" t="str">
        <f>IFERROR(INDEX(_角色基线!$C$2:$C$100,MATCH($B104,_角色基线!$A$2:$A$100,0)),"")</f>
        <v>Support</v>
      </c>
      <c r="O104" s="4">
        <f>IFERROR(INDEX(_怪物基线!$B$2:$B$501,MATCH(INT($L104),_怪物基线!$A$2:$A$501,0)),"")</f>
        <v>92184</v>
      </c>
      <c r="P104" s="4">
        <f>IFERROR(INDEX(_怪物基线!$C$2:$C$501,MATCH(INT($L104),_怪物基线!$A$2:$A$501,0)),"")</f>
        <v>8964</v>
      </c>
      <c r="Q104" s="4">
        <f>IFERROR(INDEX(_怪物基线!$D$2:$D$501,MATCH(INT($L104),_怪物基线!$A$2:$A$501,0)),"")</f>
        <v>12681</v>
      </c>
      <c r="R104" s="4">
        <f>参数!$B$10</f>
        <v>4</v>
      </c>
      <c r="S104" s="4">
        <f>参数!$C$10</f>
        <v>1.2</v>
      </c>
      <c r="T104" s="4">
        <f>参数!$D$10</f>
        <v>1</v>
      </c>
      <c r="U104" s="4">
        <f t="shared" si="7"/>
        <v>368736</v>
      </c>
      <c r="V104" s="4">
        <f t="shared" si="8"/>
        <v>10756.8</v>
      </c>
      <c r="W104" s="4">
        <f t="shared" si="9"/>
        <v>12681</v>
      </c>
      <c r="X104" s="4">
        <f>IFERROR(INDEX(参数!$B$5:$B$7,MATCH($N104,参数!$A$5:$A$7,0)),"")</f>
        <v>1.25</v>
      </c>
      <c r="Y104" s="4">
        <f>IFERROR(INDEX(参数!$C$5:$C$7,MATCH($N104,参数!$A$5:$A$7,0)),"")</f>
        <v>1</v>
      </c>
      <c r="Z104" s="4">
        <f>IFERROR(INDEX(参数!$D$5:$D$7,MATCH($N104,参数!$A$5:$A$7,0)),"")</f>
        <v>1.25</v>
      </c>
      <c r="AA104" s="4">
        <f>IFERROR(INDEX(楼层配置!$E$5:$E$104,MATCH($K104,楼层配置!$B$5:$B$104,0)),1)</f>
        <v>1</v>
      </c>
      <c r="AB104" s="4">
        <f>IFERROR(INDEX(楼层配置!$F$5:$F$104,MATCH($K104,楼层配置!$B$5:$B$104,0)),1)</f>
        <v>1</v>
      </c>
      <c r="AC104" s="4">
        <f>IFERROR(INDEX(楼层配置!$G$5:$G$104,MATCH($K104,楼层配置!$B$5:$B$104,0)),1)</f>
        <v>1</v>
      </c>
      <c r="AD104" s="6">
        <f t="shared" si="10"/>
        <v>1.68779958713831</v>
      </c>
      <c r="AE104" s="6">
        <f t="shared" si="11"/>
        <v>1.15484775641026</v>
      </c>
      <c r="AF104" s="6">
        <f t="shared" si="12"/>
        <v>1.47439900093662</v>
      </c>
      <c r="AG104" s="4" t="str">
        <f t="shared" si="13"/>
        <v>有效</v>
      </c>
    </row>
    <row r="105" ht="14.25" customHeight="1" spans="1:33">
      <c r="A105" s="4">
        <v>101</v>
      </c>
      <c r="B105" s="4">
        <v>1038</v>
      </c>
      <c r="C105" s="4">
        <v>20</v>
      </c>
      <c r="D105" s="5">
        <f>IFERROR(ROUND($U105*$X105*$AA105*参数!$B$13,0),"")</f>
        <v>606804</v>
      </c>
      <c r="E105" s="5">
        <f>IFERROR(ROUND($V105*$Y105*$AB105*参数!$C$13,0),"")</f>
        <v>11429</v>
      </c>
      <c r="F105" s="5">
        <f>IFERROR(ROUND($W105*$Z105*$AC105*参数!$D$13,0),"")</f>
        <v>20021</v>
      </c>
      <c r="G105" s="4">
        <v>222364</v>
      </c>
      <c r="H105" s="4">
        <v>5257</v>
      </c>
      <c r="I105" s="4">
        <v>8062</v>
      </c>
      <c r="J105" s="4">
        <v>21</v>
      </c>
      <c r="K105" s="4">
        <v>21</v>
      </c>
      <c r="L105" s="4">
        <f>IFERROR(INDEX(楼层配置!$D$5:$D$104,MATCH($K105,楼层配置!$B$5:$B$104,0)),"")</f>
        <v>176</v>
      </c>
      <c r="M105" s="4" t="str">
        <f>IFERROR(INDEX(_角色基线!$B$2:$B$100,MATCH($B105,_角色基线!$A$2:$A$100,0)),"")</f>
        <v>商队战斗员</v>
      </c>
      <c r="N105" s="4" t="str">
        <f>IFERROR(INDEX(_角色基线!$C$2:$C$100,MATCH($B105,_角色基线!$A$2:$A$100,0)),"")</f>
        <v>Tank</v>
      </c>
      <c r="O105" s="4">
        <f>IFERROR(INDEX(_怪物基线!$B$2:$B$501,MATCH(INT($L105),_怪物基线!$A$2:$A$501,0)),"")</f>
        <v>101134</v>
      </c>
      <c r="P105" s="4">
        <f>IFERROR(INDEX(_怪物基线!$C$2:$C$501,MATCH(INT($L105),_怪物基线!$A$2:$A$501,0)),"")</f>
        <v>9524</v>
      </c>
      <c r="Q105" s="4">
        <f>IFERROR(INDEX(_怪物基线!$D$2:$D$501,MATCH(INT($L105),_怪物基线!$A$2:$A$501,0)),"")</f>
        <v>13347</v>
      </c>
      <c r="R105" s="4">
        <f>参数!$B$10</f>
        <v>4</v>
      </c>
      <c r="S105" s="4">
        <f>参数!$C$10</f>
        <v>1.2</v>
      </c>
      <c r="T105" s="4">
        <f>参数!$D$10</f>
        <v>1</v>
      </c>
      <c r="U105" s="4">
        <f t="shared" si="7"/>
        <v>404536</v>
      </c>
      <c r="V105" s="4">
        <f t="shared" si="8"/>
        <v>11428.8</v>
      </c>
      <c r="W105" s="4">
        <f t="shared" si="9"/>
        <v>13347</v>
      </c>
      <c r="X105" s="4">
        <f>IFERROR(INDEX(参数!$B$5:$B$7,MATCH($N105,参数!$A$5:$A$7,0)),"")</f>
        <v>1.5</v>
      </c>
      <c r="Y105" s="4">
        <f>IFERROR(INDEX(参数!$C$5:$C$7,MATCH($N105,参数!$A$5:$A$7,0)),"")</f>
        <v>1</v>
      </c>
      <c r="Z105" s="4">
        <f>IFERROR(INDEX(参数!$D$5:$D$7,MATCH($N105,参数!$A$5:$A$7,0)),"")</f>
        <v>1.5</v>
      </c>
      <c r="AA105" s="4">
        <f>IFERROR(INDEX(楼层配置!$E$5:$E$104,MATCH($K105,楼层配置!$B$5:$B$104,0)),1)</f>
        <v>1</v>
      </c>
      <c r="AB105" s="4">
        <f>IFERROR(INDEX(楼层配置!$F$5:$F$104,MATCH($K105,楼层配置!$B$5:$B$104,0)),1)</f>
        <v>1</v>
      </c>
      <c r="AC105" s="4">
        <f>IFERROR(INDEX(楼层配置!$G$5:$G$104,MATCH($K105,楼层配置!$B$5:$B$104,0)),1)</f>
        <v>1</v>
      </c>
      <c r="AD105" s="6">
        <f t="shared" si="10"/>
        <v>1.728876976489</v>
      </c>
      <c r="AE105" s="6">
        <f t="shared" si="11"/>
        <v>1.17405364276203</v>
      </c>
      <c r="AF105" s="6">
        <f t="shared" si="12"/>
        <v>1.48337881419003</v>
      </c>
      <c r="AG105" s="4" t="str">
        <f t="shared" si="13"/>
        <v>有效</v>
      </c>
    </row>
    <row r="106" ht="14.25" customHeight="1" spans="1:33">
      <c r="A106" s="4">
        <v>102</v>
      </c>
      <c r="B106" s="4">
        <v>1030</v>
      </c>
      <c r="C106" s="4">
        <v>20</v>
      </c>
      <c r="D106" s="5">
        <f>IFERROR(ROUND($U106*$X106*$AA106*参数!$B$13,0),"")</f>
        <v>606804</v>
      </c>
      <c r="E106" s="5">
        <f>IFERROR(ROUND($V106*$Y106*$AB106*参数!$C$13,0),"")</f>
        <v>11429</v>
      </c>
      <c r="F106" s="5">
        <f>IFERROR(ROUND($W106*$Z106*$AC106*参数!$D$13,0),"")</f>
        <v>20021</v>
      </c>
      <c r="G106" s="4">
        <v>222364</v>
      </c>
      <c r="H106" s="4">
        <v>5257</v>
      </c>
      <c r="I106" s="4">
        <v>8062</v>
      </c>
      <c r="J106" s="4">
        <v>21</v>
      </c>
      <c r="K106" s="4">
        <v>21</v>
      </c>
      <c r="L106" s="4">
        <f>IFERROR(INDEX(楼层配置!$D$5:$D$104,MATCH($K106,楼层配置!$B$5:$B$104,0)),"")</f>
        <v>176</v>
      </c>
      <c r="M106" s="4" t="str">
        <f>IFERROR(INDEX(_角色基线!$B$2:$B$100,MATCH($B106,_角色基线!$A$2:$A$100,0)),"")</f>
        <v>莫莉</v>
      </c>
      <c r="N106" s="4" t="str">
        <f>IFERROR(INDEX(_角色基线!$C$2:$C$100,MATCH($B106,_角色基线!$A$2:$A$100,0)),"")</f>
        <v>Tank</v>
      </c>
      <c r="O106" s="4">
        <f>IFERROR(INDEX(_怪物基线!$B$2:$B$501,MATCH(INT($L106),_怪物基线!$A$2:$A$501,0)),"")</f>
        <v>101134</v>
      </c>
      <c r="P106" s="4">
        <f>IFERROR(INDEX(_怪物基线!$C$2:$C$501,MATCH(INT($L106),_怪物基线!$A$2:$A$501,0)),"")</f>
        <v>9524</v>
      </c>
      <c r="Q106" s="4">
        <f>IFERROR(INDEX(_怪物基线!$D$2:$D$501,MATCH(INT($L106),_怪物基线!$A$2:$A$501,0)),"")</f>
        <v>13347</v>
      </c>
      <c r="R106" s="4">
        <f>参数!$B$10</f>
        <v>4</v>
      </c>
      <c r="S106" s="4">
        <f>参数!$C$10</f>
        <v>1.2</v>
      </c>
      <c r="T106" s="4">
        <f>参数!$D$10</f>
        <v>1</v>
      </c>
      <c r="U106" s="4">
        <f t="shared" si="7"/>
        <v>404536</v>
      </c>
      <c r="V106" s="4">
        <f t="shared" si="8"/>
        <v>11428.8</v>
      </c>
      <c r="W106" s="4">
        <f t="shared" si="9"/>
        <v>13347</v>
      </c>
      <c r="X106" s="4">
        <f>IFERROR(INDEX(参数!$B$5:$B$7,MATCH($N106,参数!$A$5:$A$7,0)),"")</f>
        <v>1.5</v>
      </c>
      <c r="Y106" s="4">
        <f>IFERROR(INDEX(参数!$C$5:$C$7,MATCH($N106,参数!$A$5:$A$7,0)),"")</f>
        <v>1</v>
      </c>
      <c r="Z106" s="4">
        <f>IFERROR(INDEX(参数!$D$5:$D$7,MATCH($N106,参数!$A$5:$A$7,0)),"")</f>
        <v>1.5</v>
      </c>
      <c r="AA106" s="4">
        <f>IFERROR(INDEX(楼层配置!$E$5:$E$104,MATCH($K106,楼层配置!$B$5:$B$104,0)),1)</f>
        <v>1</v>
      </c>
      <c r="AB106" s="4">
        <f>IFERROR(INDEX(楼层配置!$F$5:$F$104,MATCH($K106,楼层配置!$B$5:$B$104,0)),1)</f>
        <v>1</v>
      </c>
      <c r="AC106" s="4">
        <f>IFERROR(INDEX(楼层配置!$G$5:$G$104,MATCH($K106,楼层配置!$B$5:$B$104,0)),1)</f>
        <v>1</v>
      </c>
      <c r="AD106" s="6">
        <f t="shared" si="10"/>
        <v>1.728876976489</v>
      </c>
      <c r="AE106" s="6">
        <f t="shared" si="11"/>
        <v>1.17405364276203</v>
      </c>
      <c r="AF106" s="6">
        <f t="shared" si="12"/>
        <v>1.48337881419003</v>
      </c>
      <c r="AG106" s="4" t="str">
        <f t="shared" si="13"/>
        <v>有效</v>
      </c>
    </row>
    <row r="107" ht="14.25" customHeight="1" spans="1:33">
      <c r="A107" s="4">
        <v>103</v>
      </c>
      <c r="B107" s="4">
        <v>1020</v>
      </c>
      <c r="C107" s="4">
        <v>20</v>
      </c>
      <c r="D107" s="5">
        <f>IFERROR(ROUND($U107*$X107*$AA107*参数!$B$13,0),"")</f>
        <v>505670</v>
      </c>
      <c r="E107" s="5">
        <f>IFERROR(ROUND($V107*$Y107*$AB107*参数!$C$13,0),"")</f>
        <v>11429</v>
      </c>
      <c r="F107" s="5">
        <f>IFERROR(ROUND($W107*$Z107*$AC107*参数!$D$13,0),"")</f>
        <v>16684</v>
      </c>
      <c r="G107" s="4">
        <v>185304</v>
      </c>
      <c r="H107" s="4">
        <v>5257</v>
      </c>
      <c r="I107" s="4">
        <v>6719</v>
      </c>
      <c r="J107" s="4">
        <v>21</v>
      </c>
      <c r="K107" s="4">
        <v>21</v>
      </c>
      <c r="L107" s="4">
        <f>IFERROR(INDEX(楼层配置!$D$5:$D$104,MATCH($K107,楼层配置!$B$5:$B$104,0)),"")</f>
        <v>176</v>
      </c>
      <c r="M107" s="4" t="str">
        <f>IFERROR(INDEX(_角色基线!$B$2:$B$100,MATCH($B107,_角色基线!$A$2:$A$100,0)),"")</f>
        <v>卡斯帕</v>
      </c>
      <c r="N107" s="4" t="str">
        <f>IFERROR(INDEX(_角色基线!$C$2:$C$100,MATCH($B107,_角色基线!$A$2:$A$100,0)),"")</f>
        <v>Support</v>
      </c>
      <c r="O107" s="4">
        <f>IFERROR(INDEX(_怪物基线!$B$2:$B$501,MATCH(INT($L107),_怪物基线!$A$2:$A$501,0)),"")</f>
        <v>101134</v>
      </c>
      <c r="P107" s="4">
        <f>IFERROR(INDEX(_怪物基线!$C$2:$C$501,MATCH(INT($L107),_怪物基线!$A$2:$A$501,0)),"")</f>
        <v>9524</v>
      </c>
      <c r="Q107" s="4">
        <f>IFERROR(INDEX(_怪物基线!$D$2:$D$501,MATCH(INT($L107),_怪物基线!$A$2:$A$501,0)),"")</f>
        <v>13347</v>
      </c>
      <c r="R107" s="4">
        <f>参数!$B$10</f>
        <v>4</v>
      </c>
      <c r="S107" s="4">
        <f>参数!$C$10</f>
        <v>1.2</v>
      </c>
      <c r="T107" s="4">
        <f>参数!$D$10</f>
        <v>1</v>
      </c>
      <c r="U107" s="4">
        <f t="shared" si="7"/>
        <v>404536</v>
      </c>
      <c r="V107" s="4">
        <f t="shared" si="8"/>
        <v>11428.8</v>
      </c>
      <c r="W107" s="4">
        <f t="shared" si="9"/>
        <v>13347</v>
      </c>
      <c r="X107" s="4">
        <f>IFERROR(INDEX(参数!$B$5:$B$7,MATCH($N107,参数!$A$5:$A$7,0)),"")</f>
        <v>1.25</v>
      </c>
      <c r="Y107" s="4">
        <f>IFERROR(INDEX(参数!$C$5:$C$7,MATCH($N107,参数!$A$5:$A$7,0)),"")</f>
        <v>1</v>
      </c>
      <c r="Z107" s="4">
        <f>IFERROR(INDEX(参数!$D$5:$D$7,MATCH($N107,参数!$A$5:$A$7,0)),"")</f>
        <v>1.25</v>
      </c>
      <c r="AA107" s="4">
        <f>IFERROR(INDEX(楼层配置!$E$5:$E$104,MATCH($K107,楼层配置!$B$5:$B$104,0)),1)</f>
        <v>1</v>
      </c>
      <c r="AB107" s="4">
        <f>IFERROR(INDEX(楼层配置!$F$5:$F$104,MATCH($K107,楼层配置!$B$5:$B$104,0)),1)</f>
        <v>1</v>
      </c>
      <c r="AC107" s="4">
        <f>IFERROR(INDEX(楼层配置!$G$5:$G$104,MATCH($K107,楼层配置!$B$5:$B$104,0)),1)</f>
        <v>1</v>
      </c>
      <c r="AD107" s="6">
        <f t="shared" si="10"/>
        <v>1.72886715883089</v>
      </c>
      <c r="AE107" s="6">
        <f t="shared" si="11"/>
        <v>1.17405364276203</v>
      </c>
      <c r="AF107" s="6">
        <f t="shared" si="12"/>
        <v>1.48310760529841</v>
      </c>
      <c r="AG107" s="4" t="str">
        <f t="shared" si="13"/>
        <v>有效</v>
      </c>
    </row>
    <row r="108" ht="14.25" customHeight="1" spans="1:33">
      <c r="A108" s="4">
        <v>104</v>
      </c>
      <c r="B108" s="4">
        <v>1036</v>
      </c>
      <c r="C108" s="4">
        <v>20</v>
      </c>
      <c r="D108" s="5">
        <f>IFERROR(ROUND($U108*$X108*$AA108*参数!$B$13,0),"")</f>
        <v>404536</v>
      </c>
      <c r="E108" s="5">
        <f>IFERROR(ROUND($V108*$Y108*$AB108*参数!$C$13,0),"")</f>
        <v>13715</v>
      </c>
      <c r="F108" s="5">
        <f>IFERROR(ROUND($W108*$Z108*$AC108*参数!$D$13,0),"")</f>
        <v>13347</v>
      </c>
      <c r="G108" s="4">
        <v>148243</v>
      </c>
      <c r="H108" s="4">
        <v>6308</v>
      </c>
      <c r="I108" s="4">
        <v>5375</v>
      </c>
      <c r="J108" s="4">
        <v>21</v>
      </c>
      <c r="K108" s="4">
        <v>21</v>
      </c>
      <c r="L108" s="4">
        <f>IFERROR(INDEX(楼层配置!$D$5:$D$104,MATCH($K108,楼层配置!$B$5:$B$104,0)),"")</f>
        <v>176</v>
      </c>
      <c r="M108" s="4" t="str">
        <f>IFERROR(INDEX(_角色基线!$B$2:$B$100,MATCH($B108,_角色基线!$A$2:$A$100,0)),"")</f>
        <v>霜狼法师</v>
      </c>
      <c r="N108" s="4" t="str">
        <f>IFERROR(INDEX(_角色基线!$C$2:$C$100,MATCH($B108,_角色基线!$A$2:$A$100,0)),"")</f>
        <v>DPS</v>
      </c>
      <c r="O108" s="4">
        <f>IFERROR(INDEX(_怪物基线!$B$2:$B$501,MATCH(INT($L108),_怪物基线!$A$2:$A$501,0)),"")</f>
        <v>101134</v>
      </c>
      <c r="P108" s="4">
        <f>IFERROR(INDEX(_怪物基线!$C$2:$C$501,MATCH(INT($L108),_怪物基线!$A$2:$A$501,0)),"")</f>
        <v>9524</v>
      </c>
      <c r="Q108" s="4">
        <f>IFERROR(INDEX(_怪物基线!$D$2:$D$501,MATCH(INT($L108),_怪物基线!$A$2:$A$501,0)),"")</f>
        <v>13347</v>
      </c>
      <c r="R108" s="4">
        <f>参数!$B$10</f>
        <v>4</v>
      </c>
      <c r="S108" s="4">
        <f>参数!$C$10</f>
        <v>1.2</v>
      </c>
      <c r="T108" s="4">
        <f>参数!$D$10</f>
        <v>1</v>
      </c>
      <c r="U108" s="4">
        <f t="shared" si="7"/>
        <v>404536</v>
      </c>
      <c r="V108" s="4">
        <f t="shared" si="8"/>
        <v>11428.8</v>
      </c>
      <c r="W108" s="4">
        <f t="shared" si="9"/>
        <v>13347</v>
      </c>
      <c r="X108" s="4">
        <f>IFERROR(INDEX(参数!$B$5:$B$7,MATCH($N108,参数!$A$5:$A$7,0)),"")</f>
        <v>1</v>
      </c>
      <c r="Y108" s="4">
        <f>IFERROR(INDEX(参数!$C$5:$C$7,MATCH($N108,参数!$A$5:$A$7,0)),"")</f>
        <v>1.2</v>
      </c>
      <c r="Z108" s="4">
        <f>IFERROR(INDEX(参数!$D$5:$D$7,MATCH($N108,参数!$A$5:$A$7,0)),"")</f>
        <v>1</v>
      </c>
      <c r="AA108" s="4">
        <f>IFERROR(INDEX(楼层配置!$E$5:$E$104,MATCH($K108,楼层配置!$B$5:$B$104,0)),1)</f>
        <v>1</v>
      </c>
      <c r="AB108" s="4">
        <f>IFERROR(INDEX(楼层配置!$F$5:$F$104,MATCH($K108,楼层配置!$B$5:$B$104,0)),1)</f>
        <v>1</v>
      </c>
      <c r="AC108" s="4">
        <f>IFERROR(INDEX(楼层配置!$G$5:$G$104,MATCH($K108,楼层配置!$B$5:$B$104,0)),1)</f>
        <v>1</v>
      </c>
      <c r="AD108" s="6">
        <f t="shared" si="10"/>
        <v>1.72887084044441</v>
      </c>
      <c r="AE108" s="6">
        <f t="shared" si="11"/>
        <v>1.17422320862397</v>
      </c>
      <c r="AF108" s="6">
        <f t="shared" si="12"/>
        <v>1.48316279069767</v>
      </c>
      <c r="AG108" s="4" t="str">
        <f t="shared" si="13"/>
        <v>有效</v>
      </c>
    </row>
    <row r="109" ht="14.25" customHeight="1" spans="1:33">
      <c r="A109" s="4">
        <v>105</v>
      </c>
      <c r="B109" s="4">
        <v>1026</v>
      </c>
      <c r="C109" s="4">
        <v>20</v>
      </c>
      <c r="D109" s="5">
        <f>IFERROR(ROUND($U109*$X109*$AA109*参数!$B$13,0),"")</f>
        <v>404536</v>
      </c>
      <c r="E109" s="5">
        <f>IFERROR(ROUND($V109*$Y109*$AB109*参数!$C$13,0),"")</f>
        <v>13715</v>
      </c>
      <c r="F109" s="5">
        <f>IFERROR(ROUND($W109*$Z109*$AC109*参数!$D$13,0),"")</f>
        <v>13347</v>
      </c>
      <c r="G109" s="4">
        <v>148243</v>
      </c>
      <c r="H109" s="4">
        <v>6308</v>
      </c>
      <c r="I109" s="4">
        <v>5375</v>
      </c>
      <c r="J109" s="4">
        <v>21</v>
      </c>
      <c r="K109" s="4">
        <v>21</v>
      </c>
      <c r="L109" s="4">
        <f>IFERROR(INDEX(楼层配置!$D$5:$D$104,MATCH($K109,楼层配置!$B$5:$B$104,0)),"")</f>
        <v>176</v>
      </c>
      <c r="M109" s="4" t="str">
        <f>IFERROR(INDEX(_角色基线!$B$2:$B$100,MATCH($B109,_角色基线!$A$2:$A$100,0)),"")</f>
        <v>乔一</v>
      </c>
      <c r="N109" s="4" t="str">
        <f>IFERROR(INDEX(_角色基线!$C$2:$C$100,MATCH($B109,_角色基线!$A$2:$A$100,0)),"")</f>
        <v>DPS</v>
      </c>
      <c r="O109" s="4">
        <f>IFERROR(INDEX(_怪物基线!$B$2:$B$501,MATCH(INT($L109),_怪物基线!$A$2:$A$501,0)),"")</f>
        <v>101134</v>
      </c>
      <c r="P109" s="4">
        <f>IFERROR(INDEX(_怪物基线!$C$2:$C$501,MATCH(INT($L109),_怪物基线!$A$2:$A$501,0)),"")</f>
        <v>9524</v>
      </c>
      <c r="Q109" s="4">
        <f>IFERROR(INDEX(_怪物基线!$D$2:$D$501,MATCH(INT($L109),_怪物基线!$A$2:$A$501,0)),"")</f>
        <v>13347</v>
      </c>
      <c r="R109" s="4">
        <f>参数!$B$10</f>
        <v>4</v>
      </c>
      <c r="S109" s="4">
        <f>参数!$C$10</f>
        <v>1.2</v>
      </c>
      <c r="T109" s="4">
        <f>参数!$D$10</f>
        <v>1</v>
      </c>
      <c r="U109" s="4">
        <f t="shared" si="7"/>
        <v>404536</v>
      </c>
      <c r="V109" s="4">
        <f t="shared" si="8"/>
        <v>11428.8</v>
      </c>
      <c r="W109" s="4">
        <f t="shared" si="9"/>
        <v>13347</v>
      </c>
      <c r="X109" s="4">
        <f>IFERROR(INDEX(参数!$B$5:$B$7,MATCH($N109,参数!$A$5:$A$7,0)),"")</f>
        <v>1</v>
      </c>
      <c r="Y109" s="4">
        <f>IFERROR(INDEX(参数!$C$5:$C$7,MATCH($N109,参数!$A$5:$A$7,0)),"")</f>
        <v>1.2</v>
      </c>
      <c r="Z109" s="4">
        <f>IFERROR(INDEX(参数!$D$5:$D$7,MATCH($N109,参数!$A$5:$A$7,0)),"")</f>
        <v>1</v>
      </c>
      <c r="AA109" s="4">
        <f>IFERROR(INDEX(楼层配置!$E$5:$E$104,MATCH($K109,楼层配置!$B$5:$B$104,0)),1)</f>
        <v>1</v>
      </c>
      <c r="AB109" s="4">
        <f>IFERROR(INDEX(楼层配置!$F$5:$F$104,MATCH($K109,楼层配置!$B$5:$B$104,0)),1)</f>
        <v>1</v>
      </c>
      <c r="AC109" s="4">
        <f>IFERROR(INDEX(楼层配置!$G$5:$G$104,MATCH($K109,楼层配置!$B$5:$B$104,0)),1)</f>
        <v>1</v>
      </c>
      <c r="AD109" s="6">
        <f t="shared" si="10"/>
        <v>1.72887084044441</v>
      </c>
      <c r="AE109" s="6">
        <f t="shared" si="11"/>
        <v>1.17422320862397</v>
      </c>
      <c r="AF109" s="6">
        <f t="shared" si="12"/>
        <v>1.48316279069767</v>
      </c>
      <c r="AG109" s="4" t="str">
        <f t="shared" si="13"/>
        <v>有效</v>
      </c>
    </row>
    <row r="110" ht="14.25" customHeight="1" spans="1:33">
      <c r="A110" s="4">
        <v>106</v>
      </c>
      <c r="B110" s="4">
        <v>1002</v>
      </c>
      <c r="C110" s="4">
        <v>21</v>
      </c>
      <c r="D110" s="5">
        <f>IFERROR(ROUND($U110*$X110*$AA110*参数!$B$13,0),"")</f>
        <v>655662</v>
      </c>
      <c r="E110" s="5">
        <f>IFERROR(ROUND($V110*$Y110*$AB110*参数!$C$13,0),"")</f>
        <v>12023</v>
      </c>
      <c r="F110" s="5">
        <f>IFERROR(ROUND($W110*$Z110*$AC110*参数!$D$13,0),"")</f>
        <v>20889</v>
      </c>
      <c r="G110" s="4">
        <v>239781</v>
      </c>
      <c r="H110" s="4">
        <v>5527</v>
      </c>
      <c r="I110" s="4">
        <v>8442</v>
      </c>
      <c r="J110" s="4">
        <v>22</v>
      </c>
      <c r="K110" s="4">
        <v>22</v>
      </c>
      <c r="L110" s="4">
        <f>IFERROR(INDEX(楼层配置!$D$5:$D$104,MATCH($K110,楼层配置!$B$5:$B$104,0)),"")</f>
        <v>182</v>
      </c>
      <c r="M110" s="4" t="str">
        <f>IFERROR(INDEX(_角色基线!$B$2:$B$100,MATCH($B110,_角色基线!$A$2:$A$100,0)),"")</f>
        <v>大暑</v>
      </c>
      <c r="N110" s="4" t="str">
        <f>IFERROR(INDEX(_角色基线!$C$2:$C$100,MATCH($B110,_角色基线!$A$2:$A$100,0)),"")</f>
        <v>Tank</v>
      </c>
      <c r="O110" s="4">
        <f>IFERROR(INDEX(_怪物基线!$B$2:$B$501,MATCH(INT($L110),_怪物基线!$A$2:$A$501,0)),"")</f>
        <v>109277</v>
      </c>
      <c r="P110" s="4">
        <f>IFERROR(INDEX(_怪物基线!$C$2:$C$501,MATCH(INT($L110),_怪物基线!$A$2:$A$501,0)),"")</f>
        <v>10019</v>
      </c>
      <c r="Q110" s="4">
        <f>IFERROR(INDEX(_怪物基线!$D$2:$D$501,MATCH(INT($L110),_怪物基线!$A$2:$A$501,0)),"")</f>
        <v>13926</v>
      </c>
      <c r="R110" s="4">
        <f>参数!$B$10</f>
        <v>4</v>
      </c>
      <c r="S110" s="4">
        <f>参数!$C$10</f>
        <v>1.2</v>
      </c>
      <c r="T110" s="4">
        <f>参数!$D$10</f>
        <v>1</v>
      </c>
      <c r="U110" s="4">
        <f t="shared" si="7"/>
        <v>437108</v>
      </c>
      <c r="V110" s="4">
        <f t="shared" si="8"/>
        <v>12022.8</v>
      </c>
      <c r="W110" s="4">
        <f t="shared" si="9"/>
        <v>13926</v>
      </c>
      <c r="X110" s="4">
        <f>IFERROR(INDEX(参数!$B$5:$B$7,MATCH($N110,参数!$A$5:$A$7,0)),"")</f>
        <v>1.5</v>
      </c>
      <c r="Y110" s="4">
        <f>IFERROR(INDEX(参数!$C$5:$C$7,MATCH($N110,参数!$A$5:$A$7,0)),"")</f>
        <v>1</v>
      </c>
      <c r="Z110" s="4">
        <f>IFERROR(INDEX(参数!$D$5:$D$7,MATCH($N110,参数!$A$5:$A$7,0)),"")</f>
        <v>1.5</v>
      </c>
      <c r="AA110" s="4">
        <f>IFERROR(INDEX(楼层配置!$E$5:$E$104,MATCH($K110,楼层配置!$B$5:$B$104,0)),1)</f>
        <v>1</v>
      </c>
      <c r="AB110" s="4">
        <f>IFERROR(INDEX(楼层配置!$F$5:$F$104,MATCH($K110,楼层配置!$B$5:$B$104,0)),1)</f>
        <v>1</v>
      </c>
      <c r="AC110" s="4">
        <f>IFERROR(INDEX(楼层配置!$G$5:$G$104,MATCH($K110,楼层配置!$B$5:$B$104,0)),1)</f>
        <v>1</v>
      </c>
      <c r="AD110" s="6">
        <f t="shared" si="10"/>
        <v>1.73442015839453</v>
      </c>
      <c r="AE110" s="6">
        <f t="shared" si="11"/>
        <v>1.17532115071467</v>
      </c>
      <c r="AF110" s="6">
        <f t="shared" si="12"/>
        <v>1.47441364605544</v>
      </c>
      <c r="AG110" s="4" t="str">
        <f t="shared" si="13"/>
        <v>有效</v>
      </c>
    </row>
    <row r="111" ht="14.25" customHeight="1" spans="1:33">
      <c r="A111" s="4">
        <v>107</v>
      </c>
      <c r="B111" s="4">
        <v>1002</v>
      </c>
      <c r="C111" s="4">
        <v>21</v>
      </c>
      <c r="D111" s="5">
        <f>IFERROR(ROUND($U111*$X111*$AA111*参数!$B$13,0),"")</f>
        <v>655662</v>
      </c>
      <c r="E111" s="5">
        <f>IFERROR(ROUND($V111*$Y111*$AB111*参数!$C$13,0),"")</f>
        <v>12023</v>
      </c>
      <c r="F111" s="5">
        <f>IFERROR(ROUND($W111*$Z111*$AC111*参数!$D$13,0),"")</f>
        <v>20889</v>
      </c>
      <c r="G111" s="4">
        <v>239781</v>
      </c>
      <c r="H111" s="4">
        <v>5527</v>
      </c>
      <c r="I111" s="4">
        <v>8442</v>
      </c>
      <c r="J111" s="4">
        <v>22</v>
      </c>
      <c r="K111" s="4">
        <v>22</v>
      </c>
      <c r="L111" s="4">
        <f>IFERROR(INDEX(楼层配置!$D$5:$D$104,MATCH($K111,楼层配置!$B$5:$B$104,0)),"")</f>
        <v>182</v>
      </c>
      <c r="M111" s="4" t="str">
        <f>IFERROR(INDEX(_角色基线!$B$2:$B$100,MATCH($B111,_角色基线!$A$2:$A$100,0)),"")</f>
        <v>大暑</v>
      </c>
      <c r="N111" s="4" t="str">
        <f>IFERROR(INDEX(_角色基线!$C$2:$C$100,MATCH($B111,_角色基线!$A$2:$A$100,0)),"")</f>
        <v>Tank</v>
      </c>
      <c r="O111" s="4">
        <f>IFERROR(INDEX(_怪物基线!$B$2:$B$501,MATCH(INT($L111),_怪物基线!$A$2:$A$501,0)),"")</f>
        <v>109277</v>
      </c>
      <c r="P111" s="4">
        <f>IFERROR(INDEX(_怪物基线!$C$2:$C$501,MATCH(INT($L111),_怪物基线!$A$2:$A$501,0)),"")</f>
        <v>10019</v>
      </c>
      <c r="Q111" s="4">
        <f>IFERROR(INDEX(_怪物基线!$D$2:$D$501,MATCH(INT($L111),_怪物基线!$A$2:$A$501,0)),"")</f>
        <v>13926</v>
      </c>
      <c r="R111" s="4">
        <f>参数!$B$10</f>
        <v>4</v>
      </c>
      <c r="S111" s="4">
        <f>参数!$C$10</f>
        <v>1.2</v>
      </c>
      <c r="T111" s="4">
        <f>参数!$D$10</f>
        <v>1</v>
      </c>
      <c r="U111" s="4">
        <f t="shared" si="7"/>
        <v>437108</v>
      </c>
      <c r="V111" s="4">
        <f t="shared" si="8"/>
        <v>12022.8</v>
      </c>
      <c r="W111" s="4">
        <f t="shared" si="9"/>
        <v>13926</v>
      </c>
      <c r="X111" s="4">
        <f>IFERROR(INDEX(参数!$B$5:$B$7,MATCH($N111,参数!$A$5:$A$7,0)),"")</f>
        <v>1.5</v>
      </c>
      <c r="Y111" s="4">
        <f>IFERROR(INDEX(参数!$C$5:$C$7,MATCH($N111,参数!$A$5:$A$7,0)),"")</f>
        <v>1</v>
      </c>
      <c r="Z111" s="4">
        <f>IFERROR(INDEX(参数!$D$5:$D$7,MATCH($N111,参数!$A$5:$A$7,0)),"")</f>
        <v>1.5</v>
      </c>
      <c r="AA111" s="4">
        <f>IFERROR(INDEX(楼层配置!$E$5:$E$104,MATCH($K111,楼层配置!$B$5:$B$104,0)),1)</f>
        <v>1</v>
      </c>
      <c r="AB111" s="4">
        <f>IFERROR(INDEX(楼层配置!$F$5:$F$104,MATCH($K111,楼层配置!$B$5:$B$104,0)),1)</f>
        <v>1</v>
      </c>
      <c r="AC111" s="4">
        <f>IFERROR(INDEX(楼层配置!$G$5:$G$104,MATCH($K111,楼层配置!$B$5:$B$104,0)),1)</f>
        <v>1</v>
      </c>
      <c r="AD111" s="6">
        <f t="shared" si="10"/>
        <v>1.73442015839453</v>
      </c>
      <c r="AE111" s="6">
        <f t="shared" si="11"/>
        <v>1.17532115071467</v>
      </c>
      <c r="AF111" s="6">
        <f t="shared" si="12"/>
        <v>1.47441364605544</v>
      </c>
      <c r="AG111" s="4" t="str">
        <f t="shared" si="13"/>
        <v>有效</v>
      </c>
    </row>
    <row r="112" ht="14.25" customHeight="1" spans="1:33">
      <c r="A112" s="4">
        <v>108</v>
      </c>
      <c r="B112" s="4">
        <v>1036</v>
      </c>
      <c r="C112" s="4">
        <v>21</v>
      </c>
      <c r="D112" s="5">
        <f>IFERROR(ROUND($U112*$X112*$AA112*参数!$B$13,0),"")</f>
        <v>437108</v>
      </c>
      <c r="E112" s="5">
        <f>IFERROR(ROUND($V112*$Y112*$AB112*参数!$C$13,0),"")</f>
        <v>14427</v>
      </c>
      <c r="F112" s="5">
        <f>IFERROR(ROUND($W112*$Z112*$AC112*参数!$D$13,0),"")</f>
        <v>13926</v>
      </c>
      <c r="G112" s="4">
        <v>159854</v>
      </c>
      <c r="H112" s="4">
        <v>6632</v>
      </c>
      <c r="I112" s="4">
        <v>5628</v>
      </c>
      <c r="J112" s="4">
        <v>22</v>
      </c>
      <c r="K112" s="4">
        <v>22</v>
      </c>
      <c r="L112" s="4">
        <f>IFERROR(INDEX(楼层配置!$D$5:$D$104,MATCH($K112,楼层配置!$B$5:$B$104,0)),"")</f>
        <v>182</v>
      </c>
      <c r="M112" s="4" t="str">
        <f>IFERROR(INDEX(_角色基线!$B$2:$B$100,MATCH($B112,_角色基线!$A$2:$A$100,0)),"")</f>
        <v>霜狼法师</v>
      </c>
      <c r="N112" s="4" t="str">
        <f>IFERROR(INDEX(_角色基线!$C$2:$C$100,MATCH($B112,_角色基线!$A$2:$A$100,0)),"")</f>
        <v>DPS</v>
      </c>
      <c r="O112" s="4">
        <f>IFERROR(INDEX(_怪物基线!$B$2:$B$501,MATCH(INT($L112),_怪物基线!$A$2:$A$501,0)),"")</f>
        <v>109277</v>
      </c>
      <c r="P112" s="4">
        <f>IFERROR(INDEX(_怪物基线!$C$2:$C$501,MATCH(INT($L112),_怪物基线!$A$2:$A$501,0)),"")</f>
        <v>10019</v>
      </c>
      <c r="Q112" s="4">
        <f>IFERROR(INDEX(_怪物基线!$D$2:$D$501,MATCH(INT($L112),_怪物基线!$A$2:$A$501,0)),"")</f>
        <v>13926</v>
      </c>
      <c r="R112" s="4">
        <f>参数!$B$10</f>
        <v>4</v>
      </c>
      <c r="S112" s="4">
        <f>参数!$C$10</f>
        <v>1.2</v>
      </c>
      <c r="T112" s="4">
        <f>参数!$D$10</f>
        <v>1</v>
      </c>
      <c r="U112" s="4">
        <f t="shared" si="7"/>
        <v>437108</v>
      </c>
      <c r="V112" s="4">
        <f t="shared" si="8"/>
        <v>12022.8</v>
      </c>
      <c r="W112" s="4">
        <f t="shared" si="9"/>
        <v>13926</v>
      </c>
      <c r="X112" s="4">
        <f>IFERROR(INDEX(参数!$B$5:$B$7,MATCH($N112,参数!$A$5:$A$7,0)),"")</f>
        <v>1</v>
      </c>
      <c r="Y112" s="4">
        <f>IFERROR(INDEX(参数!$C$5:$C$7,MATCH($N112,参数!$A$5:$A$7,0)),"")</f>
        <v>1.2</v>
      </c>
      <c r="Z112" s="4">
        <f>IFERROR(INDEX(参数!$D$5:$D$7,MATCH($N112,参数!$A$5:$A$7,0)),"")</f>
        <v>1</v>
      </c>
      <c r="AA112" s="4">
        <f>IFERROR(INDEX(楼层配置!$E$5:$E$104,MATCH($K112,楼层配置!$B$5:$B$104,0)),1)</f>
        <v>1</v>
      </c>
      <c r="AB112" s="4">
        <f>IFERROR(INDEX(楼层配置!$F$5:$F$104,MATCH($K112,楼层配置!$B$5:$B$104,0)),1)</f>
        <v>1</v>
      </c>
      <c r="AC112" s="4">
        <f>IFERROR(INDEX(楼层配置!$G$5:$G$104,MATCH($K112,楼层配置!$B$5:$B$104,0)),1)</f>
        <v>1</v>
      </c>
      <c r="AD112" s="6">
        <f t="shared" si="10"/>
        <v>1.73442015839453</v>
      </c>
      <c r="AE112" s="6">
        <f t="shared" si="11"/>
        <v>1.17536188178528</v>
      </c>
      <c r="AF112" s="6">
        <f t="shared" si="12"/>
        <v>1.47441364605544</v>
      </c>
      <c r="AG112" s="4" t="str">
        <f t="shared" si="13"/>
        <v>有效</v>
      </c>
    </row>
    <row r="113" ht="14.25" customHeight="1" spans="1:33">
      <c r="A113" s="4">
        <v>109</v>
      </c>
      <c r="B113" s="4">
        <v>1026</v>
      </c>
      <c r="C113" s="4">
        <v>21</v>
      </c>
      <c r="D113" s="5">
        <f>IFERROR(ROUND($U113*$X113*$AA113*参数!$B$13,0),"")</f>
        <v>437108</v>
      </c>
      <c r="E113" s="5">
        <f>IFERROR(ROUND($V113*$Y113*$AB113*参数!$C$13,0),"")</f>
        <v>14427</v>
      </c>
      <c r="F113" s="5">
        <f>IFERROR(ROUND($W113*$Z113*$AC113*参数!$D$13,0),"")</f>
        <v>13926</v>
      </c>
      <c r="G113" s="4">
        <v>159854</v>
      </c>
      <c r="H113" s="4">
        <v>6632</v>
      </c>
      <c r="I113" s="4">
        <v>5628</v>
      </c>
      <c r="J113" s="4">
        <v>22</v>
      </c>
      <c r="K113" s="4">
        <v>22</v>
      </c>
      <c r="L113" s="4">
        <f>IFERROR(INDEX(楼层配置!$D$5:$D$104,MATCH($K113,楼层配置!$B$5:$B$104,0)),"")</f>
        <v>182</v>
      </c>
      <c r="M113" s="4" t="str">
        <f>IFERROR(INDEX(_角色基线!$B$2:$B$100,MATCH($B113,_角色基线!$A$2:$A$100,0)),"")</f>
        <v>乔一</v>
      </c>
      <c r="N113" s="4" t="str">
        <f>IFERROR(INDEX(_角色基线!$C$2:$C$100,MATCH($B113,_角色基线!$A$2:$A$100,0)),"")</f>
        <v>DPS</v>
      </c>
      <c r="O113" s="4">
        <f>IFERROR(INDEX(_怪物基线!$B$2:$B$501,MATCH(INT($L113),_怪物基线!$A$2:$A$501,0)),"")</f>
        <v>109277</v>
      </c>
      <c r="P113" s="4">
        <f>IFERROR(INDEX(_怪物基线!$C$2:$C$501,MATCH(INT($L113),_怪物基线!$A$2:$A$501,0)),"")</f>
        <v>10019</v>
      </c>
      <c r="Q113" s="4">
        <f>IFERROR(INDEX(_怪物基线!$D$2:$D$501,MATCH(INT($L113),_怪物基线!$A$2:$A$501,0)),"")</f>
        <v>13926</v>
      </c>
      <c r="R113" s="4">
        <f>参数!$B$10</f>
        <v>4</v>
      </c>
      <c r="S113" s="4">
        <f>参数!$C$10</f>
        <v>1.2</v>
      </c>
      <c r="T113" s="4">
        <f>参数!$D$10</f>
        <v>1</v>
      </c>
      <c r="U113" s="4">
        <f t="shared" si="7"/>
        <v>437108</v>
      </c>
      <c r="V113" s="4">
        <f t="shared" si="8"/>
        <v>12022.8</v>
      </c>
      <c r="W113" s="4">
        <f t="shared" si="9"/>
        <v>13926</v>
      </c>
      <c r="X113" s="4">
        <f>IFERROR(INDEX(参数!$B$5:$B$7,MATCH($N113,参数!$A$5:$A$7,0)),"")</f>
        <v>1</v>
      </c>
      <c r="Y113" s="4">
        <f>IFERROR(INDEX(参数!$C$5:$C$7,MATCH($N113,参数!$A$5:$A$7,0)),"")</f>
        <v>1.2</v>
      </c>
      <c r="Z113" s="4">
        <f>IFERROR(INDEX(参数!$D$5:$D$7,MATCH($N113,参数!$A$5:$A$7,0)),"")</f>
        <v>1</v>
      </c>
      <c r="AA113" s="4">
        <f>IFERROR(INDEX(楼层配置!$E$5:$E$104,MATCH($K113,楼层配置!$B$5:$B$104,0)),1)</f>
        <v>1</v>
      </c>
      <c r="AB113" s="4">
        <f>IFERROR(INDEX(楼层配置!$F$5:$F$104,MATCH($K113,楼层配置!$B$5:$B$104,0)),1)</f>
        <v>1</v>
      </c>
      <c r="AC113" s="4">
        <f>IFERROR(INDEX(楼层配置!$G$5:$G$104,MATCH($K113,楼层配置!$B$5:$B$104,0)),1)</f>
        <v>1</v>
      </c>
      <c r="AD113" s="6">
        <f t="shared" si="10"/>
        <v>1.73442015839453</v>
      </c>
      <c r="AE113" s="6">
        <f t="shared" si="11"/>
        <v>1.17536188178528</v>
      </c>
      <c r="AF113" s="6">
        <f t="shared" si="12"/>
        <v>1.47441364605544</v>
      </c>
      <c r="AG113" s="4" t="str">
        <f t="shared" si="13"/>
        <v>有效</v>
      </c>
    </row>
    <row r="114" ht="14.25" customHeight="1" spans="1:33">
      <c r="A114" s="4">
        <v>110</v>
      </c>
      <c r="B114" s="4">
        <v>1014</v>
      </c>
      <c r="C114" s="4">
        <v>21</v>
      </c>
      <c r="D114" s="5">
        <f>IFERROR(ROUND($U114*$X114*$AA114*参数!$B$13,0),"")</f>
        <v>437108</v>
      </c>
      <c r="E114" s="5">
        <f>IFERROR(ROUND($V114*$Y114*$AB114*参数!$C$13,0),"")</f>
        <v>14427</v>
      </c>
      <c r="F114" s="5">
        <f>IFERROR(ROUND($W114*$Z114*$AC114*参数!$D$13,0),"")</f>
        <v>13926</v>
      </c>
      <c r="G114" s="4">
        <v>159854</v>
      </c>
      <c r="H114" s="4">
        <v>6632</v>
      </c>
      <c r="I114" s="4">
        <v>5628</v>
      </c>
      <c r="J114" s="4">
        <v>22</v>
      </c>
      <c r="K114" s="4">
        <v>22</v>
      </c>
      <c r="L114" s="4">
        <f>IFERROR(INDEX(楼层配置!$D$5:$D$104,MATCH($K114,楼层配置!$B$5:$B$104,0)),"")</f>
        <v>182</v>
      </c>
      <c r="M114" s="4" t="str">
        <f>IFERROR(INDEX(_角色基线!$B$2:$B$100,MATCH($B114,_角色基线!$A$2:$A$100,0)),"")</f>
        <v>克莉丝汀</v>
      </c>
      <c r="N114" s="4" t="str">
        <f>IFERROR(INDEX(_角色基线!$C$2:$C$100,MATCH($B114,_角色基线!$A$2:$A$100,0)),"")</f>
        <v>DPS</v>
      </c>
      <c r="O114" s="4">
        <f>IFERROR(INDEX(_怪物基线!$B$2:$B$501,MATCH(INT($L114),_怪物基线!$A$2:$A$501,0)),"")</f>
        <v>109277</v>
      </c>
      <c r="P114" s="4">
        <f>IFERROR(INDEX(_怪物基线!$C$2:$C$501,MATCH(INT($L114),_怪物基线!$A$2:$A$501,0)),"")</f>
        <v>10019</v>
      </c>
      <c r="Q114" s="4">
        <f>IFERROR(INDEX(_怪物基线!$D$2:$D$501,MATCH(INT($L114),_怪物基线!$A$2:$A$501,0)),"")</f>
        <v>13926</v>
      </c>
      <c r="R114" s="4">
        <f>参数!$B$10</f>
        <v>4</v>
      </c>
      <c r="S114" s="4">
        <f>参数!$C$10</f>
        <v>1.2</v>
      </c>
      <c r="T114" s="4">
        <f>参数!$D$10</f>
        <v>1</v>
      </c>
      <c r="U114" s="4">
        <f t="shared" si="7"/>
        <v>437108</v>
      </c>
      <c r="V114" s="4">
        <f t="shared" si="8"/>
        <v>12022.8</v>
      </c>
      <c r="W114" s="4">
        <f t="shared" si="9"/>
        <v>13926</v>
      </c>
      <c r="X114" s="4">
        <f>IFERROR(INDEX(参数!$B$5:$B$7,MATCH($N114,参数!$A$5:$A$7,0)),"")</f>
        <v>1</v>
      </c>
      <c r="Y114" s="4">
        <f>IFERROR(INDEX(参数!$C$5:$C$7,MATCH($N114,参数!$A$5:$A$7,0)),"")</f>
        <v>1.2</v>
      </c>
      <c r="Z114" s="4">
        <f>IFERROR(INDEX(参数!$D$5:$D$7,MATCH($N114,参数!$A$5:$A$7,0)),"")</f>
        <v>1</v>
      </c>
      <c r="AA114" s="4">
        <f>IFERROR(INDEX(楼层配置!$E$5:$E$104,MATCH($K114,楼层配置!$B$5:$B$104,0)),1)</f>
        <v>1</v>
      </c>
      <c r="AB114" s="4">
        <f>IFERROR(INDEX(楼层配置!$F$5:$F$104,MATCH($K114,楼层配置!$B$5:$B$104,0)),1)</f>
        <v>1</v>
      </c>
      <c r="AC114" s="4">
        <f>IFERROR(INDEX(楼层配置!$G$5:$G$104,MATCH($K114,楼层配置!$B$5:$B$104,0)),1)</f>
        <v>1</v>
      </c>
      <c r="AD114" s="6">
        <f t="shared" si="10"/>
        <v>1.73442015839453</v>
      </c>
      <c r="AE114" s="6">
        <f t="shared" si="11"/>
        <v>1.17536188178528</v>
      </c>
      <c r="AF114" s="6">
        <f t="shared" si="12"/>
        <v>1.47441364605544</v>
      </c>
      <c r="AG114" s="4" t="str">
        <f t="shared" si="13"/>
        <v>有效</v>
      </c>
    </row>
    <row r="115" ht="14.25" customHeight="1" spans="1:33">
      <c r="A115" s="4">
        <v>111</v>
      </c>
      <c r="B115" s="4">
        <v>1038</v>
      </c>
      <c r="C115" s="4">
        <v>21</v>
      </c>
      <c r="D115" s="5">
        <f>IFERROR(ROUND($U115*$X115*$AA115*参数!$B$13,0),"")</f>
        <v>689742</v>
      </c>
      <c r="E115" s="5">
        <f>IFERROR(ROUND($V115*$Y115*$AB115*参数!$C$13,0),"")</f>
        <v>12430</v>
      </c>
      <c r="F115" s="5">
        <f>IFERROR(ROUND($W115*$Z115*$AC115*参数!$D$13,0),"")</f>
        <v>21476</v>
      </c>
      <c r="G115" s="4">
        <v>258062</v>
      </c>
      <c r="H115" s="4">
        <v>5802</v>
      </c>
      <c r="I115" s="4">
        <v>8826</v>
      </c>
      <c r="J115" s="4">
        <v>23</v>
      </c>
      <c r="K115" s="4">
        <v>23</v>
      </c>
      <c r="L115" s="4">
        <f>IFERROR(INDEX(楼层配置!$D$5:$D$104,MATCH($K115,楼层配置!$B$5:$B$104,0)),"")</f>
        <v>186</v>
      </c>
      <c r="M115" s="4" t="str">
        <f>IFERROR(INDEX(_角色基线!$B$2:$B$100,MATCH($B115,_角色基线!$A$2:$A$100,0)),"")</f>
        <v>商队战斗员</v>
      </c>
      <c r="N115" s="4" t="str">
        <f>IFERROR(INDEX(_角色基线!$C$2:$C$100,MATCH($B115,_角色基线!$A$2:$A$100,0)),"")</f>
        <v>Tank</v>
      </c>
      <c r="O115" s="4">
        <f>IFERROR(INDEX(_怪物基线!$B$2:$B$501,MATCH(INT($L115),_怪物基线!$A$2:$A$501,0)),"")</f>
        <v>114957</v>
      </c>
      <c r="P115" s="4">
        <f>IFERROR(INDEX(_怪物基线!$C$2:$C$501,MATCH(INT($L115),_怪物基线!$A$2:$A$501,0)),"")</f>
        <v>10358</v>
      </c>
      <c r="Q115" s="4">
        <f>IFERROR(INDEX(_怪物基线!$D$2:$D$501,MATCH(INT($L115),_怪物基线!$A$2:$A$501,0)),"")</f>
        <v>14317</v>
      </c>
      <c r="R115" s="4">
        <f>参数!$B$10</f>
        <v>4</v>
      </c>
      <c r="S115" s="4">
        <f>参数!$C$10</f>
        <v>1.2</v>
      </c>
      <c r="T115" s="4">
        <f>参数!$D$10</f>
        <v>1</v>
      </c>
      <c r="U115" s="4">
        <f t="shared" si="7"/>
        <v>459828</v>
      </c>
      <c r="V115" s="4">
        <f t="shared" si="8"/>
        <v>12429.6</v>
      </c>
      <c r="W115" s="4">
        <f t="shared" si="9"/>
        <v>14317</v>
      </c>
      <c r="X115" s="4">
        <f>IFERROR(INDEX(参数!$B$5:$B$7,MATCH($N115,参数!$A$5:$A$7,0)),"")</f>
        <v>1.5</v>
      </c>
      <c r="Y115" s="4">
        <f>IFERROR(INDEX(参数!$C$5:$C$7,MATCH($N115,参数!$A$5:$A$7,0)),"")</f>
        <v>1</v>
      </c>
      <c r="Z115" s="4">
        <f>IFERROR(INDEX(参数!$D$5:$D$7,MATCH($N115,参数!$A$5:$A$7,0)),"")</f>
        <v>1.5</v>
      </c>
      <c r="AA115" s="4">
        <f>IFERROR(INDEX(楼层配置!$E$5:$E$104,MATCH($K115,楼层配置!$B$5:$B$104,0)),1)</f>
        <v>1</v>
      </c>
      <c r="AB115" s="4">
        <f>IFERROR(INDEX(楼层配置!$F$5:$F$104,MATCH($K115,楼层配置!$B$5:$B$104,0)),1)</f>
        <v>1</v>
      </c>
      <c r="AC115" s="4">
        <f>IFERROR(INDEX(楼层配置!$G$5:$G$104,MATCH($K115,楼层配置!$B$5:$B$104,0)),1)</f>
        <v>1</v>
      </c>
      <c r="AD115" s="6">
        <f t="shared" si="10"/>
        <v>1.67277630956902</v>
      </c>
      <c r="AE115" s="6">
        <f t="shared" si="11"/>
        <v>1.14236470182696</v>
      </c>
      <c r="AF115" s="6">
        <f t="shared" si="12"/>
        <v>1.433265352368</v>
      </c>
      <c r="AG115" s="4" t="str">
        <f t="shared" si="13"/>
        <v>有效</v>
      </c>
    </row>
    <row r="116" ht="14.25" customHeight="1" spans="1:33">
      <c r="A116" s="4">
        <v>112</v>
      </c>
      <c r="B116" s="4">
        <v>1002</v>
      </c>
      <c r="C116" s="4">
        <v>21</v>
      </c>
      <c r="D116" s="5">
        <f>IFERROR(ROUND($U116*$X116*$AA116*参数!$B$13,0),"")</f>
        <v>689742</v>
      </c>
      <c r="E116" s="5">
        <f>IFERROR(ROUND($V116*$Y116*$AB116*参数!$C$13,0),"")</f>
        <v>12430</v>
      </c>
      <c r="F116" s="5">
        <f>IFERROR(ROUND($W116*$Z116*$AC116*参数!$D$13,0),"")</f>
        <v>21476</v>
      </c>
      <c r="G116" s="4">
        <v>258062</v>
      </c>
      <c r="H116" s="4">
        <v>5802</v>
      </c>
      <c r="I116" s="4">
        <v>8826</v>
      </c>
      <c r="J116" s="4">
        <v>23</v>
      </c>
      <c r="K116" s="4">
        <v>23</v>
      </c>
      <c r="L116" s="4">
        <f>IFERROR(INDEX(楼层配置!$D$5:$D$104,MATCH($K116,楼层配置!$B$5:$B$104,0)),"")</f>
        <v>186</v>
      </c>
      <c r="M116" s="4" t="str">
        <f>IFERROR(INDEX(_角色基线!$B$2:$B$100,MATCH($B116,_角色基线!$A$2:$A$100,0)),"")</f>
        <v>大暑</v>
      </c>
      <c r="N116" s="4" t="str">
        <f>IFERROR(INDEX(_角色基线!$C$2:$C$100,MATCH($B116,_角色基线!$A$2:$A$100,0)),"")</f>
        <v>Tank</v>
      </c>
      <c r="O116" s="4">
        <f>IFERROR(INDEX(_怪物基线!$B$2:$B$501,MATCH(INT($L116),_怪物基线!$A$2:$A$501,0)),"")</f>
        <v>114957</v>
      </c>
      <c r="P116" s="4">
        <f>IFERROR(INDEX(_怪物基线!$C$2:$C$501,MATCH(INT($L116),_怪物基线!$A$2:$A$501,0)),"")</f>
        <v>10358</v>
      </c>
      <c r="Q116" s="4">
        <f>IFERROR(INDEX(_怪物基线!$D$2:$D$501,MATCH(INT($L116),_怪物基线!$A$2:$A$501,0)),"")</f>
        <v>14317</v>
      </c>
      <c r="R116" s="4">
        <f>参数!$B$10</f>
        <v>4</v>
      </c>
      <c r="S116" s="4">
        <f>参数!$C$10</f>
        <v>1.2</v>
      </c>
      <c r="T116" s="4">
        <f>参数!$D$10</f>
        <v>1</v>
      </c>
      <c r="U116" s="4">
        <f t="shared" si="7"/>
        <v>459828</v>
      </c>
      <c r="V116" s="4">
        <f t="shared" si="8"/>
        <v>12429.6</v>
      </c>
      <c r="W116" s="4">
        <f t="shared" si="9"/>
        <v>14317</v>
      </c>
      <c r="X116" s="4">
        <f>IFERROR(INDEX(参数!$B$5:$B$7,MATCH($N116,参数!$A$5:$A$7,0)),"")</f>
        <v>1.5</v>
      </c>
      <c r="Y116" s="4">
        <f>IFERROR(INDEX(参数!$C$5:$C$7,MATCH($N116,参数!$A$5:$A$7,0)),"")</f>
        <v>1</v>
      </c>
      <c r="Z116" s="4">
        <f>IFERROR(INDEX(参数!$D$5:$D$7,MATCH($N116,参数!$A$5:$A$7,0)),"")</f>
        <v>1.5</v>
      </c>
      <c r="AA116" s="4">
        <f>IFERROR(INDEX(楼层配置!$E$5:$E$104,MATCH($K116,楼层配置!$B$5:$B$104,0)),1)</f>
        <v>1</v>
      </c>
      <c r="AB116" s="4">
        <f>IFERROR(INDEX(楼层配置!$F$5:$F$104,MATCH($K116,楼层配置!$B$5:$B$104,0)),1)</f>
        <v>1</v>
      </c>
      <c r="AC116" s="4">
        <f>IFERROR(INDEX(楼层配置!$G$5:$G$104,MATCH($K116,楼层配置!$B$5:$B$104,0)),1)</f>
        <v>1</v>
      </c>
      <c r="AD116" s="6">
        <f t="shared" si="10"/>
        <v>1.67277630956902</v>
      </c>
      <c r="AE116" s="6">
        <f t="shared" si="11"/>
        <v>1.14236470182696</v>
      </c>
      <c r="AF116" s="6">
        <f t="shared" si="12"/>
        <v>1.433265352368</v>
      </c>
      <c r="AG116" s="4" t="str">
        <f t="shared" si="13"/>
        <v>有效</v>
      </c>
    </row>
    <row r="117" ht="14.25" customHeight="1" spans="1:33">
      <c r="A117" s="4">
        <v>113</v>
      </c>
      <c r="B117" s="4">
        <v>1020</v>
      </c>
      <c r="C117" s="4">
        <v>21</v>
      </c>
      <c r="D117" s="5">
        <f>IFERROR(ROUND($U117*$X117*$AA117*参数!$B$13,0),"")</f>
        <v>574785</v>
      </c>
      <c r="E117" s="5">
        <f>IFERROR(ROUND($V117*$Y117*$AB117*参数!$C$13,0),"")</f>
        <v>12430</v>
      </c>
      <c r="F117" s="5">
        <f>IFERROR(ROUND($W117*$Z117*$AC117*参数!$D$13,0),"")</f>
        <v>17896</v>
      </c>
      <c r="G117" s="4">
        <v>215052</v>
      </c>
      <c r="H117" s="4">
        <v>5802</v>
      </c>
      <c r="I117" s="4">
        <v>7355</v>
      </c>
      <c r="J117" s="4">
        <v>23</v>
      </c>
      <c r="K117" s="4">
        <v>23</v>
      </c>
      <c r="L117" s="4">
        <f>IFERROR(INDEX(楼层配置!$D$5:$D$104,MATCH($K117,楼层配置!$B$5:$B$104,0)),"")</f>
        <v>186</v>
      </c>
      <c r="M117" s="4" t="str">
        <f>IFERROR(INDEX(_角色基线!$B$2:$B$100,MATCH($B117,_角色基线!$A$2:$A$100,0)),"")</f>
        <v>卡斯帕</v>
      </c>
      <c r="N117" s="4" t="str">
        <f>IFERROR(INDEX(_角色基线!$C$2:$C$100,MATCH($B117,_角色基线!$A$2:$A$100,0)),"")</f>
        <v>Support</v>
      </c>
      <c r="O117" s="4">
        <f>IFERROR(INDEX(_怪物基线!$B$2:$B$501,MATCH(INT($L117),_怪物基线!$A$2:$A$501,0)),"")</f>
        <v>114957</v>
      </c>
      <c r="P117" s="4">
        <f>IFERROR(INDEX(_怪物基线!$C$2:$C$501,MATCH(INT($L117),_怪物基线!$A$2:$A$501,0)),"")</f>
        <v>10358</v>
      </c>
      <c r="Q117" s="4">
        <f>IFERROR(INDEX(_怪物基线!$D$2:$D$501,MATCH(INT($L117),_怪物基线!$A$2:$A$501,0)),"")</f>
        <v>14317</v>
      </c>
      <c r="R117" s="4">
        <f>参数!$B$10</f>
        <v>4</v>
      </c>
      <c r="S117" s="4">
        <f>参数!$C$10</f>
        <v>1.2</v>
      </c>
      <c r="T117" s="4">
        <f>参数!$D$10</f>
        <v>1</v>
      </c>
      <c r="U117" s="4">
        <f t="shared" si="7"/>
        <v>459828</v>
      </c>
      <c r="V117" s="4">
        <f t="shared" si="8"/>
        <v>12429.6</v>
      </c>
      <c r="W117" s="4">
        <f t="shared" si="9"/>
        <v>14317</v>
      </c>
      <c r="X117" s="4">
        <f>IFERROR(INDEX(参数!$B$5:$B$7,MATCH($N117,参数!$A$5:$A$7,0)),"")</f>
        <v>1.25</v>
      </c>
      <c r="Y117" s="4">
        <f>IFERROR(INDEX(参数!$C$5:$C$7,MATCH($N117,参数!$A$5:$A$7,0)),"")</f>
        <v>1</v>
      </c>
      <c r="Z117" s="4">
        <f>IFERROR(INDEX(参数!$D$5:$D$7,MATCH($N117,参数!$A$5:$A$7,0)),"")</f>
        <v>1.25</v>
      </c>
      <c r="AA117" s="4">
        <f>IFERROR(INDEX(楼层配置!$E$5:$E$104,MATCH($K117,楼层配置!$B$5:$B$104,0)),1)</f>
        <v>1</v>
      </c>
      <c r="AB117" s="4">
        <f>IFERROR(INDEX(楼层配置!$F$5:$F$104,MATCH($K117,楼层配置!$B$5:$B$104,0)),1)</f>
        <v>1</v>
      </c>
      <c r="AC117" s="4">
        <f>IFERROR(INDEX(楼层配置!$G$5:$G$104,MATCH($K117,楼层配置!$B$5:$B$104,0)),1)</f>
        <v>1</v>
      </c>
      <c r="AD117" s="6">
        <f t="shared" si="10"/>
        <v>1.67277216673177</v>
      </c>
      <c r="AE117" s="6">
        <f t="shared" si="11"/>
        <v>1.14236470182696</v>
      </c>
      <c r="AF117" s="6">
        <f t="shared" si="12"/>
        <v>1.4331747110809</v>
      </c>
      <c r="AG117" s="4" t="str">
        <f t="shared" si="13"/>
        <v>有效</v>
      </c>
    </row>
    <row r="118" ht="14.25" customHeight="1" spans="1:33">
      <c r="A118" s="4">
        <v>114</v>
      </c>
      <c r="B118" s="4">
        <v>1001</v>
      </c>
      <c r="C118" s="4">
        <v>21</v>
      </c>
      <c r="D118" s="5">
        <f>IFERROR(ROUND($U118*$X118*$AA118*参数!$B$13,0),"")</f>
        <v>459828</v>
      </c>
      <c r="E118" s="5">
        <f>IFERROR(ROUND($V118*$Y118*$AB118*参数!$C$13,0),"")</f>
        <v>14916</v>
      </c>
      <c r="F118" s="5">
        <f>IFERROR(ROUND($W118*$Z118*$AC118*参数!$D$13,0),"")</f>
        <v>14317</v>
      </c>
      <c r="G118" s="4">
        <v>172041</v>
      </c>
      <c r="H118" s="4">
        <v>6962</v>
      </c>
      <c r="I118" s="4">
        <v>5884</v>
      </c>
      <c r="J118" s="4">
        <v>23</v>
      </c>
      <c r="K118" s="4">
        <v>23</v>
      </c>
      <c r="L118" s="4">
        <f>IFERROR(INDEX(楼层配置!$D$5:$D$104,MATCH($K118,楼层配置!$B$5:$B$104,0)),"")</f>
        <v>186</v>
      </c>
      <c r="M118" s="4" t="str">
        <f>IFERROR(INDEX(_角色基线!$B$2:$B$100,MATCH($B118,_角色基线!$A$2:$A$100,0)),"")</f>
        <v>星海</v>
      </c>
      <c r="N118" s="4" t="str">
        <f>IFERROR(INDEX(_角色基线!$C$2:$C$100,MATCH($B118,_角色基线!$A$2:$A$100,0)),"")</f>
        <v>DPS</v>
      </c>
      <c r="O118" s="4">
        <f>IFERROR(INDEX(_怪物基线!$B$2:$B$501,MATCH(INT($L118),_怪物基线!$A$2:$A$501,0)),"")</f>
        <v>114957</v>
      </c>
      <c r="P118" s="4">
        <f>IFERROR(INDEX(_怪物基线!$C$2:$C$501,MATCH(INT($L118),_怪物基线!$A$2:$A$501,0)),"")</f>
        <v>10358</v>
      </c>
      <c r="Q118" s="4">
        <f>IFERROR(INDEX(_怪物基线!$D$2:$D$501,MATCH(INT($L118),_怪物基线!$A$2:$A$501,0)),"")</f>
        <v>14317</v>
      </c>
      <c r="R118" s="4">
        <f>参数!$B$10</f>
        <v>4</v>
      </c>
      <c r="S118" s="4">
        <f>参数!$C$10</f>
        <v>1.2</v>
      </c>
      <c r="T118" s="4">
        <f>参数!$D$10</f>
        <v>1</v>
      </c>
      <c r="U118" s="4">
        <f t="shared" si="7"/>
        <v>459828</v>
      </c>
      <c r="V118" s="4">
        <f t="shared" si="8"/>
        <v>12429.6</v>
      </c>
      <c r="W118" s="4">
        <f t="shared" si="9"/>
        <v>14317</v>
      </c>
      <c r="X118" s="4">
        <f>IFERROR(INDEX(参数!$B$5:$B$7,MATCH($N118,参数!$A$5:$A$7,0)),"")</f>
        <v>1</v>
      </c>
      <c r="Y118" s="4">
        <f>IFERROR(INDEX(参数!$C$5:$C$7,MATCH($N118,参数!$A$5:$A$7,0)),"")</f>
        <v>1.2</v>
      </c>
      <c r="Z118" s="4">
        <f>IFERROR(INDEX(参数!$D$5:$D$7,MATCH($N118,参数!$A$5:$A$7,0)),"")</f>
        <v>1</v>
      </c>
      <c r="AA118" s="4">
        <f>IFERROR(INDEX(楼层配置!$E$5:$E$104,MATCH($K118,楼层配置!$B$5:$B$104,0)),1)</f>
        <v>1</v>
      </c>
      <c r="AB118" s="4">
        <f>IFERROR(INDEX(楼层配置!$F$5:$F$104,MATCH($K118,楼层配置!$B$5:$B$104,0)),1)</f>
        <v>1</v>
      </c>
      <c r="AC118" s="4">
        <f>IFERROR(INDEX(楼层配置!$G$5:$G$104,MATCH($K118,楼层配置!$B$5:$B$104,0)),1)</f>
        <v>1</v>
      </c>
      <c r="AD118" s="6">
        <f t="shared" si="10"/>
        <v>1.67278148813364</v>
      </c>
      <c r="AE118" s="6">
        <f t="shared" si="11"/>
        <v>1.14248779086469</v>
      </c>
      <c r="AF118" s="6">
        <f t="shared" si="12"/>
        <v>1.43320870156356</v>
      </c>
      <c r="AG118" s="4" t="str">
        <f t="shared" si="13"/>
        <v>有效</v>
      </c>
    </row>
    <row r="119" ht="14.25" customHeight="1" spans="1:33">
      <c r="A119" s="4">
        <v>115</v>
      </c>
      <c r="B119" s="4">
        <v>1012</v>
      </c>
      <c r="C119" s="4">
        <v>21</v>
      </c>
      <c r="D119" s="5">
        <f>IFERROR(ROUND($U119*$X119*$AA119*参数!$B$13,0),"")</f>
        <v>574785</v>
      </c>
      <c r="E119" s="5">
        <f>IFERROR(ROUND($V119*$Y119*$AB119*参数!$C$13,0),"")</f>
        <v>12430</v>
      </c>
      <c r="F119" s="5">
        <f>IFERROR(ROUND($W119*$Z119*$AC119*参数!$D$13,0),"")</f>
        <v>17896</v>
      </c>
      <c r="G119" s="4">
        <v>215052</v>
      </c>
      <c r="H119" s="4">
        <v>5802</v>
      </c>
      <c r="I119" s="4">
        <v>7355</v>
      </c>
      <c r="J119" s="4">
        <v>23</v>
      </c>
      <c r="K119" s="4">
        <v>23</v>
      </c>
      <c r="L119" s="4">
        <f>IFERROR(INDEX(楼层配置!$D$5:$D$104,MATCH($K119,楼层配置!$B$5:$B$104,0)),"")</f>
        <v>186</v>
      </c>
      <c r="M119" s="4" t="str">
        <f>IFERROR(INDEX(_角色基线!$B$2:$B$100,MATCH($B119,_角色基线!$A$2:$A$100,0)),"")</f>
        <v>艾德琳</v>
      </c>
      <c r="N119" s="4" t="str">
        <f>IFERROR(INDEX(_角色基线!$C$2:$C$100,MATCH($B119,_角色基线!$A$2:$A$100,0)),"")</f>
        <v>Support</v>
      </c>
      <c r="O119" s="4">
        <f>IFERROR(INDEX(_怪物基线!$B$2:$B$501,MATCH(INT($L119),_怪物基线!$A$2:$A$501,0)),"")</f>
        <v>114957</v>
      </c>
      <c r="P119" s="4">
        <f>IFERROR(INDEX(_怪物基线!$C$2:$C$501,MATCH(INT($L119),_怪物基线!$A$2:$A$501,0)),"")</f>
        <v>10358</v>
      </c>
      <c r="Q119" s="4">
        <f>IFERROR(INDEX(_怪物基线!$D$2:$D$501,MATCH(INT($L119),_怪物基线!$A$2:$A$501,0)),"")</f>
        <v>14317</v>
      </c>
      <c r="R119" s="4">
        <f>参数!$B$10</f>
        <v>4</v>
      </c>
      <c r="S119" s="4">
        <f>参数!$C$10</f>
        <v>1.2</v>
      </c>
      <c r="T119" s="4">
        <f>参数!$D$10</f>
        <v>1</v>
      </c>
      <c r="U119" s="4">
        <f t="shared" si="7"/>
        <v>459828</v>
      </c>
      <c r="V119" s="4">
        <f t="shared" si="8"/>
        <v>12429.6</v>
      </c>
      <c r="W119" s="4">
        <f t="shared" si="9"/>
        <v>14317</v>
      </c>
      <c r="X119" s="4">
        <f>IFERROR(INDEX(参数!$B$5:$B$7,MATCH($N119,参数!$A$5:$A$7,0)),"")</f>
        <v>1.25</v>
      </c>
      <c r="Y119" s="4">
        <f>IFERROR(INDEX(参数!$C$5:$C$7,MATCH($N119,参数!$A$5:$A$7,0)),"")</f>
        <v>1</v>
      </c>
      <c r="Z119" s="4">
        <f>IFERROR(INDEX(参数!$D$5:$D$7,MATCH($N119,参数!$A$5:$A$7,0)),"")</f>
        <v>1.25</v>
      </c>
      <c r="AA119" s="4">
        <f>IFERROR(INDEX(楼层配置!$E$5:$E$104,MATCH($K119,楼层配置!$B$5:$B$104,0)),1)</f>
        <v>1</v>
      </c>
      <c r="AB119" s="4">
        <f>IFERROR(INDEX(楼层配置!$F$5:$F$104,MATCH($K119,楼层配置!$B$5:$B$104,0)),1)</f>
        <v>1</v>
      </c>
      <c r="AC119" s="4">
        <f>IFERROR(INDEX(楼层配置!$G$5:$G$104,MATCH($K119,楼层配置!$B$5:$B$104,0)),1)</f>
        <v>1</v>
      </c>
      <c r="AD119" s="6">
        <f t="shared" si="10"/>
        <v>1.67277216673177</v>
      </c>
      <c r="AE119" s="6">
        <f t="shared" si="11"/>
        <v>1.14236470182696</v>
      </c>
      <c r="AF119" s="6">
        <f t="shared" si="12"/>
        <v>1.4331747110809</v>
      </c>
      <c r="AG119" s="4" t="str">
        <f t="shared" si="13"/>
        <v>有效</v>
      </c>
    </row>
    <row r="120" ht="14.25" customHeight="1" spans="1:33">
      <c r="A120" s="4">
        <v>116</v>
      </c>
      <c r="B120" s="4">
        <v>1002</v>
      </c>
      <c r="C120" s="4">
        <v>22</v>
      </c>
      <c r="D120" s="5">
        <f>IFERROR(ROUND($U120*$X120*$AA120*参数!$B$13,0),"")</f>
        <v>752352</v>
      </c>
      <c r="E120" s="5">
        <f>IFERROR(ROUND($V120*$Y120*$AB120*参数!$C$13,0),"")</f>
        <v>13163</v>
      </c>
      <c r="F120" s="5">
        <f>IFERROR(ROUND($W120*$Z120*$AC120*参数!$D$13,0),"")</f>
        <v>22514</v>
      </c>
      <c r="G120" s="4">
        <v>277228</v>
      </c>
      <c r="H120" s="4">
        <v>6083</v>
      </c>
      <c r="I120" s="4">
        <v>9213</v>
      </c>
      <c r="J120" s="4">
        <v>24</v>
      </c>
      <c r="K120" s="4">
        <v>24</v>
      </c>
      <c r="L120" s="4">
        <f>IFERROR(INDEX(楼层配置!$D$5:$D$104,MATCH($K120,楼层配置!$B$5:$B$104,0)),"")</f>
        <v>193</v>
      </c>
      <c r="M120" s="4" t="str">
        <f>IFERROR(INDEX(_角色基线!$B$2:$B$100,MATCH($B120,_角色基线!$A$2:$A$100,0)),"")</f>
        <v>大暑</v>
      </c>
      <c r="N120" s="4" t="str">
        <f>IFERROR(INDEX(_角色基线!$C$2:$C$100,MATCH($B120,_角色基线!$A$2:$A$100,0)),"")</f>
        <v>Tank</v>
      </c>
      <c r="O120" s="4">
        <f>IFERROR(INDEX(_怪物基线!$B$2:$B$501,MATCH(INT($L120),_怪物基线!$A$2:$A$501,0)),"")</f>
        <v>125392</v>
      </c>
      <c r="P120" s="4">
        <f>IFERROR(INDEX(_怪物基线!$C$2:$C$501,MATCH(INT($L120),_怪物基线!$A$2:$A$501,0)),"")</f>
        <v>10969</v>
      </c>
      <c r="Q120" s="4">
        <f>IFERROR(INDEX(_怪物基线!$D$2:$D$501,MATCH(INT($L120),_怪物基线!$A$2:$A$501,0)),"")</f>
        <v>15009</v>
      </c>
      <c r="R120" s="4">
        <f>参数!$B$10</f>
        <v>4</v>
      </c>
      <c r="S120" s="4">
        <f>参数!$C$10</f>
        <v>1.2</v>
      </c>
      <c r="T120" s="4">
        <f>参数!$D$10</f>
        <v>1</v>
      </c>
      <c r="U120" s="4">
        <f t="shared" si="7"/>
        <v>501568</v>
      </c>
      <c r="V120" s="4">
        <f t="shared" si="8"/>
        <v>13162.8</v>
      </c>
      <c r="W120" s="4">
        <f t="shared" si="9"/>
        <v>15009</v>
      </c>
      <c r="X120" s="4">
        <f>IFERROR(INDEX(参数!$B$5:$B$7,MATCH($N120,参数!$A$5:$A$7,0)),"")</f>
        <v>1.5</v>
      </c>
      <c r="Y120" s="4">
        <f>IFERROR(INDEX(参数!$C$5:$C$7,MATCH($N120,参数!$A$5:$A$7,0)),"")</f>
        <v>1</v>
      </c>
      <c r="Z120" s="4">
        <f>IFERROR(INDEX(参数!$D$5:$D$7,MATCH($N120,参数!$A$5:$A$7,0)),"")</f>
        <v>1.5</v>
      </c>
      <c r="AA120" s="4">
        <f>IFERROR(INDEX(楼层配置!$E$5:$E$104,MATCH($K120,楼层配置!$B$5:$B$104,0)),1)</f>
        <v>1</v>
      </c>
      <c r="AB120" s="4">
        <f>IFERROR(INDEX(楼层配置!$F$5:$F$104,MATCH($K120,楼层配置!$B$5:$B$104,0)),1)</f>
        <v>1</v>
      </c>
      <c r="AC120" s="4">
        <f>IFERROR(INDEX(楼层配置!$G$5:$G$104,MATCH($K120,楼层配置!$B$5:$B$104,0)),1)</f>
        <v>1</v>
      </c>
      <c r="AD120" s="6">
        <f t="shared" si="10"/>
        <v>1.71383842901871</v>
      </c>
      <c r="AE120" s="6">
        <f t="shared" si="11"/>
        <v>1.16389939174749</v>
      </c>
      <c r="AF120" s="6">
        <f t="shared" si="12"/>
        <v>1.443720829263</v>
      </c>
      <c r="AG120" s="4" t="str">
        <f t="shared" si="13"/>
        <v>有效</v>
      </c>
    </row>
    <row r="121" ht="14.25" customHeight="1" spans="1:33">
      <c r="A121" s="4">
        <v>117</v>
      </c>
      <c r="B121" s="4">
        <v>1018</v>
      </c>
      <c r="C121" s="4">
        <v>22</v>
      </c>
      <c r="D121" s="5">
        <f>IFERROR(ROUND($U121*$X121*$AA121*参数!$B$13,0),"")</f>
        <v>626960</v>
      </c>
      <c r="E121" s="5">
        <f>IFERROR(ROUND($V121*$Y121*$AB121*参数!$C$13,0),"")</f>
        <v>13163</v>
      </c>
      <c r="F121" s="5">
        <f>IFERROR(ROUND($W121*$Z121*$AC121*参数!$D$13,0),"")</f>
        <v>18761</v>
      </c>
      <c r="G121" s="4">
        <v>231024</v>
      </c>
      <c r="H121" s="4">
        <v>6083</v>
      </c>
      <c r="I121" s="4">
        <v>7678</v>
      </c>
      <c r="J121" s="4">
        <v>24</v>
      </c>
      <c r="K121" s="4">
        <v>24</v>
      </c>
      <c r="L121" s="4">
        <f>IFERROR(INDEX(楼层配置!$D$5:$D$104,MATCH($K121,楼层配置!$B$5:$B$104,0)),"")</f>
        <v>193</v>
      </c>
      <c r="M121" s="4" t="str">
        <f>IFERROR(INDEX(_角色基线!$B$2:$B$100,MATCH($B121,_角色基线!$A$2:$A$100,0)),"")</f>
        <v>埃莉诺</v>
      </c>
      <c r="N121" s="4" t="str">
        <f>IFERROR(INDEX(_角色基线!$C$2:$C$100,MATCH($B121,_角色基线!$A$2:$A$100,0)),"")</f>
        <v>Support</v>
      </c>
      <c r="O121" s="4">
        <f>IFERROR(INDEX(_怪物基线!$B$2:$B$501,MATCH(INT($L121),_怪物基线!$A$2:$A$501,0)),"")</f>
        <v>125392</v>
      </c>
      <c r="P121" s="4">
        <f>IFERROR(INDEX(_怪物基线!$C$2:$C$501,MATCH(INT($L121),_怪物基线!$A$2:$A$501,0)),"")</f>
        <v>10969</v>
      </c>
      <c r="Q121" s="4">
        <f>IFERROR(INDEX(_怪物基线!$D$2:$D$501,MATCH(INT($L121),_怪物基线!$A$2:$A$501,0)),"")</f>
        <v>15009</v>
      </c>
      <c r="R121" s="4">
        <f>参数!$B$10</f>
        <v>4</v>
      </c>
      <c r="S121" s="4">
        <f>参数!$C$10</f>
        <v>1.2</v>
      </c>
      <c r="T121" s="4">
        <f>参数!$D$10</f>
        <v>1</v>
      </c>
      <c r="U121" s="4">
        <f t="shared" si="7"/>
        <v>501568</v>
      </c>
      <c r="V121" s="4">
        <f t="shared" si="8"/>
        <v>13162.8</v>
      </c>
      <c r="W121" s="4">
        <f t="shared" si="9"/>
        <v>15009</v>
      </c>
      <c r="X121" s="4">
        <f>IFERROR(INDEX(参数!$B$5:$B$7,MATCH($N121,参数!$A$5:$A$7,0)),"")</f>
        <v>1.25</v>
      </c>
      <c r="Y121" s="4">
        <f>IFERROR(INDEX(参数!$C$5:$C$7,MATCH($N121,参数!$A$5:$A$7,0)),"")</f>
        <v>1</v>
      </c>
      <c r="Z121" s="4">
        <f>IFERROR(INDEX(参数!$D$5:$D$7,MATCH($N121,参数!$A$5:$A$7,0)),"")</f>
        <v>1.25</v>
      </c>
      <c r="AA121" s="4">
        <f>IFERROR(INDEX(楼层配置!$E$5:$E$104,MATCH($K121,楼层配置!$B$5:$B$104,0)),1)</f>
        <v>1</v>
      </c>
      <c r="AB121" s="4">
        <f>IFERROR(INDEX(楼层配置!$F$5:$F$104,MATCH($K121,楼层配置!$B$5:$B$104,0)),1)</f>
        <v>1</v>
      </c>
      <c r="AC121" s="4">
        <f>IFERROR(INDEX(楼层配置!$G$5:$G$104,MATCH($K121,楼层配置!$B$5:$B$104,0)),1)</f>
        <v>1</v>
      </c>
      <c r="AD121" s="6">
        <f t="shared" si="10"/>
        <v>1.71383059768682</v>
      </c>
      <c r="AE121" s="6">
        <f t="shared" si="11"/>
        <v>1.16389939174749</v>
      </c>
      <c r="AF121" s="6">
        <f t="shared" si="12"/>
        <v>1.44347486324564</v>
      </c>
      <c r="AG121" s="4" t="str">
        <f t="shared" si="13"/>
        <v>有效</v>
      </c>
    </row>
    <row r="122" ht="14.25" customHeight="1" spans="1:33">
      <c r="A122" s="4">
        <v>118</v>
      </c>
      <c r="B122" s="4">
        <v>1015</v>
      </c>
      <c r="C122" s="4">
        <v>22</v>
      </c>
      <c r="D122" s="5">
        <f>IFERROR(ROUND($U122*$X122*$AA122*参数!$B$13,0),"")</f>
        <v>626960</v>
      </c>
      <c r="E122" s="5">
        <f>IFERROR(ROUND($V122*$Y122*$AB122*参数!$C$13,0),"")</f>
        <v>13163</v>
      </c>
      <c r="F122" s="5">
        <f>IFERROR(ROUND($W122*$Z122*$AC122*参数!$D$13,0),"")</f>
        <v>18761</v>
      </c>
      <c r="G122" s="4">
        <v>231024</v>
      </c>
      <c r="H122" s="4">
        <v>6083</v>
      </c>
      <c r="I122" s="4">
        <v>7678</v>
      </c>
      <c r="J122" s="4">
        <v>24</v>
      </c>
      <c r="K122" s="4">
        <v>24</v>
      </c>
      <c r="L122" s="4">
        <f>IFERROR(INDEX(楼层配置!$D$5:$D$104,MATCH($K122,楼层配置!$B$5:$B$104,0)),"")</f>
        <v>193</v>
      </c>
      <c r="M122" s="4" t="str">
        <f>IFERROR(INDEX(_角色基线!$B$2:$B$100,MATCH($B122,_角色基线!$A$2:$A$100,0)),"")</f>
        <v>阿莱克西娅</v>
      </c>
      <c r="N122" s="4" t="str">
        <f>IFERROR(INDEX(_角色基线!$C$2:$C$100,MATCH($B122,_角色基线!$A$2:$A$100,0)),"")</f>
        <v>Support</v>
      </c>
      <c r="O122" s="4">
        <f>IFERROR(INDEX(_怪物基线!$B$2:$B$501,MATCH(INT($L122),_怪物基线!$A$2:$A$501,0)),"")</f>
        <v>125392</v>
      </c>
      <c r="P122" s="4">
        <f>IFERROR(INDEX(_怪物基线!$C$2:$C$501,MATCH(INT($L122),_怪物基线!$A$2:$A$501,0)),"")</f>
        <v>10969</v>
      </c>
      <c r="Q122" s="4">
        <f>IFERROR(INDEX(_怪物基线!$D$2:$D$501,MATCH(INT($L122),_怪物基线!$A$2:$A$501,0)),"")</f>
        <v>15009</v>
      </c>
      <c r="R122" s="4">
        <f>参数!$B$10</f>
        <v>4</v>
      </c>
      <c r="S122" s="4">
        <f>参数!$C$10</f>
        <v>1.2</v>
      </c>
      <c r="T122" s="4">
        <f>参数!$D$10</f>
        <v>1</v>
      </c>
      <c r="U122" s="4">
        <f t="shared" si="7"/>
        <v>501568</v>
      </c>
      <c r="V122" s="4">
        <f t="shared" si="8"/>
        <v>13162.8</v>
      </c>
      <c r="W122" s="4">
        <f t="shared" si="9"/>
        <v>15009</v>
      </c>
      <c r="X122" s="4">
        <f>IFERROR(INDEX(参数!$B$5:$B$7,MATCH($N122,参数!$A$5:$A$7,0)),"")</f>
        <v>1.25</v>
      </c>
      <c r="Y122" s="4">
        <f>IFERROR(INDEX(参数!$C$5:$C$7,MATCH($N122,参数!$A$5:$A$7,0)),"")</f>
        <v>1</v>
      </c>
      <c r="Z122" s="4">
        <f>IFERROR(INDEX(参数!$D$5:$D$7,MATCH($N122,参数!$A$5:$A$7,0)),"")</f>
        <v>1.25</v>
      </c>
      <c r="AA122" s="4">
        <f>IFERROR(INDEX(楼层配置!$E$5:$E$104,MATCH($K122,楼层配置!$B$5:$B$104,0)),1)</f>
        <v>1</v>
      </c>
      <c r="AB122" s="4">
        <f>IFERROR(INDEX(楼层配置!$F$5:$F$104,MATCH($K122,楼层配置!$B$5:$B$104,0)),1)</f>
        <v>1</v>
      </c>
      <c r="AC122" s="4">
        <f>IFERROR(INDEX(楼层配置!$G$5:$G$104,MATCH($K122,楼层配置!$B$5:$B$104,0)),1)</f>
        <v>1</v>
      </c>
      <c r="AD122" s="6">
        <f t="shared" si="10"/>
        <v>1.71383059768682</v>
      </c>
      <c r="AE122" s="6">
        <f t="shared" si="11"/>
        <v>1.16389939174749</v>
      </c>
      <c r="AF122" s="6">
        <f t="shared" si="12"/>
        <v>1.44347486324564</v>
      </c>
      <c r="AG122" s="4" t="str">
        <f t="shared" si="13"/>
        <v>有效</v>
      </c>
    </row>
    <row r="123" ht="14.25" customHeight="1" spans="1:33">
      <c r="A123" s="4">
        <v>119</v>
      </c>
      <c r="B123" s="4">
        <v>1018</v>
      </c>
      <c r="C123" s="4">
        <v>22</v>
      </c>
      <c r="D123" s="5">
        <f>IFERROR(ROUND($U123*$X123*$AA123*参数!$B$13,0),"")</f>
        <v>626960</v>
      </c>
      <c r="E123" s="5">
        <f>IFERROR(ROUND($V123*$Y123*$AB123*参数!$C$13,0),"")</f>
        <v>13163</v>
      </c>
      <c r="F123" s="5">
        <f>IFERROR(ROUND($W123*$Z123*$AC123*参数!$D$13,0),"")</f>
        <v>18761</v>
      </c>
      <c r="G123" s="4">
        <v>231024</v>
      </c>
      <c r="H123" s="4">
        <v>6083</v>
      </c>
      <c r="I123" s="4">
        <v>7678</v>
      </c>
      <c r="J123" s="4">
        <v>24</v>
      </c>
      <c r="K123" s="4">
        <v>24</v>
      </c>
      <c r="L123" s="4">
        <f>IFERROR(INDEX(楼层配置!$D$5:$D$104,MATCH($K123,楼层配置!$B$5:$B$104,0)),"")</f>
        <v>193</v>
      </c>
      <c r="M123" s="4" t="str">
        <f>IFERROR(INDEX(_角色基线!$B$2:$B$100,MATCH($B123,_角色基线!$A$2:$A$100,0)),"")</f>
        <v>埃莉诺</v>
      </c>
      <c r="N123" s="4" t="str">
        <f>IFERROR(INDEX(_角色基线!$C$2:$C$100,MATCH($B123,_角色基线!$A$2:$A$100,0)),"")</f>
        <v>Support</v>
      </c>
      <c r="O123" s="4">
        <f>IFERROR(INDEX(_怪物基线!$B$2:$B$501,MATCH(INT($L123),_怪物基线!$A$2:$A$501,0)),"")</f>
        <v>125392</v>
      </c>
      <c r="P123" s="4">
        <f>IFERROR(INDEX(_怪物基线!$C$2:$C$501,MATCH(INT($L123),_怪物基线!$A$2:$A$501,0)),"")</f>
        <v>10969</v>
      </c>
      <c r="Q123" s="4">
        <f>IFERROR(INDEX(_怪物基线!$D$2:$D$501,MATCH(INT($L123),_怪物基线!$A$2:$A$501,0)),"")</f>
        <v>15009</v>
      </c>
      <c r="R123" s="4">
        <f>参数!$B$10</f>
        <v>4</v>
      </c>
      <c r="S123" s="4">
        <f>参数!$C$10</f>
        <v>1.2</v>
      </c>
      <c r="T123" s="4">
        <f>参数!$D$10</f>
        <v>1</v>
      </c>
      <c r="U123" s="4">
        <f t="shared" si="7"/>
        <v>501568</v>
      </c>
      <c r="V123" s="4">
        <f t="shared" si="8"/>
        <v>13162.8</v>
      </c>
      <c r="W123" s="4">
        <f t="shared" si="9"/>
        <v>15009</v>
      </c>
      <c r="X123" s="4">
        <f>IFERROR(INDEX(参数!$B$5:$B$7,MATCH($N123,参数!$A$5:$A$7,0)),"")</f>
        <v>1.25</v>
      </c>
      <c r="Y123" s="4">
        <f>IFERROR(INDEX(参数!$C$5:$C$7,MATCH($N123,参数!$A$5:$A$7,0)),"")</f>
        <v>1</v>
      </c>
      <c r="Z123" s="4">
        <f>IFERROR(INDEX(参数!$D$5:$D$7,MATCH($N123,参数!$A$5:$A$7,0)),"")</f>
        <v>1.25</v>
      </c>
      <c r="AA123" s="4">
        <f>IFERROR(INDEX(楼层配置!$E$5:$E$104,MATCH($K123,楼层配置!$B$5:$B$104,0)),1)</f>
        <v>1</v>
      </c>
      <c r="AB123" s="4">
        <f>IFERROR(INDEX(楼层配置!$F$5:$F$104,MATCH($K123,楼层配置!$B$5:$B$104,0)),1)</f>
        <v>1</v>
      </c>
      <c r="AC123" s="4">
        <f>IFERROR(INDEX(楼层配置!$G$5:$G$104,MATCH($K123,楼层配置!$B$5:$B$104,0)),1)</f>
        <v>1</v>
      </c>
      <c r="AD123" s="6">
        <f t="shared" si="10"/>
        <v>1.71383059768682</v>
      </c>
      <c r="AE123" s="6">
        <f t="shared" si="11"/>
        <v>1.16389939174749</v>
      </c>
      <c r="AF123" s="6">
        <f t="shared" si="12"/>
        <v>1.44347486324564</v>
      </c>
      <c r="AG123" s="4" t="str">
        <f t="shared" si="13"/>
        <v>有效</v>
      </c>
    </row>
    <row r="124" ht="14.25" customHeight="1" spans="1:33">
      <c r="A124" s="4">
        <v>120</v>
      </c>
      <c r="B124" s="4">
        <v>1012</v>
      </c>
      <c r="C124" s="4">
        <v>22</v>
      </c>
      <c r="D124" s="5">
        <f>IFERROR(ROUND($U124*$X124*$AA124*参数!$B$13,0),"")</f>
        <v>626960</v>
      </c>
      <c r="E124" s="5">
        <f>IFERROR(ROUND($V124*$Y124*$AB124*参数!$C$13,0),"")</f>
        <v>13163</v>
      </c>
      <c r="F124" s="5">
        <f>IFERROR(ROUND($W124*$Z124*$AC124*参数!$D$13,0),"")</f>
        <v>18761</v>
      </c>
      <c r="G124" s="4">
        <v>231024</v>
      </c>
      <c r="H124" s="4">
        <v>6083</v>
      </c>
      <c r="I124" s="4">
        <v>7678</v>
      </c>
      <c r="J124" s="4">
        <v>24</v>
      </c>
      <c r="K124" s="4">
        <v>24</v>
      </c>
      <c r="L124" s="4">
        <f>IFERROR(INDEX(楼层配置!$D$5:$D$104,MATCH($K124,楼层配置!$B$5:$B$104,0)),"")</f>
        <v>193</v>
      </c>
      <c r="M124" s="4" t="str">
        <f>IFERROR(INDEX(_角色基线!$B$2:$B$100,MATCH($B124,_角色基线!$A$2:$A$100,0)),"")</f>
        <v>艾德琳</v>
      </c>
      <c r="N124" s="4" t="str">
        <f>IFERROR(INDEX(_角色基线!$C$2:$C$100,MATCH($B124,_角色基线!$A$2:$A$100,0)),"")</f>
        <v>Support</v>
      </c>
      <c r="O124" s="4">
        <f>IFERROR(INDEX(_怪物基线!$B$2:$B$501,MATCH(INT($L124),_怪物基线!$A$2:$A$501,0)),"")</f>
        <v>125392</v>
      </c>
      <c r="P124" s="4">
        <f>IFERROR(INDEX(_怪物基线!$C$2:$C$501,MATCH(INT($L124),_怪物基线!$A$2:$A$501,0)),"")</f>
        <v>10969</v>
      </c>
      <c r="Q124" s="4">
        <f>IFERROR(INDEX(_怪物基线!$D$2:$D$501,MATCH(INT($L124),_怪物基线!$A$2:$A$501,0)),"")</f>
        <v>15009</v>
      </c>
      <c r="R124" s="4">
        <f>参数!$B$10</f>
        <v>4</v>
      </c>
      <c r="S124" s="4">
        <f>参数!$C$10</f>
        <v>1.2</v>
      </c>
      <c r="T124" s="4">
        <f>参数!$D$10</f>
        <v>1</v>
      </c>
      <c r="U124" s="4">
        <f t="shared" si="7"/>
        <v>501568</v>
      </c>
      <c r="V124" s="4">
        <f t="shared" si="8"/>
        <v>13162.8</v>
      </c>
      <c r="W124" s="4">
        <f t="shared" si="9"/>
        <v>15009</v>
      </c>
      <c r="X124" s="4">
        <f>IFERROR(INDEX(参数!$B$5:$B$7,MATCH($N124,参数!$A$5:$A$7,0)),"")</f>
        <v>1.25</v>
      </c>
      <c r="Y124" s="4">
        <f>IFERROR(INDEX(参数!$C$5:$C$7,MATCH($N124,参数!$A$5:$A$7,0)),"")</f>
        <v>1</v>
      </c>
      <c r="Z124" s="4">
        <f>IFERROR(INDEX(参数!$D$5:$D$7,MATCH($N124,参数!$A$5:$A$7,0)),"")</f>
        <v>1.25</v>
      </c>
      <c r="AA124" s="4">
        <f>IFERROR(INDEX(楼层配置!$E$5:$E$104,MATCH($K124,楼层配置!$B$5:$B$104,0)),1)</f>
        <v>1</v>
      </c>
      <c r="AB124" s="4">
        <f>IFERROR(INDEX(楼层配置!$F$5:$F$104,MATCH($K124,楼层配置!$B$5:$B$104,0)),1)</f>
        <v>1</v>
      </c>
      <c r="AC124" s="4">
        <f>IFERROR(INDEX(楼层配置!$G$5:$G$104,MATCH($K124,楼层配置!$B$5:$B$104,0)),1)</f>
        <v>1</v>
      </c>
      <c r="AD124" s="6">
        <f t="shared" si="10"/>
        <v>1.71383059768682</v>
      </c>
      <c r="AE124" s="6">
        <f t="shared" si="11"/>
        <v>1.16389939174749</v>
      </c>
      <c r="AF124" s="6">
        <f t="shared" si="12"/>
        <v>1.44347486324564</v>
      </c>
      <c r="AG124" s="4" t="str">
        <f t="shared" si="13"/>
        <v>有效</v>
      </c>
    </row>
    <row r="125" ht="14.25" customHeight="1" spans="1:33">
      <c r="A125" s="4">
        <v>121</v>
      </c>
      <c r="B125" s="4">
        <v>1002</v>
      </c>
      <c r="C125" s="4">
        <v>22</v>
      </c>
      <c r="D125" s="5">
        <f>IFERROR(ROUND($U125*$X125*$AA125*参数!$B$13,0),"")</f>
        <v>799470</v>
      </c>
      <c r="E125" s="5">
        <f>IFERROR(ROUND($V125*$Y125*$AB125*参数!$C$13,0),"")</f>
        <v>13702</v>
      </c>
      <c r="F125" s="5">
        <f>IFERROR(ROUND($W125*$Z125*$AC125*参数!$D$13,0),"")</f>
        <v>23267</v>
      </c>
      <c r="G125" s="4">
        <v>297316</v>
      </c>
      <c r="H125" s="4">
        <v>6370</v>
      </c>
      <c r="I125" s="4">
        <v>9606</v>
      </c>
      <c r="J125" s="4">
        <v>25</v>
      </c>
      <c r="K125" s="4">
        <v>25</v>
      </c>
      <c r="L125" s="4">
        <f>IFERROR(INDEX(楼层配置!$D$5:$D$104,MATCH($K125,楼层配置!$B$5:$B$104,0)),"")</f>
        <v>198</v>
      </c>
      <c r="M125" s="4" t="str">
        <f>IFERROR(INDEX(_角色基线!$B$2:$B$100,MATCH($B125,_角色基线!$A$2:$A$100,0)),"")</f>
        <v>大暑</v>
      </c>
      <c r="N125" s="4" t="str">
        <f>IFERROR(INDEX(_角色基线!$C$2:$C$100,MATCH($B125,_角色基线!$A$2:$A$100,0)),"")</f>
        <v>Tank</v>
      </c>
      <c r="O125" s="4">
        <f>IFERROR(INDEX(_怪物基线!$B$2:$B$501,MATCH(INT($L125),_怪物基线!$A$2:$A$501,0)),"")</f>
        <v>133245</v>
      </c>
      <c r="P125" s="4">
        <f>IFERROR(INDEX(_怪物基线!$C$2:$C$501,MATCH(INT($L125),_怪物基线!$A$2:$A$501,0)),"")</f>
        <v>11418</v>
      </c>
      <c r="Q125" s="4">
        <f>IFERROR(INDEX(_怪物基线!$D$2:$D$501,MATCH(INT($L125),_怪物基线!$A$2:$A$501,0)),"")</f>
        <v>15511</v>
      </c>
      <c r="R125" s="4">
        <f>参数!$B$10</f>
        <v>4</v>
      </c>
      <c r="S125" s="4">
        <f>参数!$C$10</f>
        <v>1.2</v>
      </c>
      <c r="T125" s="4">
        <f>参数!$D$10</f>
        <v>1</v>
      </c>
      <c r="U125" s="4">
        <f t="shared" si="7"/>
        <v>532980</v>
      </c>
      <c r="V125" s="4">
        <f t="shared" si="8"/>
        <v>13701.6</v>
      </c>
      <c r="W125" s="4">
        <f t="shared" si="9"/>
        <v>15511</v>
      </c>
      <c r="X125" s="4">
        <f>IFERROR(INDEX(参数!$B$5:$B$7,MATCH($N125,参数!$A$5:$A$7,0)),"")</f>
        <v>1.5</v>
      </c>
      <c r="Y125" s="4">
        <f>IFERROR(INDEX(参数!$C$5:$C$7,MATCH($N125,参数!$A$5:$A$7,0)),"")</f>
        <v>1</v>
      </c>
      <c r="Z125" s="4">
        <f>IFERROR(INDEX(参数!$D$5:$D$7,MATCH($N125,参数!$A$5:$A$7,0)),"")</f>
        <v>1.5</v>
      </c>
      <c r="AA125" s="4">
        <f>IFERROR(INDEX(楼层配置!$E$5:$E$104,MATCH($K125,楼层配置!$B$5:$B$104,0)),1)</f>
        <v>1</v>
      </c>
      <c r="AB125" s="4">
        <f>IFERROR(INDEX(楼层配置!$F$5:$F$104,MATCH($K125,楼层配置!$B$5:$B$104,0)),1)</f>
        <v>1</v>
      </c>
      <c r="AC125" s="4">
        <f>IFERROR(INDEX(楼层配置!$G$5:$G$104,MATCH($K125,楼层配置!$B$5:$B$104,0)),1)</f>
        <v>1</v>
      </c>
      <c r="AD125" s="6">
        <f t="shared" si="10"/>
        <v>1.68895720378318</v>
      </c>
      <c r="AE125" s="6">
        <f t="shared" si="11"/>
        <v>1.15102040816327</v>
      </c>
      <c r="AF125" s="6">
        <f t="shared" si="12"/>
        <v>1.42213200083281</v>
      </c>
      <c r="AG125" s="4" t="str">
        <f t="shared" si="13"/>
        <v>有效</v>
      </c>
    </row>
    <row r="126" ht="14.25" customHeight="1" spans="1:33">
      <c r="A126" s="4">
        <v>122</v>
      </c>
      <c r="B126" s="4">
        <v>1014</v>
      </c>
      <c r="C126" s="4">
        <v>22</v>
      </c>
      <c r="D126" s="5">
        <f>IFERROR(ROUND($U126*$X126*$AA126*参数!$B$13,0),"")</f>
        <v>532980</v>
      </c>
      <c r="E126" s="5">
        <f>IFERROR(ROUND($V126*$Y126*$AB126*参数!$C$13,0),"")</f>
        <v>16442</v>
      </c>
      <c r="F126" s="5">
        <f>IFERROR(ROUND($W126*$Z126*$AC126*参数!$D$13,0),"")</f>
        <v>15511</v>
      </c>
      <c r="G126" s="4">
        <v>198211</v>
      </c>
      <c r="H126" s="4">
        <v>7644</v>
      </c>
      <c r="I126" s="4">
        <v>6404</v>
      </c>
      <c r="J126" s="4">
        <v>25</v>
      </c>
      <c r="K126" s="4">
        <v>25</v>
      </c>
      <c r="L126" s="4">
        <f>IFERROR(INDEX(楼层配置!$D$5:$D$104,MATCH($K126,楼层配置!$B$5:$B$104,0)),"")</f>
        <v>198</v>
      </c>
      <c r="M126" s="4" t="str">
        <f>IFERROR(INDEX(_角色基线!$B$2:$B$100,MATCH($B126,_角色基线!$A$2:$A$100,0)),"")</f>
        <v>克莉丝汀</v>
      </c>
      <c r="N126" s="4" t="str">
        <f>IFERROR(INDEX(_角色基线!$C$2:$C$100,MATCH($B126,_角色基线!$A$2:$A$100,0)),"")</f>
        <v>DPS</v>
      </c>
      <c r="O126" s="4">
        <f>IFERROR(INDEX(_怪物基线!$B$2:$B$501,MATCH(INT($L126),_怪物基线!$A$2:$A$501,0)),"")</f>
        <v>133245</v>
      </c>
      <c r="P126" s="4">
        <f>IFERROR(INDEX(_怪物基线!$C$2:$C$501,MATCH(INT($L126),_怪物基线!$A$2:$A$501,0)),"")</f>
        <v>11418</v>
      </c>
      <c r="Q126" s="4">
        <f>IFERROR(INDEX(_怪物基线!$D$2:$D$501,MATCH(INT($L126),_怪物基线!$A$2:$A$501,0)),"")</f>
        <v>15511</v>
      </c>
      <c r="R126" s="4">
        <f>参数!$B$10</f>
        <v>4</v>
      </c>
      <c r="S126" s="4">
        <f>参数!$C$10</f>
        <v>1.2</v>
      </c>
      <c r="T126" s="4">
        <f>参数!$D$10</f>
        <v>1</v>
      </c>
      <c r="U126" s="4">
        <f t="shared" si="7"/>
        <v>532980</v>
      </c>
      <c r="V126" s="4">
        <f t="shared" si="8"/>
        <v>13701.6</v>
      </c>
      <c r="W126" s="4">
        <f t="shared" si="9"/>
        <v>15511</v>
      </c>
      <c r="X126" s="4">
        <f>IFERROR(INDEX(参数!$B$5:$B$7,MATCH($N126,参数!$A$5:$A$7,0)),"")</f>
        <v>1</v>
      </c>
      <c r="Y126" s="4">
        <f>IFERROR(INDEX(参数!$C$5:$C$7,MATCH($N126,参数!$A$5:$A$7,0)),"")</f>
        <v>1.2</v>
      </c>
      <c r="Z126" s="4">
        <f>IFERROR(INDEX(参数!$D$5:$D$7,MATCH($N126,参数!$A$5:$A$7,0)),"")</f>
        <v>1</v>
      </c>
      <c r="AA126" s="4">
        <f>IFERROR(INDEX(楼层配置!$E$5:$E$104,MATCH($K126,楼层配置!$B$5:$B$104,0)),1)</f>
        <v>1</v>
      </c>
      <c r="AB126" s="4">
        <f>IFERROR(INDEX(楼层配置!$F$5:$F$104,MATCH($K126,楼层配置!$B$5:$B$104,0)),1)</f>
        <v>1</v>
      </c>
      <c r="AC126" s="4">
        <f>IFERROR(INDEX(楼层配置!$G$5:$G$104,MATCH($K126,楼层配置!$B$5:$B$104,0)),1)</f>
        <v>1</v>
      </c>
      <c r="AD126" s="6">
        <f t="shared" si="10"/>
        <v>1.68895268173815</v>
      </c>
      <c r="AE126" s="6">
        <f t="shared" si="11"/>
        <v>1.15096807953951</v>
      </c>
      <c r="AF126" s="6">
        <f t="shared" si="12"/>
        <v>1.42207995003123</v>
      </c>
      <c r="AG126" s="4" t="str">
        <f t="shared" si="13"/>
        <v>有效</v>
      </c>
    </row>
    <row r="127" ht="14.25" customHeight="1" spans="1:33">
      <c r="A127" s="4">
        <v>123</v>
      </c>
      <c r="B127" s="4">
        <v>1029</v>
      </c>
      <c r="C127" s="4">
        <v>22</v>
      </c>
      <c r="D127" s="5">
        <f>IFERROR(ROUND($U127*$X127*$AA127*参数!$B$13,0),"")</f>
        <v>666225</v>
      </c>
      <c r="E127" s="5">
        <f>IFERROR(ROUND($V127*$Y127*$AB127*参数!$C$13,0),"")</f>
        <v>13702</v>
      </c>
      <c r="F127" s="5">
        <f>IFERROR(ROUND($W127*$Z127*$AC127*参数!$D$13,0),"")</f>
        <v>19389</v>
      </c>
      <c r="G127" s="4">
        <v>247764</v>
      </c>
      <c r="H127" s="4">
        <v>6370</v>
      </c>
      <c r="I127" s="4">
        <v>8005</v>
      </c>
      <c r="J127" s="4">
        <v>25</v>
      </c>
      <c r="K127" s="4">
        <v>25</v>
      </c>
      <c r="L127" s="4">
        <f>IFERROR(INDEX(楼层配置!$D$5:$D$104,MATCH($K127,楼层配置!$B$5:$B$104,0)),"")</f>
        <v>198</v>
      </c>
      <c r="M127" s="4" t="str">
        <f>IFERROR(INDEX(_角色基线!$B$2:$B$100,MATCH($B127,_角色基线!$A$2:$A$100,0)),"")</f>
        <v>凯兰</v>
      </c>
      <c r="N127" s="4" t="str">
        <f>IFERROR(INDEX(_角色基线!$C$2:$C$100,MATCH($B127,_角色基线!$A$2:$A$100,0)),"")</f>
        <v>Support</v>
      </c>
      <c r="O127" s="4">
        <f>IFERROR(INDEX(_怪物基线!$B$2:$B$501,MATCH(INT($L127),_怪物基线!$A$2:$A$501,0)),"")</f>
        <v>133245</v>
      </c>
      <c r="P127" s="4">
        <f>IFERROR(INDEX(_怪物基线!$C$2:$C$501,MATCH(INT($L127),_怪物基线!$A$2:$A$501,0)),"")</f>
        <v>11418</v>
      </c>
      <c r="Q127" s="4">
        <f>IFERROR(INDEX(_怪物基线!$D$2:$D$501,MATCH(INT($L127),_怪物基线!$A$2:$A$501,0)),"")</f>
        <v>15511</v>
      </c>
      <c r="R127" s="4">
        <f>参数!$B$10</f>
        <v>4</v>
      </c>
      <c r="S127" s="4">
        <f>参数!$C$10</f>
        <v>1.2</v>
      </c>
      <c r="T127" s="4">
        <f>参数!$D$10</f>
        <v>1</v>
      </c>
      <c r="U127" s="4">
        <f t="shared" si="7"/>
        <v>532980</v>
      </c>
      <c r="V127" s="4">
        <f t="shared" si="8"/>
        <v>13701.6</v>
      </c>
      <c r="W127" s="4">
        <f t="shared" si="9"/>
        <v>15511</v>
      </c>
      <c r="X127" s="4">
        <f>IFERROR(INDEX(参数!$B$5:$B$7,MATCH($N127,参数!$A$5:$A$7,0)),"")</f>
        <v>1.25</v>
      </c>
      <c r="Y127" s="4">
        <f>IFERROR(INDEX(参数!$C$5:$C$7,MATCH($N127,参数!$A$5:$A$7,0)),"")</f>
        <v>1</v>
      </c>
      <c r="Z127" s="4">
        <f>IFERROR(INDEX(参数!$D$5:$D$7,MATCH($N127,参数!$A$5:$A$7,0)),"")</f>
        <v>1.25</v>
      </c>
      <c r="AA127" s="4">
        <f>IFERROR(INDEX(楼层配置!$E$5:$E$104,MATCH($K127,楼层配置!$B$5:$B$104,0)),1)</f>
        <v>1</v>
      </c>
      <c r="AB127" s="4">
        <f>IFERROR(INDEX(楼层配置!$F$5:$F$104,MATCH($K127,楼层配置!$B$5:$B$104,0)),1)</f>
        <v>1</v>
      </c>
      <c r="AC127" s="4">
        <f>IFERROR(INDEX(楼层配置!$G$5:$G$104,MATCH($K127,楼层配置!$B$5:$B$104,0)),1)</f>
        <v>1</v>
      </c>
      <c r="AD127" s="6">
        <f t="shared" si="10"/>
        <v>1.68894996851843</v>
      </c>
      <c r="AE127" s="6">
        <f t="shared" si="11"/>
        <v>1.15102040816327</v>
      </c>
      <c r="AF127" s="6">
        <f t="shared" si="12"/>
        <v>1.42211118051218</v>
      </c>
      <c r="AG127" s="4" t="str">
        <f t="shared" si="13"/>
        <v>有效</v>
      </c>
    </row>
    <row r="128" ht="14.25" customHeight="1" spans="1:33">
      <c r="A128" s="4">
        <v>124</v>
      </c>
      <c r="B128" s="4">
        <v>1018</v>
      </c>
      <c r="C128" s="4">
        <v>22</v>
      </c>
      <c r="D128" s="5">
        <f>IFERROR(ROUND($U128*$X128*$AA128*参数!$B$13,0),"")</f>
        <v>666225</v>
      </c>
      <c r="E128" s="5">
        <f>IFERROR(ROUND($V128*$Y128*$AB128*参数!$C$13,0),"")</f>
        <v>13702</v>
      </c>
      <c r="F128" s="5">
        <f>IFERROR(ROUND($W128*$Z128*$AC128*参数!$D$13,0),"")</f>
        <v>19389</v>
      </c>
      <c r="G128" s="4">
        <v>247764</v>
      </c>
      <c r="H128" s="4">
        <v>6370</v>
      </c>
      <c r="I128" s="4">
        <v>8005</v>
      </c>
      <c r="J128" s="4">
        <v>25</v>
      </c>
      <c r="K128" s="4">
        <v>25</v>
      </c>
      <c r="L128" s="4">
        <f>IFERROR(INDEX(楼层配置!$D$5:$D$104,MATCH($K128,楼层配置!$B$5:$B$104,0)),"")</f>
        <v>198</v>
      </c>
      <c r="M128" s="4" t="str">
        <f>IFERROR(INDEX(_角色基线!$B$2:$B$100,MATCH($B128,_角色基线!$A$2:$A$100,0)),"")</f>
        <v>埃莉诺</v>
      </c>
      <c r="N128" s="4" t="str">
        <f>IFERROR(INDEX(_角色基线!$C$2:$C$100,MATCH($B128,_角色基线!$A$2:$A$100,0)),"")</f>
        <v>Support</v>
      </c>
      <c r="O128" s="4">
        <f>IFERROR(INDEX(_怪物基线!$B$2:$B$501,MATCH(INT($L128),_怪物基线!$A$2:$A$501,0)),"")</f>
        <v>133245</v>
      </c>
      <c r="P128" s="4">
        <f>IFERROR(INDEX(_怪物基线!$C$2:$C$501,MATCH(INT($L128),_怪物基线!$A$2:$A$501,0)),"")</f>
        <v>11418</v>
      </c>
      <c r="Q128" s="4">
        <f>IFERROR(INDEX(_怪物基线!$D$2:$D$501,MATCH(INT($L128),_怪物基线!$A$2:$A$501,0)),"")</f>
        <v>15511</v>
      </c>
      <c r="R128" s="4">
        <f>参数!$B$10</f>
        <v>4</v>
      </c>
      <c r="S128" s="4">
        <f>参数!$C$10</f>
        <v>1.2</v>
      </c>
      <c r="T128" s="4">
        <f>参数!$D$10</f>
        <v>1</v>
      </c>
      <c r="U128" s="4">
        <f t="shared" si="7"/>
        <v>532980</v>
      </c>
      <c r="V128" s="4">
        <f t="shared" si="8"/>
        <v>13701.6</v>
      </c>
      <c r="W128" s="4">
        <f t="shared" si="9"/>
        <v>15511</v>
      </c>
      <c r="X128" s="4">
        <f>IFERROR(INDEX(参数!$B$5:$B$7,MATCH($N128,参数!$A$5:$A$7,0)),"")</f>
        <v>1.25</v>
      </c>
      <c r="Y128" s="4">
        <f>IFERROR(INDEX(参数!$C$5:$C$7,MATCH($N128,参数!$A$5:$A$7,0)),"")</f>
        <v>1</v>
      </c>
      <c r="Z128" s="4">
        <f>IFERROR(INDEX(参数!$D$5:$D$7,MATCH($N128,参数!$A$5:$A$7,0)),"")</f>
        <v>1.25</v>
      </c>
      <c r="AA128" s="4">
        <f>IFERROR(INDEX(楼层配置!$E$5:$E$104,MATCH($K128,楼层配置!$B$5:$B$104,0)),1)</f>
        <v>1</v>
      </c>
      <c r="AB128" s="4">
        <f>IFERROR(INDEX(楼层配置!$F$5:$F$104,MATCH($K128,楼层配置!$B$5:$B$104,0)),1)</f>
        <v>1</v>
      </c>
      <c r="AC128" s="4">
        <f>IFERROR(INDEX(楼层配置!$G$5:$G$104,MATCH($K128,楼层配置!$B$5:$B$104,0)),1)</f>
        <v>1</v>
      </c>
      <c r="AD128" s="6">
        <f t="shared" si="10"/>
        <v>1.68894996851843</v>
      </c>
      <c r="AE128" s="6">
        <f t="shared" si="11"/>
        <v>1.15102040816327</v>
      </c>
      <c r="AF128" s="6">
        <f t="shared" si="12"/>
        <v>1.42211118051218</v>
      </c>
      <c r="AG128" s="4" t="str">
        <f t="shared" si="13"/>
        <v>有效</v>
      </c>
    </row>
    <row r="129" ht="14.25" customHeight="1" spans="1:33">
      <c r="A129" s="4">
        <v>125</v>
      </c>
      <c r="B129" s="4">
        <v>1012</v>
      </c>
      <c r="C129" s="4">
        <v>22</v>
      </c>
      <c r="D129" s="5">
        <f>IFERROR(ROUND($U129*$X129*$AA129*参数!$B$13,0),"")</f>
        <v>666225</v>
      </c>
      <c r="E129" s="5">
        <f>IFERROR(ROUND($V129*$Y129*$AB129*参数!$C$13,0),"")</f>
        <v>13702</v>
      </c>
      <c r="F129" s="5">
        <f>IFERROR(ROUND($W129*$Z129*$AC129*参数!$D$13,0),"")</f>
        <v>19389</v>
      </c>
      <c r="G129" s="4">
        <v>247764</v>
      </c>
      <c r="H129" s="4">
        <v>6370</v>
      </c>
      <c r="I129" s="4">
        <v>8005</v>
      </c>
      <c r="J129" s="4">
        <v>25</v>
      </c>
      <c r="K129" s="4">
        <v>25</v>
      </c>
      <c r="L129" s="4">
        <f>IFERROR(INDEX(楼层配置!$D$5:$D$104,MATCH($K129,楼层配置!$B$5:$B$104,0)),"")</f>
        <v>198</v>
      </c>
      <c r="M129" s="4" t="str">
        <f>IFERROR(INDEX(_角色基线!$B$2:$B$100,MATCH($B129,_角色基线!$A$2:$A$100,0)),"")</f>
        <v>艾德琳</v>
      </c>
      <c r="N129" s="4" t="str">
        <f>IFERROR(INDEX(_角色基线!$C$2:$C$100,MATCH($B129,_角色基线!$A$2:$A$100,0)),"")</f>
        <v>Support</v>
      </c>
      <c r="O129" s="4">
        <f>IFERROR(INDEX(_怪物基线!$B$2:$B$501,MATCH(INT($L129),_怪物基线!$A$2:$A$501,0)),"")</f>
        <v>133245</v>
      </c>
      <c r="P129" s="4">
        <f>IFERROR(INDEX(_怪物基线!$C$2:$C$501,MATCH(INT($L129),_怪物基线!$A$2:$A$501,0)),"")</f>
        <v>11418</v>
      </c>
      <c r="Q129" s="4">
        <f>IFERROR(INDEX(_怪物基线!$D$2:$D$501,MATCH(INT($L129),_怪物基线!$A$2:$A$501,0)),"")</f>
        <v>15511</v>
      </c>
      <c r="R129" s="4">
        <f>参数!$B$10</f>
        <v>4</v>
      </c>
      <c r="S129" s="4">
        <f>参数!$C$10</f>
        <v>1.2</v>
      </c>
      <c r="T129" s="4">
        <f>参数!$D$10</f>
        <v>1</v>
      </c>
      <c r="U129" s="4">
        <f t="shared" si="7"/>
        <v>532980</v>
      </c>
      <c r="V129" s="4">
        <f t="shared" si="8"/>
        <v>13701.6</v>
      </c>
      <c r="W129" s="4">
        <f t="shared" si="9"/>
        <v>15511</v>
      </c>
      <c r="X129" s="4">
        <f>IFERROR(INDEX(参数!$B$5:$B$7,MATCH($N129,参数!$A$5:$A$7,0)),"")</f>
        <v>1.25</v>
      </c>
      <c r="Y129" s="4">
        <f>IFERROR(INDEX(参数!$C$5:$C$7,MATCH($N129,参数!$A$5:$A$7,0)),"")</f>
        <v>1</v>
      </c>
      <c r="Z129" s="4">
        <f>IFERROR(INDEX(参数!$D$5:$D$7,MATCH($N129,参数!$A$5:$A$7,0)),"")</f>
        <v>1.25</v>
      </c>
      <c r="AA129" s="4">
        <f>IFERROR(INDEX(楼层配置!$E$5:$E$104,MATCH($K129,楼层配置!$B$5:$B$104,0)),1)</f>
        <v>1</v>
      </c>
      <c r="AB129" s="4">
        <f>IFERROR(INDEX(楼层配置!$F$5:$F$104,MATCH($K129,楼层配置!$B$5:$B$104,0)),1)</f>
        <v>1</v>
      </c>
      <c r="AC129" s="4">
        <f>IFERROR(INDEX(楼层配置!$G$5:$G$104,MATCH($K129,楼层配置!$B$5:$B$104,0)),1)</f>
        <v>1</v>
      </c>
      <c r="AD129" s="6">
        <f t="shared" si="10"/>
        <v>1.68894996851843</v>
      </c>
      <c r="AE129" s="6">
        <f t="shared" si="11"/>
        <v>1.15102040816327</v>
      </c>
      <c r="AF129" s="6">
        <f t="shared" si="12"/>
        <v>1.42211118051218</v>
      </c>
      <c r="AG129" s="4" t="str">
        <f t="shared" si="13"/>
        <v>有效</v>
      </c>
    </row>
    <row r="130" ht="14.25" customHeight="1" spans="1:33">
      <c r="A130" s="4">
        <v>126</v>
      </c>
      <c r="B130" s="4">
        <v>1038</v>
      </c>
      <c r="C130" s="4">
        <v>23</v>
      </c>
      <c r="D130" s="5">
        <f>IFERROR(ROUND($U130*$X130*$AA130*参数!$B$13,0),"")</f>
        <v>828726</v>
      </c>
      <c r="E130" s="5">
        <f>IFERROR(ROUND($V130*$Y130*$AB130*参数!$C$13,0),"")</f>
        <v>14033</v>
      </c>
      <c r="F130" s="5">
        <f>IFERROR(ROUND($W130*$Z130*$AC130*参数!$D$13,0),"")</f>
        <v>23721</v>
      </c>
      <c r="G130" s="4">
        <v>323748</v>
      </c>
      <c r="H130" s="4">
        <v>6736</v>
      </c>
      <c r="I130" s="4">
        <v>10102</v>
      </c>
      <c r="J130" s="4">
        <v>26</v>
      </c>
      <c r="K130" s="4">
        <v>26</v>
      </c>
      <c r="L130" s="4">
        <f>IFERROR(INDEX(楼层配置!$D$5:$D$104,MATCH($K130,楼层配置!$B$5:$B$104,0)),"")</f>
        <v>201</v>
      </c>
      <c r="M130" s="4" t="str">
        <f>IFERROR(INDEX(_角色基线!$B$2:$B$100,MATCH($B130,_角色基线!$A$2:$A$100,0)),"")</f>
        <v>商队战斗员</v>
      </c>
      <c r="N130" s="4" t="str">
        <f>IFERROR(INDEX(_角色基线!$C$2:$C$100,MATCH($B130,_角色基线!$A$2:$A$100,0)),"")</f>
        <v>Tank</v>
      </c>
      <c r="O130" s="4">
        <f>IFERROR(INDEX(_怪物基线!$B$2:$B$501,MATCH(INT($L130),_怪物基线!$A$2:$A$501,0)),"")</f>
        <v>138121</v>
      </c>
      <c r="P130" s="4">
        <f>IFERROR(INDEX(_怪物基线!$C$2:$C$501,MATCH(INT($L130),_怪物基线!$A$2:$A$501,0)),"")</f>
        <v>11694</v>
      </c>
      <c r="Q130" s="4">
        <f>IFERROR(INDEX(_怪物基线!$D$2:$D$501,MATCH(INT($L130),_怪物基线!$A$2:$A$501,0)),"")</f>
        <v>15814</v>
      </c>
      <c r="R130" s="4">
        <f>参数!$B$10</f>
        <v>4</v>
      </c>
      <c r="S130" s="4">
        <f>参数!$C$10</f>
        <v>1.2</v>
      </c>
      <c r="T130" s="4">
        <f>参数!$D$10</f>
        <v>1</v>
      </c>
      <c r="U130" s="4">
        <f t="shared" si="7"/>
        <v>552484</v>
      </c>
      <c r="V130" s="4">
        <f t="shared" si="8"/>
        <v>14032.8</v>
      </c>
      <c r="W130" s="4">
        <f t="shared" si="9"/>
        <v>15814</v>
      </c>
      <c r="X130" s="4">
        <f>IFERROR(INDEX(参数!$B$5:$B$7,MATCH($N130,参数!$A$5:$A$7,0)),"")</f>
        <v>1.5</v>
      </c>
      <c r="Y130" s="4">
        <f>IFERROR(INDEX(参数!$C$5:$C$7,MATCH($N130,参数!$A$5:$A$7,0)),"")</f>
        <v>1</v>
      </c>
      <c r="Z130" s="4">
        <f>IFERROR(INDEX(参数!$D$5:$D$7,MATCH($N130,参数!$A$5:$A$7,0)),"")</f>
        <v>1.5</v>
      </c>
      <c r="AA130" s="4">
        <f>IFERROR(INDEX(楼层配置!$E$5:$E$104,MATCH($K130,楼层配置!$B$5:$B$104,0)),1)</f>
        <v>1</v>
      </c>
      <c r="AB130" s="4">
        <f>IFERROR(INDEX(楼层配置!$F$5:$F$104,MATCH($K130,楼层配置!$B$5:$B$104,0)),1)</f>
        <v>1</v>
      </c>
      <c r="AC130" s="4">
        <f>IFERROR(INDEX(楼层配置!$G$5:$G$104,MATCH($K130,楼层配置!$B$5:$B$104,0)),1)</f>
        <v>1</v>
      </c>
      <c r="AD130" s="6">
        <f t="shared" si="10"/>
        <v>1.55978724192891</v>
      </c>
      <c r="AE130" s="6">
        <f t="shared" si="11"/>
        <v>1.083283847981</v>
      </c>
      <c r="AF130" s="6">
        <f t="shared" si="12"/>
        <v>1.34814888140962</v>
      </c>
      <c r="AG130" s="4" t="str">
        <f t="shared" si="13"/>
        <v>有效</v>
      </c>
    </row>
    <row r="131" ht="14.25" customHeight="1" spans="1:33">
      <c r="A131" s="4">
        <v>127</v>
      </c>
      <c r="B131" s="4">
        <v>1014</v>
      </c>
      <c r="C131" s="4">
        <v>23</v>
      </c>
      <c r="D131" s="5">
        <f>IFERROR(ROUND($U131*$X131*$AA131*参数!$B$13,0),"")</f>
        <v>552484</v>
      </c>
      <c r="E131" s="5">
        <f>IFERROR(ROUND($V131*$Y131*$AB131*参数!$C$13,0),"")</f>
        <v>16839</v>
      </c>
      <c r="F131" s="5">
        <f>IFERROR(ROUND($W131*$Z131*$AC131*参数!$D$13,0),"")</f>
        <v>15814</v>
      </c>
      <c r="G131" s="4">
        <v>215832</v>
      </c>
      <c r="H131" s="4">
        <v>8083</v>
      </c>
      <c r="I131" s="4">
        <v>6735</v>
      </c>
      <c r="J131" s="4">
        <v>26</v>
      </c>
      <c r="K131" s="4">
        <v>26</v>
      </c>
      <c r="L131" s="4">
        <f>IFERROR(INDEX(楼层配置!$D$5:$D$104,MATCH($K131,楼层配置!$B$5:$B$104,0)),"")</f>
        <v>201</v>
      </c>
      <c r="M131" s="4" t="str">
        <f>IFERROR(INDEX(_角色基线!$B$2:$B$100,MATCH($B131,_角色基线!$A$2:$A$100,0)),"")</f>
        <v>克莉丝汀</v>
      </c>
      <c r="N131" s="4" t="str">
        <f>IFERROR(INDEX(_角色基线!$C$2:$C$100,MATCH($B131,_角色基线!$A$2:$A$100,0)),"")</f>
        <v>DPS</v>
      </c>
      <c r="O131" s="4">
        <f>IFERROR(INDEX(_怪物基线!$B$2:$B$501,MATCH(INT($L131),_怪物基线!$A$2:$A$501,0)),"")</f>
        <v>138121</v>
      </c>
      <c r="P131" s="4">
        <f>IFERROR(INDEX(_怪物基线!$C$2:$C$501,MATCH(INT($L131),_怪物基线!$A$2:$A$501,0)),"")</f>
        <v>11694</v>
      </c>
      <c r="Q131" s="4">
        <f>IFERROR(INDEX(_怪物基线!$D$2:$D$501,MATCH(INT($L131),_怪物基线!$A$2:$A$501,0)),"")</f>
        <v>15814</v>
      </c>
      <c r="R131" s="4">
        <f>参数!$B$10</f>
        <v>4</v>
      </c>
      <c r="S131" s="4">
        <f>参数!$C$10</f>
        <v>1.2</v>
      </c>
      <c r="T131" s="4">
        <f>参数!$D$10</f>
        <v>1</v>
      </c>
      <c r="U131" s="4">
        <f t="shared" si="7"/>
        <v>552484</v>
      </c>
      <c r="V131" s="4">
        <f t="shared" si="8"/>
        <v>14032.8</v>
      </c>
      <c r="W131" s="4">
        <f t="shared" si="9"/>
        <v>15814</v>
      </c>
      <c r="X131" s="4">
        <f>IFERROR(INDEX(参数!$B$5:$B$7,MATCH($N131,参数!$A$5:$A$7,0)),"")</f>
        <v>1</v>
      </c>
      <c r="Y131" s="4">
        <f>IFERROR(INDEX(参数!$C$5:$C$7,MATCH($N131,参数!$A$5:$A$7,0)),"")</f>
        <v>1.2</v>
      </c>
      <c r="Z131" s="4">
        <f>IFERROR(INDEX(参数!$D$5:$D$7,MATCH($N131,参数!$A$5:$A$7,0)),"")</f>
        <v>1</v>
      </c>
      <c r="AA131" s="4">
        <f>IFERROR(INDEX(楼层配置!$E$5:$E$104,MATCH($K131,楼层配置!$B$5:$B$104,0)),1)</f>
        <v>1</v>
      </c>
      <c r="AB131" s="4">
        <f>IFERROR(INDEX(楼层配置!$F$5:$F$104,MATCH($K131,楼层配置!$B$5:$B$104,0)),1)</f>
        <v>1</v>
      </c>
      <c r="AC131" s="4">
        <f>IFERROR(INDEX(楼层配置!$G$5:$G$104,MATCH($K131,楼层配置!$B$5:$B$104,0)),1)</f>
        <v>1</v>
      </c>
      <c r="AD131" s="6">
        <f t="shared" si="10"/>
        <v>1.55978724192891</v>
      </c>
      <c r="AE131" s="6">
        <f t="shared" si="11"/>
        <v>1.08326116540888</v>
      </c>
      <c r="AF131" s="6">
        <f t="shared" si="12"/>
        <v>1.34803266518189</v>
      </c>
      <c r="AG131" s="4" t="str">
        <f t="shared" si="13"/>
        <v>有效</v>
      </c>
    </row>
    <row r="132" ht="14.25" customHeight="1" spans="1:33">
      <c r="A132" s="4">
        <v>128</v>
      </c>
      <c r="B132" s="4">
        <v>1021</v>
      </c>
      <c r="C132" s="4">
        <v>23</v>
      </c>
      <c r="D132" s="5">
        <f>IFERROR(ROUND($U132*$X132*$AA132*参数!$B$13,0),"")</f>
        <v>552484</v>
      </c>
      <c r="E132" s="5">
        <f>IFERROR(ROUND($V132*$Y132*$AB132*参数!$C$13,0),"")</f>
        <v>16839</v>
      </c>
      <c r="F132" s="5">
        <f>IFERROR(ROUND($W132*$Z132*$AC132*参数!$D$13,0),"")</f>
        <v>15814</v>
      </c>
      <c r="G132" s="4">
        <v>215832</v>
      </c>
      <c r="H132" s="4">
        <v>8083</v>
      </c>
      <c r="I132" s="4">
        <v>6735</v>
      </c>
      <c r="J132" s="4">
        <v>26</v>
      </c>
      <c r="K132" s="4">
        <v>26</v>
      </c>
      <c r="L132" s="4">
        <f>IFERROR(INDEX(楼层配置!$D$5:$D$104,MATCH($K132,楼层配置!$B$5:$B$104,0)),"")</f>
        <v>201</v>
      </c>
      <c r="M132" s="4" t="str">
        <f>IFERROR(INDEX(_角色基线!$B$2:$B$100,MATCH($B132,_角色基线!$A$2:$A$100,0)),"")</f>
        <v>梅梅</v>
      </c>
      <c r="N132" s="4" t="str">
        <f>IFERROR(INDEX(_角色基线!$C$2:$C$100,MATCH($B132,_角色基线!$A$2:$A$100,0)),"")</f>
        <v>DPS</v>
      </c>
      <c r="O132" s="4">
        <f>IFERROR(INDEX(_怪物基线!$B$2:$B$501,MATCH(INT($L132),_怪物基线!$A$2:$A$501,0)),"")</f>
        <v>138121</v>
      </c>
      <c r="P132" s="4">
        <f>IFERROR(INDEX(_怪物基线!$C$2:$C$501,MATCH(INT($L132),_怪物基线!$A$2:$A$501,0)),"")</f>
        <v>11694</v>
      </c>
      <c r="Q132" s="4">
        <f>IFERROR(INDEX(_怪物基线!$D$2:$D$501,MATCH(INT($L132),_怪物基线!$A$2:$A$501,0)),"")</f>
        <v>15814</v>
      </c>
      <c r="R132" s="4">
        <f>参数!$B$10</f>
        <v>4</v>
      </c>
      <c r="S132" s="4">
        <f>参数!$C$10</f>
        <v>1.2</v>
      </c>
      <c r="T132" s="4">
        <f>参数!$D$10</f>
        <v>1</v>
      </c>
      <c r="U132" s="4">
        <f t="shared" si="7"/>
        <v>552484</v>
      </c>
      <c r="V132" s="4">
        <f t="shared" si="8"/>
        <v>14032.8</v>
      </c>
      <c r="W132" s="4">
        <f t="shared" si="9"/>
        <v>15814</v>
      </c>
      <c r="X132" s="4">
        <f>IFERROR(INDEX(参数!$B$5:$B$7,MATCH($N132,参数!$A$5:$A$7,0)),"")</f>
        <v>1</v>
      </c>
      <c r="Y132" s="4">
        <f>IFERROR(INDEX(参数!$C$5:$C$7,MATCH($N132,参数!$A$5:$A$7,0)),"")</f>
        <v>1.2</v>
      </c>
      <c r="Z132" s="4">
        <f>IFERROR(INDEX(参数!$D$5:$D$7,MATCH($N132,参数!$A$5:$A$7,0)),"")</f>
        <v>1</v>
      </c>
      <c r="AA132" s="4">
        <f>IFERROR(INDEX(楼层配置!$E$5:$E$104,MATCH($K132,楼层配置!$B$5:$B$104,0)),1)</f>
        <v>1</v>
      </c>
      <c r="AB132" s="4">
        <f>IFERROR(INDEX(楼层配置!$F$5:$F$104,MATCH($K132,楼层配置!$B$5:$B$104,0)),1)</f>
        <v>1</v>
      </c>
      <c r="AC132" s="4">
        <f>IFERROR(INDEX(楼层配置!$G$5:$G$104,MATCH($K132,楼层配置!$B$5:$B$104,0)),1)</f>
        <v>1</v>
      </c>
      <c r="AD132" s="6">
        <f t="shared" si="10"/>
        <v>1.55978724192891</v>
      </c>
      <c r="AE132" s="6">
        <f t="shared" si="11"/>
        <v>1.08326116540888</v>
      </c>
      <c r="AF132" s="6">
        <f t="shared" si="12"/>
        <v>1.34803266518189</v>
      </c>
      <c r="AG132" s="4" t="str">
        <f t="shared" si="13"/>
        <v>有效</v>
      </c>
    </row>
    <row r="133" ht="14.25" customHeight="1" spans="1:33">
      <c r="A133" s="4">
        <v>129</v>
      </c>
      <c r="B133" s="4">
        <v>1026</v>
      </c>
      <c r="C133" s="4">
        <v>23</v>
      </c>
      <c r="D133" s="5">
        <f>IFERROR(ROUND($U133*$X133*$AA133*参数!$B$13,0),"")</f>
        <v>552484</v>
      </c>
      <c r="E133" s="5">
        <f>IFERROR(ROUND($V133*$Y133*$AB133*参数!$C$13,0),"")</f>
        <v>16839</v>
      </c>
      <c r="F133" s="5">
        <f>IFERROR(ROUND($W133*$Z133*$AC133*参数!$D$13,0),"")</f>
        <v>15814</v>
      </c>
      <c r="G133" s="4">
        <v>215832</v>
      </c>
      <c r="H133" s="4">
        <v>8083</v>
      </c>
      <c r="I133" s="4">
        <v>6735</v>
      </c>
      <c r="J133" s="4">
        <v>26</v>
      </c>
      <c r="K133" s="4">
        <v>26</v>
      </c>
      <c r="L133" s="4">
        <f>IFERROR(INDEX(楼层配置!$D$5:$D$104,MATCH($K133,楼层配置!$B$5:$B$104,0)),"")</f>
        <v>201</v>
      </c>
      <c r="M133" s="4" t="str">
        <f>IFERROR(INDEX(_角色基线!$B$2:$B$100,MATCH($B133,_角色基线!$A$2:$A$100,0)),"")</f>
        <v>乔一</v>
      </c>
      <c r="N133" s="4" t="str">
        <f>IFERROR(INDEX(_角色基线!$C$2:$C$100,MATCH($B133,_角色基线!$A$2:$A$100,0)),"")</f>
        <v>DPS</v>
      </c>
      <c r="O133" s="4">
        <f>IFERROR(INDEX(_怪物基线!$B$2:$B$501,MATCH(INT($L133),_怪物基线!$A$2:$A$501,0)),"")</f>
        <v>138121</v>
      </c>
      <c r="P133" s="4">
        <f>IFERROR(INDEX(_怪物基线!$C$2:$C$501,MATCH(INT($L133),_怪物基线!$A$2:$A$501,0)),"")</f>
        <v>11694</v>
      </c>
      <c r="Q133" s="4">
        <f>IFERROR(INDEX(_怪物基线!$D$2:$D$501,MATCH(INT($L133),_怪物基线!$A$2:$A$501,0)),"")</f>
        <v>15814</v>
      </c>
      <c r="R133" s="4">
        <f>参数!$B$10</f>
        <v>4</v>
      </c>
      <c r="S133" s="4">
        <f>参数!$C$10</f>
        <v>1.2</v>
      </c>
      <c r="T133" s="4">
        <f>参数!$D$10</f>
        <v>1</v>
      </c>
      <c r="U133" s="4">
        <f t="shared" ref="U133:U196" si="14">IF($O133="","",$O133*$R133)</f>
        <v>552484</v>
      </c>
      <c r="V133" s="4">
        <f t="shared" ref="V133:V196" si="15">IF($P133="","",$P133*$S133)</f>
        <v>14032.8</v>
      </c>
      <c r="W133" s="4">
        <f t="shared" ref="W133:W196" si="16">IF($Q133="","",$Q133*$T133)</f>
        <v>15814</v>
      </c>
      <c r="X133" s="4">
        <f>IFERROR(INDEX(参数!$B$5:$B$7,MATCH($N133,参数!$A$5:$A$7,0)),"")</f>
        <v>1</v>
      </c>
      <c r="Y133" s="4">
        <f>IFERROR(INDEX(参数!$C$5:$C$7,MATCH($N133,参数!$A$5:$A$7,0)),"")</f>
        <v>1.2</v>
      </c>
      <c r="Z133" s="4">
        <f>IFERROR(INDEX(参数!$D$5:$D$7,MATCH($N133,参数!$A$5:$A$7,0)),"")</f>
        <v>1</v>
      </c>
      <c r="AA133" s="4">
        <f>IFERROR(INDEX(楼层配置!$E$5:$E$104,MATCH($K133,楼层配置!$B$5:$B$104,0)),1)</f>
        <v>1</v>
      </c>
      <c r="AB133" s="4">
        <f>IFERROR(INDEX(楼层配置!$F$5:$F$104,MATCH($K133,楼层配置!$B$5:$B$104,0)),1)</f>
        <v>1</v>
      </c>
      <c r="AC133" s="4">
        <f>IFERROR(INDEX(楼层配置!$G$5:$G$104,MATCH($K133,楼层配置!$B$5:$B$104,0)),1)</f>
        <v>1</v>
      </c>
      <c r="AD133" s="6">
        <f t="shared" ref="AD133:AD196" si="17">IFERROR($D133/$G133-1,"")</f>
        <v>1.55978724192891</v>
      </c>
      <c r="AE133" s="6">
        <f t="shared" ref="AE133:AE196" si="18">IFERROR($E133/$H133-1,"")</f>
        <v>1.08326116540888</v>
      </c>
      <c r="AF133" s="6">
        <f t="shared" ref="AF133:AF196" si="19">IFERROR($F133/$I133-1,"")</f>
        <v>1.34803266518189</v>
      </c>
      <c r="AG133" s="4" t="str">
        <f t="shared" ref="AG133:AG196" si="20">IF(AND($A133&gt;=1,$L133&gt;=1,$L133&lt;=500,OR($N133="Tank",$N133="DPS",$N133="Support"),ISNUMBER($D133),ISNUMBER($E133),ISNUMBER($F133)),"有效","异常")</f>
        <v>有效</v>
      </c>
    </row>
    <row r="134" ht="14.25" customHeight="1" spans="1:33">
      <c r="A134" s="4">
        <v>130</v>
      </c>
      <c r="B134" s="4">
        <v>1012</v>
      </c>
      <c r="C134" s="4">
        <v>23</v>
      </c>
      <c r="D134" s="5">
        <f>IFERROR(ROUND($U134*$X134*$AA134*参数!$B$13,0),"")</f>
        <v>690605</v>
      </c>
      <c r="E134" s="5">
        <f>IFERROR(ROUND($V134*$Y134*$AB134*参数!$C$13,0),"")</f>
        <v>14033</v>
      </c>
      <c r="F134" s="5">
        <f>IFERROR(ROUND($W134*$Z134*$AC134*参数!$D$13,0),"")</f>
        <v>19768</v>
      </c>
      <c r="G134" s="4">
        <v>269790</v>
      </c>
      <c r="H134" s="4">
        <v>6736</v>
      </c>
      <c r="I134" s="4">
        <v>8419</v>
      </c>
      <c r="J134" s="4">
        <v>26</v>
      </c>
      <c r="K134" s="4">
        <v>26</v>
      </c>
      <c r="L134" s="4">
        <f>IFERROR(INDEX(楼层配置!$D$5:$D$104,MATCH($K134,楼层配置!$B$5:$B$104,0)),"")</f>
        <v>201</v>
      </c>
      <c r="M134" s="4" t="str">
        <f>IFERROR(INDEX(_角色基线!$B$2:$B$100,MATCH($B134,_角色基线!$A$2:$A$100,0)),"")</f>
        <v>艾德琳</v>
      </c>
      <c r="N134" s="4" t="str">
        <f>IFERROR(INDEX(_角色基线!$C$2:$C$100,MATCH($B134,_角色基线!$A$2:$A$100,0)),"")</f>
        <v>Support</v>
      </c>
      <c r="O134" s="4">
        <f>IFERROR(INDEX(_怪物基线!$B$2:$B$501,MATCH(INT($L134),_怪物基线!$A$2:$A$501,0)),"")</f>
        <v>138121</v>
      </c>
      <c r="P134" s="4">
        <f>IFERROR(INDEX(_怪物基线!$C$2:$C$501,MATCH(INT($L134),_怪物基线!$A$2:$A$501,0)),"")</f>
        <v>11694</v>
      </c>
      <c r="Q134" s="4">
        <f>IFERROR(INDEX(_怪物基线!$D$2:$D$501,MATCH(INT($L134),_怪物基线!$A$2:$A$501,0)),"")</f>
        <v>15814</v>
      </c>
      <c r="R134" s="4">
        <f>参数!$B$10</f>
        <v>4</v>
      </c>
      <c r="S134" s="4">
        <f>参数!$C$10</f>
        <v>1.2</v>
      </c>
      <c r="T134" s="4">
        <f>参数!$D$10</f>
        <v>1</v>
      </c>
      <c r="U134" s="4">
        <f t="shared" si="14"/>
        <v>552484</v>
      </c>
      <c r="V134" s="4">
        <f t="shared" si="15"/>
        <v>14032.8</v>
      </c>
      <c r="W134" s="4">
        <f t="shared" si="16"/>
        <v>15814</v>
      </c>
      <c r="X134" s="4">
        <f>IFERROR(INDEX(参数!$B$5:$B$7,MATCH($N134,参数!$A$5:$A$7,0)),"")</f>
        <v>1.25</v>
      </c>
      <c r="Y134" s="4">
        <f>IFERROR(INDEX(参数!$C$5:$C$7,MATCH($N134,参数!$A$5:$A$7,0)),"")</f>
        <v>1</v>
      </c>
      <c r="Z134" s="4">
        <f>IFERROR(INDEX(参数!$D$5:$D$7,MATCH($N134,参数!$A$5:$A$7,0)),"")</f>
        <v>1.25</v>
      </c>
      <c r="AA134" s="4">
        <f>IFERROR(INDEX(楼层配置!$E$5:$E$104,MATCH($K134,楼层配置!$B$5:$B$104,0)),1)</f>
        <v>1</v>
      </c>
      <c r="AB134" s="4">
        <f>IFERROR(INDEX(楼层配置!$F$5:$F$104,MATCH($K134,楼层配置!$B$5:$B$104,0)),1)</f>
        <v>1</v>
      </c>
      <c r="AC134" s="4">
        <f>IFERROR(INDEX(楼层配置!$G$5:$G$104,MATCH($K134,楼层配置!$B$5:$B$104,0)),1)</f>
        <v>1</v>
      </c>
      <c r="AD134" s="6">
        <f t="shared" si="17"/>
        <v>1.55978724192891</v>
      </c>
      <c r="AE134" s="6">
        <f t="shared" si="18"/>
        <v>1.083283847981</v>
      </c>
      <c r="AF134" s="6">
        <f t="shared" si="19"/>
        <v>1.34802233044305</v>
      </c>
      <c r="AG134" s="4" t="str">
        <f t="shared" si="20"/>
        <v>有效</v>
      </c>
    </row>
    <row r="135" ht="14.25" customHeight="1" spans="1:33">
      <c r="A135" s="4">
        <v>131</v>
      </c>
      <c r="B135" s="4">
        <v>1038</v>
      </c>
      <c r="C135" s="4">
        <v>23</v>
      </c>
      <c r="D135" s="5">
        <f>IFERROR(ROUND($U135*$X135*$AA135*参数!$B$13,0),"")</f>
        <v>889506</v>
      </c>
      <c r="E135" s="5">
        <f>IFERROR(ROUND($V135*$Y135*$AB135*参数!$C$13,0),"")</f>
        <v>14708</v>
      </c>
      <c r="F135" s="5">
        <f>IFERROR(ROUND($W135*$Z135*$AC135*参数!$D$13,0),"")</f>
        <v>24641</v>
      </c>
      <c r="G135" s="4">
        <v>345996</v>
      </c>
      <c r="H135" s="4">
        <v>7036</v>
      </c>
      <c r="I135" s="4">
        <v>10504</v>
      </c>
      <c r="J135" s="4">
        <v>27</v>
      </c>
      <c r="K135" s="4">
        <v>27</v>
      </c>
      <c r="L135" s="4">
        <f>IFERROR(INDEX(楼层配置!$D$5:$D$104,MATCH($K135,楼层配置!$B$5:$B$104,0)),"")</f>
        <v>207</v>
      </c>
      <c r="M135" s="4" t="str">
        <f>IFERROR(INDEX(_角色基线!$B$2:$B$100,MATCH($B135,_角色基线!$A$2:$A$100,0)),"")</f>
        <v>商队战斗员</v>
      </c>
      <c r="N135" s="4" t="str">
        <f>IFERROR(INDEX(_角色基线!$C$2:$C$100,MATCH($B135,_角色基线!$A$2:$A$100,0)),"")</f>
        <v>Tank</v>
      </c>
      <c r="O135" s="4">
        <f>IFERROR(INDEX(_怪物基线!$B$2:$B$501,MATCH(INT($L135),_怪物基线!$A$2:$A$501,0)),"")</f>
        <v>148251</v>
      </c>
      <c r="P135" s="4">
        <f>IFERROR(INDEX(_怪物基线!$C$2:$C$501,MATCH(INT($L135),_怪物基线!$A$2:$A$501,0)),"")</f>
        <v>12257</v>
      </c>
      <c r="Q135" s="4">
        <f>IFERROR(INDEX(_怪物基线!$D$2:$D$501,MATCH(INT($L135),_怪物基线!$A$2:$A$501,0)),"")</f>
        <v>16427</v>
      </c>
      <c r="R135" s="4">
        <f>参数!$B$10</f>
        <v>4</v>
      </c>
      <c r="S135" s="4">
        <f>参数!$C$10</f>
        <v>1.2</v>
      </c>
      <c r="T135" s="4">
        <f>参数!$D$10</f>
        <v>1</v>
      </c>
      <c r="U135" s="4">
        <f t="shared" si="14"/>
        <v>593004</v>
      </c>
      <c r="V135" s="4">
        <f t="shared" si="15"/>
        <v>14708.4</v>
      </c>
      <c r="W135" s="4">
        <f t="shared" si="16"/>
        <v>16427</v>
      </c>
      <c r="X135" s="4">
        <f>IFERROR(INDEX(参数!$B$5:$B$7,MATCH($N135,参数!$A$5:$A$7,0)),"")</f>
        <v>1.5</v>
      </c>
      <c r="Y135" s="4">
        <f>IFERROR(INDEX(参数!$C$5:$C$7,MATCH($N135,参数!$A$5:$A$7,0)),"")</f>
        <v>1</v>
      </c>
      <c r="Z135" s="4">
        <f>IFERROR(INDEX(参数!$D$5:$D$7,MATCH($N135,参数!$A$5:$A$7,0)),"")</f>
        <v>1.5</v>
      </c>
      <c r="AA135" s="4">
        <f>IFERROR(INDEX(楼层配置!$E$5:$E$104,MATCH($K135,楼层配置!$B$5:$B$104,0)),1)</f>
        <v>1</v>
      </c>
      <c r="AB135" s="4">
        <f>IFERROR(INDEX(楼层配置!$F$5:$F$104,MATCH($K135,楼层配置!$B$5:$B$104,0)),1)</f>
        <v>1</v>
      </c>
      <c r="AC135" s="4">
        <f>IFERROR(INDEX(楼层配置!$G$5:$G$104,MATCH($K135,楼层配置!$B$5:$B$104,0)),1)</f>
        <v>1</v>
      </c>
      <c r="AD135" s="6">
        <f t="shared" si="17"/>
        <v>1.57085631047758</v>
      </c>
      <c r="AE135" s="6">
        <f t="shared" si="18"/>
        <v>1.09039226833428</v>
      </c>
      <c r="AF135" s="6">
        <f t="shared" si="19"/>
        <v>1.34586824067022</v>
      </c>
      <c r="AG135" s="4" t="str">
        <f t="shared" si="20"/>
        <v>有效</v>
      </c>
    </row>
    <row r="136" ht="14.25" customHeight="1" spans="1:33">
      <c r="A136" s="4">
        <v>132</v>
      </c>
      <c r="B136" s="4">
        <v>1002</v>
      </c>
      <c r="C136" s="4">
        <v>23</v>
      </c>
      <c r="D136" s="5">
        <f>IFERROR(ROUND($U136*$X136*$AA136*参数!$B$13,0),"")</f>
        <v>889506</v>
      </c>
      <c r="E136" s="5">
        <f>IFERROR(ROUND($V136*$Y136*$AB136*参数!$C$13,0),"")</f>
        <v>14708</v>
      </c>
      <c r="F136" s="5">
        <f>IFERROR(ROUND($W136*$Z136*$AC136*参数!$D$13,0),"")</f>
        <v>24641</v>
      </c>
      <c r="G136" s="4">
        <v>345996</v>
      </c>
      <c r="H136" s="4">
        <v>7036</v>
      </c>
      <c r="I136" s="4">
        <v>10504</v>
      </c>
      <c r="J136" s="4">
        <v>27</v>
      </c>
      <c r="K136" s="4">
        <v>27</v>
      </c>
      <c r="L136" s="4">
        <f>IFERROR(INDEX(楼层配置!$D$5:$D$104,MATCH($K136,楼层配置!$B$5:$B$104,0)),"")</f>
        <v>207</v>
      </c>
      <c r="M136" s="4" t="str">
        <f>IFERROR(INDEX(_角色基线!$B$2:$B$100,MATCH($B136,_角色基线!$A$2:$A$100,0)),"")</f>
        <v>大暑</v>
      </c>
      <c r="N136" s="4" t="str">
        <f>IFERROR(INDEX(_角色基线!$C$2:$C$100,MATCH($B136,_角色基线!$A$2:$A$100,0)),"")</f>
        <v>Tank</v>
      </c>
      <c r="O136" s="4">
        <f>IFERROR(INDEX(_怪物基线!$B$2:$B$501,MATCH(INT($L136),_怪物基线!$A$2:$A$501,0)),"")</f>
        <v>148251</v>
      </c>
      <c r="P136" s="4">
        <f>IFERROR(INDEX(_怪物基线!$C$2:$C$501,MATCH(INT($L136),_怪物基线!$A$2:$A$501,0)),"")</f>
        <v>12257</v>
      </c>
      <c r="Q136" s="4">
        <f>IFERROR(INDEX(_怪物基线!$D$2:$D$501,MATCH(INT($L136),_怪物基线!$A$2:$A$501,0)),"")</f>
        <v>16427</v>
      </c>
      <c r="R136" s="4">
        <f>参数!$B$10</f>
        <v>4</v>
      </c>
      <c r="S136" s="4">
        <f>参数!$C$10</f>
        <v>1.2</v>
      </c>
      <c r="T136" s="4">
        <f>参数!$D$10</f>
        <v>1</v>
      </c>
      <c r="U136" s="4">
        <f t="shared" si="14"/>
        <v>593004</v>
      </c>
      <c r="V136" s="4">
        <f t="shared" si="15"/>
        <v>14708.4</v>
      </c>
      <c r="W136" s="4">
        <f t="shared" si="16"/>
        <v>16427</v>
      </c>
      <c r="X136" s="4">
        <f>IFERROR(INDEX(参数!$B$5:$B$7,MATCH($N136,参数!$A$5:$A$7,0)),"")</f>
        <v>1.5</v>
      </c>
      <c r="Y136" s="4">
        <f>IFERROR(INDEX(参数!$C$5:$C$7,MATCH($N136,参数!$A$5:$A$7,0)),"")</f>
        <v>1</v>
      </c>
      <c r="Z136" s="4">
        <f>IFERROR(INDEX(参数!$D$5:$D$7,MATCH($N136,参数!$A$5:$A$7,0)),"")</f>
        <v>1.5</v>
      </c>
      <c r="AA136" s="4">
        <f>IFERROR(INDEX(楼层配置!$E$5:$E$104,MATCH($K136,楼层配置!$B$5:$B$104,0)),1)</f>
        <v>1</v>
      </c>
      <c r="AB136" s="4">
        <f>IFERROR(INDEX(楼层配置!$F$5:$F$104,MATCH($K136,楼层配置!$B$5:$B$104,0)),1)</f>
        <v>1</v>
      </c>
      <c r="AC136" s="4">
        <f>IFERROR(INDEX(楼层配置!$G$5:$G$104,MATCH($K136,楼层配置!$B$5:$B$104,0)),1)</f>
        <v>1</v>
      </c>
      <c r="AD136" s="6">
        <f t="shared" si="17"/>
        <v>1.57085631047758</v>
      </c>
      <c r="AE136" s="6">
        <f t="shared" si="18"/>
        <v>1.09039226833428</v>
      </c>
      <c r="AF136" s="6">
        <f t="shared" si="19"/>
        <v>1.34586824067022</v>
      </c>
      <c r="AG136" s="4" t="str">
        <f t="shared" si="20"/>
        <v>有效</v>
      </c>
    </row>
    <row r="137" ht="14.25" customHeight="1" spans="1:33">
      <c r="A137" s="4">
        <v>133</v>
      </c>
      <c r="B137" s="4">
        <v>1018</v>
      </c>
      <c r="C137" s="4">
        <v>23</v>
      </c>
      <c r="D137" s="5">
        <f>IFERROR(ROUND($U137*$X137*$AA137*参数!$B$13,0),"")</f>
        <v>741255</v>
      </c>
      <c r="E137" s="5">
        <f>IFERROR(ROUND($V137*$Y137*$AB137*参数!$C$13,0),"")</f>
        <v>14708</v>
      </c>
      <c r="F137" s="5">
        <f>IFERROR(ROUND($W137*$Z137*$AC137*参数!$D$13,0),"")</f>
        <v>20534</v>
      </c>
      <c r="G137" s="4">
        <v>288330</v>
      </c>
      <c r="H137" s="4">
        <v>7036</v>
      </c>
      <c r="I137" s="4">
        <v>8754</v>
      </c>
      <c r="J137" s="4">
        <v>27</v>
      </c>
      <c r="K137" s="4">
        <v>27</v>
      </c>
      <c r="L137" s="4">
        <f>IFERROR(INDEX(楼层配置!$D$5:$D$104,MATCH($K137,楼层配置!$B$5:$B$104,0)),"")</f>
        <v>207</v>
      </c>
      <c r="M137" s="4" t="str">
        <f>IFERROR(INDEX(_角色基线!$B$2:$B$100,MATCH($B137,_角色基线!$A$2:$A$100,0)),"")</f>
        <v>埃莉诺</v>
      </c>
      <c r="N137" s="4" t="str">
        <f>IFERROR(INDEX(_角色基线!$C$2:$C$100,MATCH($B137,_角色基线!$A$2:$A$100,0)),"")</f>
        <v>Support</v>
      </c>
      <c r="O137" s="4">
        <f>IFERROR(INDEX(_怪物基线!$B$2:$B$501,MATCH(INT($L137),_怪物基线!$A$2:$A$501,0)),"")</f>
        <v>148251</v>
      </c>
      <c r="P137" s="4">
        <f>IFERROR(INDEX(_怪物基线!$C$2:$C$501,MATCH(INT($L137),_怪物基线!$A$2:$A$501,0)),"")</f>
        <v>12257</v>
      </c>
      <c r="Q137" s="4">
        <f>IFERROR(INDEX(_怪物基线!$D$2:$D$501,MATCH(INT($L137),_怪物基线!$A$2:$A$501,0)),"")</f>
        <v>16427</v>
      </c>
      <c r="R137" s="4">
        <f>参数!$B$10</f>
        <v>4</v>
      </c>
      <c r="S137" s="4">
        <f>参数!$C$10</f>
        <v>1.2</v>
      </c>
      <c r="T137" s="4">
        <f>参数!$D$10</f>
        <v>1</v>
      </c>
      <c r="U137" s="4">
        <f t="shared" si="14"/>
        <v>593004</v>
      </c>
      <c r="V137" s="4">
        <f t="shared" si="15"/>
        <v>14708.4</v>
      </c>
      <c r="W137" s="4">
        <f t="shared" si="16"/>
        <v>16427</v>
      </c>
      <c r="X137" s="4">
        <f>IFERROR(INDEX(参数!$B$5:$B$7,MATCH($N137,参数!$A$5:$A$7,0)),"")</f>
        <v>1.25</v>
      </c>
      <c r="Y137" s="4">
        <f>IFERROR(INDEX(参数!$C$5:$C$7,MATCH($N137,参数!$A$5:$A$7,0)),"")</f>
        <v>1</v>
      </c>
      <c r="Z137" s="4">
        <f>IFERROR(INDEX(参数!$D$5:$D$7,MATCH($N137,参数!$A$5:$A$7,0)),"")</f>
        <v>1.25</v>
      </c>
      <c r="AA137" s="4">
        <f>IFERROR(INDEX(楼层配置!$E$5:$E$104,MATCH($K137,楼层配置!$B$5:$B$104,0)),1)</f>
        <v>1</v>
      </c>
      <c r="AB137" s="4">
        <f>IFERROR(INDEX(楼层配置!$F$5:$F$104,MATCH($K137,楼层配置!$B$5:$B$104,0)),1)</f>
        <v>1</v>
      </c>
      <c r="AC137" s="4">
        <f>IFERROR(INDEX(楼层配置!$G$5:$G$104,MATCH($K137,楼层配置!$B$5:$B$104,0)),1)</f>
        <v>1</v>
      </c>
      <c r="AD137" s="6">
        <f t="shared" si="17"/>
        <v>1.57085631047758</v>
      </c>
      <c r="AE137" s="6">
        <f t="shared" si="18"/>
        <v>1.09039226833428</v>
      </c>
      <c r="AF137" s="6">
        <f t="shared" si="19"/>
        <v>1.34567055060544</v>
      </c>
      <c r="AG137" s="4" t="str">
        <f t="shared" si="20"/>
        <v>有效</v>
      </c>
    </row>
    <row r="138" ht="14.25" customHeight="1" spans="1:33">
      <c r="A138" s="4">
        <v>134</v>
      </c>
      <c r="B138" s="4">
        <v>1021</v>
      </c>
      <c r="C138" s="4">
        <v>23</v>
      </c>
      <c r="D138" s="5">
        <f>IFERROR(ROUND($U138*$X138*$AA138*参数!$B$13,0),"")</f>
        <v>593004</v>
      </c>
      <c r="E138" s="5">
        <f>IFERROR(ROUND($V138*$Y138*$AB138*参数!$C$13,0),"")</f>
        <v>17650</v>
      </c>
      <c r="F138" s="5">
        <f>IFERROR(ROUND($W138*$Z138*$AC138*参数!$D$13,0),"")</f>
        <v>16427</v>
      </c>
      <c r="G138" s="4">
        <v>230664</v>
      </c>
      <c r="H138" s="4">
        <v>8443</v>
      </c>
      <c r="I138" s="4">
        <v>7003</v>
      </c>
      <c r="J138" s="4">
        <v>27</v>
      </c>
      <c r="K138" s="4">
        <v>27</v>
      </c>
      <c r="L138" s="4">
        <f>IFERROR(INDEX(楼层配置!$D$5:$D$104,MATCH($K138,楼层配置!$B$5:$B$104,0)),"")</f>
        <v>207</v>
      </c>
      <c r="M138" s="4" t="str">
        <f>IFERROR(INDEX(_角色基线!$B$2:$B$100,MATCH($B138,_角色基线!$A$2:$A$100,0)),"")</f>
        <v>梅梅</v>
      </c>
      <c r="N138" s="4" t="str">
        <f>IFERROR(INDEX(_角色基线!$C$2:$C$100,MATCH($B138,_角色基线!$A$2:$A$100,0)),"")</f>
        <v>DPS</v>
      </c>
      <c r="O138" s="4">
        <f>IFERROR(INDEX(_怪物基线!$B$2:$B$501,MATCH(INT($L138),_怪物基线!$A$2:$A$501,0)),"")</f>
        <v>148251</v>
      </c>
      <c r="P138" s="4">
        <f>IFERROR(INDEX(_怪物基线!$C$2:$C$501,MATCH(INT($L138),_怪物基线!$A$2:$A$501,0)),"")</f>
        <v>12257</v>
      </c>
      <c r="Q138" s="4">
        <f>IFERROR(INDEX(_怪物基线!$D$2:$D$501,MATCH(INT($L138),_怪物基线!$A$2:$A$501,0)),"")</f>
        <v>16427</v>
      </c>
      <c r="R138" s="4">
        <f>参数!$B$10</f>
        <v>4</v>
      </c>
      <c r="S138" s="4">
        <f>参数!$C$10</f>
        <v>1.2</v>
      </c>
      <c r="T138" s="4">
        <f>参数!$D$10</f>
        <v>1</v>
      </c>
      <c r="U138" s="4">
        <f t="shared" si="14"/>
        <v>593004</v>
      </c>
      <c r="V138" s="4">
        <f t="shared" si="15"/>
        <v>14708.4</v>
      </c>
      <c r="W138" s="4">
        <f t="shared" si="16"/>
        <v>16427</v>
      </c>
      <c r="X138" s="4">
        <f>IFERROR(INDEX(参数!$B$5:$B$7,MATCH($N138,参数!$A$5:$A$7,0)),"")</f>
        <v>1</v>
      </c>
      <c r="Y138" s="4">
        <f>IFERROR(INDEX(参数!$C$5:$C$7,MATCH($N138,参数!$A$5:$A$7,0)),"")</f>
        <v>1.2</v>
      </c>
      <c r="Z138" s="4">
        <f>IFERROR(INDEX(参数!$D$5:$D$7,MATCH($N138,参数!$A$5:$A$7,0)),"")</f>
        <v>1</v>
      </c>
      <c r="AA138" s="4">
        <f>IFERROR(INDEX(楼层配置!$E$5:$E$104,MATCH($K138,楼层配置!$B$5:$B$104,0)),1)</f>
        <v>1</v>
      </c>
      <c r="AB138" s="4">
        <f>IFERROR(INDEX(楼层配置!$F$5:$F$104,MATCH($K138,楼层配置!$B$5:$B$104,0)),1)</f>
        <v>1</v>
      </c>
      <c r="AC138" s="4">
        <f>IFERROR(INDEX(楼层配置!$G$5:$G$104,MATCH($K138,楼层配置!$B$5:$B$104,0)),1)</f>
        <v>1</v>
      </c>
      <c r="AD138" s="6">
        <f t="shared" si="17"/>
        <v>1.57085631047758</v>
      </c>
      <c r="AE138" s="6">
        <f t="shared" si="18"/>
        <v>1.09048916261992</v>
      </c>
      <c r="AF138" s="6">
        <f t="shared" si="19"/>
        <v>1.34570898186491</v>
      </c>
      <c r="AG138" s="4" t="str">
        <f t="shared" si="20"/>
        <v>有效</v>
      </c>
    </row>
    <row r="139" ht="14.25" customHeight="1" spans="1:33">
      <c r="A139" s="4">
        <v>135</v>
      </c>
      <c r="B139" s="4">
        <v>1011</v>
      </c>
      <c r="C139" s="4">
        <v>23</v>
      </c>
      <c r="D139" s="5">
        <f>IFERROR(ROUND($U139*$X139*$AA139*参数!$B$13,0),"")</f>
        <v>741255</v>
      </c>
      <c r="E139" s="5">
        <f>IFERROR(ROUND($V139*$Y139*$AB139*参数!$C$13,0),"")</f>
        <v>14708</v>
      </c>
      <c r="F139" s="5">
        <f>IFERROR(ROUND($W139*$Z139*$AC139*参数!$D$13,0),"")</f>
        <v>20534</v>
      </c>
      <c r="G139" s="4">
        <v>288330</v>
      </c>
      <c r="H139" s="4">
        <v>7036</v>
      </c>
      <c r="I139" s="4">
        <v>8754</v>
      </c>
      <c r="J139" s="4">
        <v>27</v>
      </c>
      <c r="K139" s="4">
        <v>27</v>
      </c>
      <c r="L139" s="4">
        <f>IFERROR(INDEX(楼层配置!$D$5:$D$104,MATCH($K139,楼层配置!$B$5:$B$104,0)),"")</f>
        <v>207</v>
      </c>
      <c r="M139" s="4" t="str">
        <f>IFERROR(INDEX(_角色基线!$B$2:$B$100,MATCH($B139,_角色基线!$A$2:$A$100,0)),"")</f>
        <v>陈双双</v>
      </c>
      <c r="N139" s="4" t="str">
        <f>IFERROR(INDEX(_角色基线!$C$2:$C$100,MATCH($B139,_角色基线!$A$2:$A$100,0)),"")</f>
        <v>Support</v>
      </c>
      <c r="O139" s="4">
        <f>IFERROR(INDEX(_怪物基线!$B$2:$B$501,MATCH(INT($L139),_怪物基线!$A$2:$A$501,0)),"")</f>
        <v>148251</v>
      </c>
      <c r="P139" s="4">
        <f>IFERROR(INDEX(_怪物基线!$C$2:$C$501,MATCH(INT($L139),_怪物基线!$A$2:$A$501,0)),"")</f>
        <v>12257</v>
      </c>
      <c r="Q139" s="4">
        <f>IFERROR(INDEX(_怪物基线!$D$2:$D$501,MATCH(INT($L139),_怪物基线!$A$2:$A$501,0)),"")</f>
        <v>16427</v>
      </c>
      <c r="R139" s="4">
        <f>参数!$B$10</f>
        <v>4</v>
      </c>
      <c r="S139" s="4">
        <f>参数!$C$10</f>
        <v>1.2</v>
      </c>
      <c r="T139" s="4">
        <f>参数!$D$10</f>
        <v>1</v>
      </c>
      <c r="U139" s="4">
        <f t="shared" si="14"/>
        <v>593004</v>
      </c>
      <c r="V139" s="4">
        <f t="shared" si="15"/>
        <v>14708.4</v>
      </c>
      <c r="W139" s="4">
        <f t="shared" si="16"/>
        <v>16427</v>
      </c>
      <c r="X139" s="4">
        <f>IFERROR(INDEX(参数!$B$5:$B$7,MATCH($N139,参数!$A$5:$A$7,0)),"")</f>
        <v>1.25</v>
      </c>
      <c r="Y139" s="4">
        <f>IFERROR(INDEX(参数!$C$5:$C$7,MATCH($N139,参数!$A$5:$A$7,0)),"")</f>
        <v>1</v>
      </c>
      <c r="Z139" s="4">
        <f>IFERROR(INDEX(参数!$D$5:$D$7,MATCH($N139,参数!$A$5:$A$7,0)),"")</f>
        <v>1.25</v>
      </c>
      <c r="AA139" s="4">
        <f>IFERROR(INDEX(楼层配置!$E$5:$E$104,MATCH($K139,楼层配置!$B$5:$B$104,0)),1)</f>
        <v>1</v>
      </c>
      <c r="AB139" s="4">
        <f>IFERROR(INDEX(楼层配置!$F$5:$F$104,MATCH($K139,楼层配置!$B$5:$B$104,0)),1)</f>
        <v>1</v>
      </c>
      <c r="AC139" s="4">
        <f>IFERROR(INDEX(楼层配置!$G$5:$G$104,MATCH($K139,楼层配置!$B$5:$B$104,0)),1)</f>
        <v>1</v>
      </c>
      <c r="AD139" s="6">
        <f t="shared" si="17"/>
        <v>1.57085631047758</v>
      </c>
      <c r="AE139" s="6">
        <f t="shared" si="18"/>
        <v>1.09039226833428</v>
      </c>
      <c r="AF139" s="6">
        <f t="shared" si="19"/>
        <v>1.34567055060544</v>
      </c>
      <c r="AG139" s="4" t="str">
        <f t="shared" si="20"/>
        <v>有效</v>
      </c>
    </row>
    <row r="140" ht="14.25" customHeight="1" spans="1:33">
      <c r="A140" s="4">
        <v>136</v>
      </c>
      <c r="B140" s="4">
        <v>1038</v>
      </c>
      <c r="C140" s="4">
        <v>24</v>
      </c>
      <c r="D140" s="5">
        <f>IFERROR(ROUND($U140*$X140*$AA140*参数!$B$13,0),"")</f>
        <v>931746</v>
      </c>
      <c r="E140" s="5">
        <f>IFERROR(ROUND($V140*$Y140*$AB140*参数!$C$13,0),"")</f>
        <v>15172</v>
      </c>
      <c r="F140" s="5">
        <f>IFERROR(ROUND($W140*$Z140*$AC140*参数!$D$13,0),"")</f>
        <v>25262</v>
      </c>
      <c r="G140" s="4">
        <v>369252</v>
      </c>
      <c r="H140" s="4">
        <v>7342</v>
      </c>
      <c r="I140" s="4">
        <v>10911</v>
      </c>
      <c r="J140" s="4">
        <v>28</v>
      </c>
      <c r="K140" s="4">
        <v>28</v>
      </c>
      <c r="L140" s="4">
        <f>IFERROR(INDEX(楼层配置!$D$5:$D$104,MATCH($K140,楼层配置!$B$5:$B$104,0)),"")</f>
        <v>211</v>
      </c>
      <c r="M140" s="4" t="str">
        <f>IFERROR(INDEX(_角色基线!$B$2:$B$100,MATCH($B140,_角色基线!$A$2:$A$100,0)),"")</f>
        <v>商队战斗员</v>
      </c>
      <c r="N140" s="4" t="str">
        <f>IFERROR(INDEX(_角色基线!$C$2:$C$100,MATCH($B140,_角色基线!$A$2:$A$100,0)),"")</f>
        <v>Tank</v>
      </c>
      <c r="O140" s="4">
        <f>IFERROR(INDEX(_怪物基线!$B$2:$B$501,MATCH(INT($L140),_怪物基线!$A$2:$A$501,0)),"")</f>
        <v>155291</v>
      </c>
      <c r="P140" s="4">
        <f>IFERROR(INDEX(_怪物基线!$C$2:$C$501,MATCH(INT($L140),_怪物基线!$A$2:$A$501,0)),"")</f>
        <v>12643</v>
      </c>
      <c r="Q140" s="4">
        <f>IFERROR(INDEX(_怪物基线!$D$2:$D$501,MATCH(INT($L140),_怪物基线!$A$2:$A$501,0)),"")</f>
        <v>16841</v>
      </c>
      <c r="R140" s="4">
        <f>参数!$B$10</f>
        <v>4</v>
      </c>
      <c r="S140" s="4">
        <f>参数!$C$10</f>
        <v>1.2</v>
      </c>
      <c r="T140" s="4">
        <f>参数!$D$10</f>
        <v>1</v>
      </c>
      <c r="U140" s="4">
        <f t="shared" si="14"/>
        <v>621164</v>
      </c>
      <c r="V140" s="4">
        <f t="shared" si="15"/>
        <v>15171.6</v>
      </c>
      <c r="W140" s="4">
        <f t="shared" si="16"/>
        <v>16841</v>
      </c>
      <c r="X140" s="4">
        <f>IFERROR(INDEX(参数!$B$5:$B$7,MATCH($N140,参数!$A$5:$A$7,0)),"")</f>
        <v>1.5</v>
      </c>
      <c r="Y140" s="4">
        <f>IFERROR(INDEX(参数!$C$5:$C$7,MATCH($N140,参数!$A$5:$A$7,0)),"")</f>
        <v>1</v>
      </c>
      <c r="Z140" s="4">
        <f>IFERROR(INDEX(参数!$D$5:$D$7,MATCH($N140,参数!$A$5:$A$7,0)),"")</f>
        <v>1.5</v>
      </c>
      <c r="AA140" s="4">
        <f>IFERROR(INDEX(楼层配置!$E$5:$E$104,MATCH($K140,楼层配置!$B$5:$B$104,0)),1)</f>
        <v>1</v>
      </c>
      <c r="AB140" s="4">
        <f>IFERROR(INDEX(楼层配置!$F$5:$F$104,MATCH($K140,楼层配置!$B$5:$B$104,0)),1)</f>
        <v>1</v>
      </c>
      <c r="AC140" s="4">
        <f>IFERROR(INDEX(楼层配置!$G$5:$G$104,MATCH($K140,楼层配置!$B$5:$B$104,0)),1)</f>
        <v>1</v>
      </c>
      <c r="AD140" s="6">
        <f t="shared" si="17"/>
        <v>1.52333365831465</v>
      </c>
      <c r="AE140" s="6">
        <f t="shared" si="18"/>
        <v>1.06646690275129</v>
      </c>
      <c r="AF140" s="6">
        <f t="shared" si="19"/>
        <v>1.31527815965539</v>
      </c>
      <c r="AG140" s="4" t="str">
        <f t="shared" si="20"/>
        <v>有效</v>
      </c>
    </row>
    <row r="141" ht="14.25" customHeight="1" spans="1:33">
      <c r="A141" s="4">
        <v>137</v>
      </c>
      <c r="B141" s="4">
        <v>1030</v>
      </c>
      <c r="C141" s="4">
        <v>24</v>
      </c>
      <c r="D141" s="5">
        <f>IFERROR(ROUND($U141*$X141*$AA141*参数!$B$13,0),"")</f>
        <v>931746</v>
      </c>
      <c r="E141" s="5">
        <f>IFERROR(ROUND($V141*$Y141*$AB141*参数!$C$13,0),"")</f>
        <v>15172</v>
      </c>
      <c r="F141" s="5">
        <f>IFERROR(ROUND($W141*$Z141*$AC141*参数!$D$13,0),"")</f>
        <v>25262</v>
      </c>
      <c r="G141" s="4">
        <v>369252</v>
      </c>
      <c r="H141" s="4">
        <v>7342</v>
      </c>
      <c r="I141" s="4">
        <v>10911</v>
      </c>
      <c r="J141" s="4">
        <v>28</v>
      </c>
      <c r="K141" s="4">
        <v>28</v>
      </c>
      <c r="L141" s="4">
        <f>IFERROR(INDEX(楼层配置!$D$5:$D$104,MATCH($K141,楼层配置!$B$5:$B$104,0)),"")</f>
        <v>211</v>
      </c>
      <c r="M141" s="4" t="str">
        <f>IFERROR(INDEX(_角色基线!$B$2:$B$100,MATCH($B141,_角色基线!$A$2:$A$100,0)),"")</f>
        <v>莫莉</v>
      </c>
      <c r="N141" s="4" t="str">
        <f>IFERROR(INDEX(_角色基线!$C$2:$C$100,MATCH($B141,_角色基线!$A$2:$A$100,0)),"")</f>
        <v>Tank</v>
      </c>
      <c r="O141" s="4">
        <f>IFERROR(INDEX(_怪物基线!$B$2:$B$501,MATCH(INT($L141),_怪物基线!$A$2:$A$501,0)),"")</f>
        <v>155291</v>
      </c>
      <c r="P141" s="4">
        <f>IFERROR(INDEX(_怪物基线!$C$2:$C$501,MATCH(INT($L141),_怪物基线!$A$2:$A$501,0)),"")</f>
        <v>12643</v>
      </c>
      <c r="Q141" s="4">
        <f>IFERROR(INDEX(_怪物基线!$D$2:$D$501,MATCH(INT($L141),_怪物基线!$A$2:$A$501,0)),"")</f>
        <v>16841</v>
      </c>
      <c r="R141" s="4">
        <f>参数!$B$10</f>
        <v>4</v>
      </c>
      <c r="S141" s="4">
        <f>参数!$C$10</f>
        <v>1.2</v>
      </c>
      <c r="T141" s="4">
        <f>参数!$D$10</f>
        <v>1</v>
      </c>
      <c r="U141" s="4">
        <f t="shared" si="14"/>
        <v>621164</v>
      </c>
      <c r="V141" s="4">
        <f t="shared" si="15"/>
        <v>15171.6</v>
      </c>
      <c r="W141" s="4">
        <f t="shared" si="16"/>
        <v>16841</v>
      </c>
      <c r="X141" s="4">
        <f>IFERROR(INDEX(参数!$B$5:$B$7,MATCH($N141,参数!$A$5:$A$7,0)),"")</f>
        <v>1.5</v>
      </c>
      <c r="Y141" s="4">
        <f>IFERROR(INDEX(参数!$C$5:$C$7,MATCH($N141,参数!$A$5:$A$7,0)),"")</f>
        <v>1</v>
      </c>
      <c r="Z141" s="4">
        <f>IFERROR(INDEX(参数!$D$5:$D$7,MATCH($N141,参数!$A$5:$A$7,0)),"")</f>
        <v>1.5</v>
      </c>
      <c r="AA141" s="4">
        <f>IFERROR(INDEX(楼层配置!$E$5:$E$104,MATCH($K141,楼层配置!$B$5:$B$104,0)),1)</f>
        <v>1</v>
      </c>
      <c r="AB141" s="4">
        <f>IFERROR(INDEX(楼层配置!$F$5:$F$104,MATCH($K141,楼层配置!$B$5:$B$104,0)),1)</f>
        <v>1</v>
      </c>
      <c r="AC141" s="4">
        <f>IFERROR(INDEX(楼层配置!$G$5:$G$104,MATCH($K141,楼层配置!$B$5:$B$104,0)),1)</f>
        <v>1</v>
      </c>
      <c r="AD141" s="6">
        <f t="shared" si="17"/>
        <v>1.52333365831465</v>
      </c>
      <c r="AE141" s="6">
        <f t="shared" si="18"/>
        <v>1.06646690275129</v>
      </c>
      <c r="AF141" s="6">
        <f t="shared" si="19"/>
        <v>1.31527815965539</v>
      </c>
      <c r="AG141" s="4" t="str">
        <f t="shared" si="20"/>
        <v>有效</v>
      </c>
    </row>
    <row r="142" ht="14.25" customHeight="1" spans="1:33">
      <c r="A142" s="4">
        <v>138</v>
      </c>
      <c r="B142" s="4">
        <v>1002</v>
      </c>
      <c r="C142" s="4">
        <v>24</v>
      </c>
      <c r="D142" s="5">
        <f>IFERROR(ROUND($U142*$X142*$AA142*参数!$B$13,0),"")</f>
        <v>931746</v>
      </c>
      <c r="E142" s="5">
        <f>IFERROR(ROUND($V142*$Y142*$AB142*参数!$C$13,0),"")</f>
        <v>15172</v>
      </c>
      <c r="F142" s="5">
        <f>IFERROR(ROUND($W142*$Z142*$AC142*参数!$D$13,0),"")</f>
        <v>25262</v>
      </c>
      <c r="G142" s="4">
        <v>369252</v>
      </c>
      <c r="H142" s="4">
        <v>7342</v>
      </c>
      <c r="I142" s="4">
        <v>10911</v>
      </c>
      <c r="J142" s="4">
        <v>28</v>
      </c>
      <c r="K142" s="4">
        <v>28</v>
      </c>
      <c r="L142" s="4">
        <f>IFERROR(INDEX(楼层配置!$D$5:$D$104,MATCH($K142,楼层配置!$B$5:$B$104,0)),"")</f>
        <v>211</v>
      </c>
      <c r="M142" s="4" t="str">
        <f>IFERROR(INDEX(_角色基线!$B$2:$B$100,MATCH($B142,_角色基线!$A$2:$A$100,0)),"")</f>
        <v>大暑</v>
      </c>
      <c r="N142" s="4" t="str">
        <f>IFERROR(INDEX(_角色基线!$C$2:$C$100,MATCH($B142,_角色基线!$A$2:$A$100,0)),"")</f>
        <v>Tank</v>
      </c>
      <c r="O142" s="4">
        <f>IFERROR(INDEX(_怪物基线!$B$2:$B$501,MATCH(INT($L142),_怪物基线!$A$2:$A$501,0)),"")</f>
        <v>155291</v>
      </c>
      <c r="P142" s="4">
        <f>IFERROR(INDEX(_怪物基线!$C$2:$C$501,MATCH(INT($L142),_怪物基线!$A$2:$A$501,0)),"")</f>
        <v>12643</v>
      </c>
      <c r="Q142" s="4">
        <f>IFERROR(INDEX(_怪物基线!$D$2:$D$501,MATCH(INT($L142),_怪物基线!$A$2:$A$501,0)),"")</f>
        <v>16841</v>
      </c>
      <c r="R142" s="4">
        <f>参数!$B$10</f>
        <v>4</v>
      </c>
      <c r="S142" s="4">
        <f>参数!$C$10</f>
        <v>1.2</v>
      </c>
      <c r="T142" s="4">
        <f>参数!$D$10</f>
        <v>1</v>
      </c>
      <c r="U142" s="4">
        <f t="shared" si="14"/>
        <v>621164</v>
      </c>
      <c r="V142" s="4">
        <f t="shared" si="15"/>
        <v>15171.6</v>
      </c>
      <c r="W142" s="4">
        <f t="shared" si="16"/>
        <v>16841</v>
      </c>
      <c r="X142" s="4">
        <f>IFERROR(INDEX(参数!$B$5:$B$7,MATCH($N142,参数!$A$5:$A$7,0)),"")</f>
        <v>1.5</v>
      </c>
      <c r="Y142" s="4">
        <f>IFERROR(INDEX(参数!$C$5:$C$7,MATCH($N142,参数!$A$5:$A$7,0)),"")</f>
        <v>1</v>
      </c>
      <c r="Z142" s="4">
        <f>IFERROR(INDEX(参数!$D$5:$D$7,MATCH($N142,参数!$A$5:$A$7,0)),"")</f>
        <v>1.5</v>
      </c>
      <c r="AA142" s="4">
        <f>IFERROR(INDEX(楼层配置!$E$5:$E$104,MATCH($K142,楼层配置!$B$5:$B$104,0)),1)</f>
        <v>1</v>
      </c>
      <c r="AB142" s="4">
        <f>IFERROR(INDEX(楼层配置!$F$5:$F$104,MATCH($K142,楼层配置!$B$5:$B$104,0)),1)</f>
        <v>1</v>
      </c>
      <c r="AC142" s="4">
        <f>IFERROR(INDEX(楼层配置!$G$5:$G$104,MATCH($K142,楼层配置!$B$5:$B$104,0)),1)</f>
        <v>1</v>
      </c>
      <c r="AD142" s="6">
        <f t="shared" si="17"/>
        <v>1.52333365831465</v>
      </c>
      <c r="AE142" s="6">
        <f t="shared" si="18"/>
        <v>1.06646690275129</v>
      </c>
      <c r="AF142" s="6">
        <f t="shared" si="19"/>
        <v>1.31527815965539</v>
      </c>
      <c r="AG142" s="4" t="str">
        <f t="shared" si="20"/>
        <v>有效</v>
      </c>
    </row>
    <row r="143" ht="14.25" customHeight="1" spans="1:33">
      <c r="A143" s="4">
        <v>139</v>
      </c>
      <c r="B143" s="4">
        <v>1014</v>
      </c>
      <c r="C143" s="4">
        <v>24</v>
      </c>
      <c r="D143" s="5">
        <f>IFERROR(ROUND($U143*$X143*$AA143*参数!$B$13,0),"")</f>
        <v>621164</v>
      </c>
      <c r="E143" s="5">
        <f>IFERROR(ROUND($V143*$Y143*$AB143*参数!$C$13,0),"")</f>
        <v>18206</v>
      </c>
      <c r="F143" s="5">
        <f>IFERROR(ROUND($W143*$Z143*$AC143*参数!$D$13,0),"")</f>
        <v>16841</v>
      </c>
      <c r="G143" s="4">
        <v>246168</v>
      </c>
      <c r="H143" s="4">
        <v>8810</v>
      </c>
      <c r="I143" s="4">
        <v>7274</v>
      </c>
      <c r="J143" s="4">
        <v>28</v>
      </c>
      <c r="K143" s="4">
        <v>28</v>
      </c>
      <c r="L143" s="4">
        <f>IFERROR(INDEX(楼层配置!$D$5:$D$104,MATCH($K143,楼层配置!$B$5:$B$104,0)),"")</f>
        <v>211</v>
      </c>
      <c r="M143" s="4" t="str">
        <f>IFERROR(INDEX(_角色基线!$B$2:$B$100,MATCH($B143,_角色基线!$A$2:$A$100,0)),"")</f>
        <v>克莉丝汀</v>
      </c>
      <c r="N143" s="4" t="str">
        <f>IFERROR(INDEX(_角色基线!$C$2:$C$100,MATCH($B143,_角色基线!$A$2:$A$100,0)),"")</f>
        <v>DPS</v>
      </c>
      <c r="O143" s="4">
        <f>IFERROR(INDEX(_怪物基线!$B$2:$B$501,MATCH(INT($L143),_怪物基线!$A$2:$A$501,0)),"")</f>
        <v>155291</v>
      </c>
      <c r="P143" s="4">
        <f>IFERROR(INDEX(_怪物基线!$C$2:$C$501,MATCH(INT($L143),_怪物基线!$A$2:$A$501,0)),"")</f>
        <v>12643</v>
      </c>
      <c r="Q143" s="4">
        <f>IFERROR(INDEX(_怪物基线!$D$2:$D$501,MATCH(INT($L143),_怪物基线!$A$2:$A$501,0)),"")</f>
        <v>16841</v>
      </c>
      <c r="R143" s="4">
        <f>参数!$B$10</f>
        <v>4</v>
      </c>
      <c r="S143" s="4">
        <f>参数!$C$10</f>
        <v>1.2</v>
      </c>
      <c r="T143" s="4">
        <f>参数!$D$10</f>
        <v>1</v>
      </c>
      <c r="U143" s="4">
        <f t="shared" si="14"/>
        <v>621164</v>
      </c>
      <c r="V143" s="4">
        <f t="shared" si="15"/>
        <v>15171.6</v>
      </c>
      <c r="W143" s="4">
        <f t="shared" si="16"/>
        <v>16841</v>
      </c>
      <c r="X143" s="4">
        <f>IFERROR(INDEX(参数!$B$5:$B$7,MATCH($N143,参数!$A$5:$A$7,0)),"")</f>
        <v>1</v>
      </c>
      <c r="Y143" s="4">
        <f>IFERROR(INDEX(参数!$C$5:$C$7,MATCH($N143,参数!$A$5:$A$7,0)),"")</f>
        <v>1.2</v>
      </c>
      <c r="Z143" s="4">
        <f>IFERROR(INDEX(参数!$D$5:$D$7,MATCH($N143,参数!$A$5:$A$7,0)),"")</f>
        <v>1</v>
      </c>
      <c r="AA143" s="4">
        <f>IFERROR(INDEX(楼层配置!$E$5:$E$104,MATCH($K143,楼层配置!$B$5:$B$104,0)),1)</f>
        <v>1</v>
      </c>
      <c r="AB143" s="4">
        <f>IFERROR(INDEX(楼层配置!$F$5:$F$104,MATCH($K143,楼层配置!$B$5:$B$104,0)),1)</f>
        <v>1</v>
      </c>
      <c r="AC143" s="4">
        <f>IFERROR(INDEX(楼层配置!$G$5:$G$104,MATCH($K143,楼层配置!$B$5:$B$104,0)),1)</f>
        <v>1</v>
      </c>
      <c r="AD143" s="6">
        <f t="shared" si="17"/>
        <v>1.52333365831465</v>
      </c>
      <c r="AE143" s="6">
        <f t="shared" si="18"/>
        <v>1.06651532349603</v>
      </c>
      <c r="AF143" s="6">
        <f t="shared" si="19"/>
        <v>1.31523233434149</v>
      </c>
      <c r="AG143" s="4" t="str">
        <f t="shared" si="20"/>
        <v>有效</v>
      </c>
    </row>
    <row r="144" ht="14.25" customHeight="1" spans="1:33">
      <c r="A144" s="4">
        <v>140</v>
      </c>
      <c r="B144" s="4">
        <v>1021</v>
      </c>
      <c r="C144" s="4">
        <v>24</v>
      </c>
      <c r="D144" s="5">
        <f>IFERROR(ROUND($U144*$X144*$AA144*参数!$B$13,0),"")</f>
        <v>621164</v>
      </c>
      <c r="E144" s="5">
        <f>IFERROR(ROUND($V144*$Y144*$AB144*参数!$C$13,0),"")</f>
        <v>18206</v>
      </c>
      <c r="F144" s="5">
        <f>IFERROR(ROUND($W144*$Z144*$AC144*参数!$D$13,0),"")</f>
        <v>16841</v>
      </c>
      <c r="G144" s="4">
        <v>246168</v>
      </c>
      <c r="H144" s="4">
        <v>8810</v>
      </c>
      <c r="I144" s="4">
        <v>7274</v>
      </c>
      <c r="J144" s="4">
        <v>28</v>
      </c>
      <c r="K144" s="4">
        <v>28</v>
      </c>
      <c r="L144" s="4">
        <f>IFERROR(INDEX(楼层配置!$D$5:$D$104,MATCH($K144,楼层配置!$B$5:$B$104,0)),"")</f>
        <v>211</v>
      </c>
      <c r="M144" s="4" t="str">
        <f>IFERROR(INDEX(_角色基线!$B$2:$B$100,MATCH($B144,_角色基线!$A$2:$A$100,0)),"")</f>
        <v>梅梅</v>
      </c>
      <c r="N144" s="4" t="str">
        <f>IFERROR(INDEX(_角色基线!$C$2:$C$100,MATCH($B144,_角色基线!$A$2:$A$100,0)),"")</f>
        <v>DPS</v>
      </c>
      <c r="O144" s="4">
        <f>IFERROR(INDEX(_怪物基线!$B$2:$B$501,MATCH(INT($L144),_怪物基线!$A$2:$A$501,0)),"")</f>
        <v>155291</v>
      </c>
      <c r="P144" s="4">
        <f>IFERROR(INDEX(_怪物基线!$C$2:$C$501,MATCH(INT($L144),_怪物基线!$A$2:$A$501,0)),"")</f>
        <v>12643</v>
      </c>
      <c r="Q144" s="4">
        <f>IFERROR(INDEX(_怪物基线!$D$2:$D$501,MATCH(INT($L144),_怪物基线!$A$2:$A$501,0)),"")</f>
        <v>16841</v>
      </c>
      <c r="R144" s="4">
        <f>参数!$B$10</f>
        <v>4</v>
      </c>
      <c r="S144" s="4">
        <f>参数!$C$10</f>
        <v>1.2</v>
      </c>
      <c r="T144" s="4">
        <f>参数!$D$10</f>
        <v>1</v>
      </c>
      <c r="U144" s="4">
        <f t="shared" si="14"/>
        <v>621164</v>
      </c>
      <c r="V144" s="4">
        <f t="shared" si="15"/>
        <v>15171.6</v>
      </c>
      <c r="W144" s="4">
        <f t="shared" si="16"/>
        <v>16841</v>
      </c>
      <c r="X144" s="4">
        <f>IFERROR(INDEX(参数!$B$5:$B$7,MATCH($N144,参数!$A$5:$A$7,0)),"")</f>
        <v>1</v>
      </c>
      <c r="Y144" s="4">
        <f>IFERROR(INDEX(参数!$C$5:$C$7,MATCH($N144,参数!$A$5:$A$7,0)),"")</f>
        <v>1.2</v>
      </c>
      <c r="Z144" s="4">
        <f>IFERROR(INDEX(参数!$D$5:$D$7,MATCH($N144,参数!$A$5:$A$7,0)),"")</f>
        <v>1</v>
      </c>
      <c r="AA144" s="4">
        <f>IFERROR(INDEX(楼层配置!$E$5:$E$104,MATCH($K144,楼层配置!$B$5:$B$104,0)),1)</f>
        <v>1</v>
      </c>
      <c r="AB144" s="4">
        <f>IFERROR(INDEX(楼层配置!$F$5:$F$104,MATCH($K144,楼层配置!$B$5:$B$104,0)),1)</f>
        <v>1</v>
      </c>
      <c r="AC144" s="4">
        <f>IFERROR(INDEX(楼层配置!$G$5:$G$104,MATCH($K144,楼层配置!$B$5:$B$104,0)),1)</f>
        <v>1</v>
      </c>
      <c r="AD144" s="6">
        <f t="shared" si="17"/>
        <v>1.52333365831465</v>
      </c>
      <c r="AE144" s="6">
        <f t="shared" si="18"/>
        <v>1.06651532349603</v>
      </c>
      <c r="AF144" s="6">
        <f t="shared" si="19"/>
        <v>1.31523233434149</v>
      </c>
      <c r="AG144" s="4" t="str">
        <f t="shared" si="20"/>
        <v>有效</v>
      </c>
    </row>
    <row r="145" ht="14.25" customHeight="1" spans="1:33">
      <c r="A145" s="4">
        <v>141</v>
      </c>
      <c r="B145" s="4">
        <v>1038</v>
      </c>
      <c r="C145" s="4">
        <v>24</v>
      </c>
      <c r="D145" s="5">
        <f>IFERROR(ROUND($U145*$X145*$AA145*参数!$B$13,0),"")</f>
        <v>986538</v>
      </c>
      <c r="E145" s="5">
        <f>IFERROR(ROUND($V145*$Y145*$AB145*参数!$C$13,0),"")</f>
        <v>15764</v>
      </c>
      <c r="F145" s="5">
        <f>IFERROR(ROUND($W145*$Z145*$AC145*参数!$D$13,0),"")</f>
        <v>26045</v>
      </c>
      <c r="G145" s="4">
        <v>393537</v>
      </c>
      <c r="H145" s="4">
        <v>7652</v>
      </c>
      <c r="I145" s="4">
        <v>11322</v>
      </c>
      <c r="J145" s="4">
        <v>29</v>
      </c>
      <c r="K145" s="4">
        <v>29</v>
      </c>
      <c r="L145" s="4">
        <f>IFERROR(INDEX(楼层配置!$D$5:$D$104,MATCH($K145,楼层配置!$B$5:$B$104,0)),"")</f>
        <v>216</v>
      </c>
      <c r="M145" s="4" t="str">
        <f>IFERROR(INDEX(_角色基线!$B$2:$B$100,MATCH($B145,_角色基线!$A$2:$A$100,0)),"")</f>
        <v>商队战斗员</v>
      </c>
      <c r="N145" s="4" t="str">
        <f>IFERROR(INDEX(_角色基线!$C$2:$C$100,MATCH($B145,_角色基线!$A$2:$A$100,0)),"")</f>
        <v>Tank</v>
      </c>
      <c r="O145" s="4">
        <f>IFERROR(INDEX(_怪物基线!$B$2:$B$501,MATCH(INT($L145),_怪物基线!$A$2:$A$501,0)),"")</f>
        <v>164423</v>
      </c>
      <c r="P145" s="4">
        <f>IFERROR(INDEX(_怪物基线!$C$2:$C$501,MATCH(INT($L145),_怪物基线!$A$2:$A$501,0)),"")</f>
        <v>13137</v>
      </c>
      <c r="Q145" s="4">
        <f>IFERROR(INDEX(_怪物基线!$D$2:$D$501,MATCH(INT($L145),_怪物基线!$A$2:$A$501,0)),"")</f>
        <v>17363</v>
      </c>
      <c r="R145" s="4">
        <f>参数!$B$10</f>
        <v>4</v>
      </c>
      <c r="S145" s="4">
        <f>参数!$C$10</f>
        <v>1.2</v>
      </c>
      <c r="T145" s="4">
        <f>参数!$D$10</f>
        <v>1</v>
      </c>
      <c r="U145" s="4">
        <f t="shared" si="14"/>
        <v>657692</v>
      </c>
      <c r="V145" s="4">
        <f t="shared" si="15"/>
        <v>15764.4</v>
      </c>
      <c r="W145" s="4">
        <f t="shared" si="16"/>
        <v>17363</v>
      </c>
      <c r="X145" s="4">
        <f>IFERROR(INDEX(参数!$B$5:$B$7,MATCH($N145,参数!$A$5:$A$7,0)),"")</f>
        <v>1.5</v>
      </c>
      <c r="Y145" s="4">
        <f>IFERROR(INDEX(参数!$C$5:$C$7,MATCH($N145,参数!$A$5:$A$7,0)),"")</f>
        <v>1</v>
      </c>
      <c r="Z145" s="4">
        <f>IFERROR(INDEX(参数!$D$5:$D$7,MATCH($N145,参数!$A$5:$A$7,0)),"")</f>
        <v>1.5</v>
      </c>
      <c r="AA145" s="4">
        <f>IFERROR(INDEX(楼层配置!$E$5:$E$104,MATCH($K145,楼层配置!$B$5:$B$104,0)),1)</f>
        <v>1</v>
      </c>
      <c r="AB145" s="4">
        <f>IFERROR(INDEX(楼层配置!$F$5:$F$104,MATCH($K145,楼层配置!$B$5:$B$104,0)),1)</f>
        <v>1</v>
      </c>
      <c r="AC145" s="4">
        <f>IFERROR(INDEX(楼层配置!$G$5:$G$104,MATCH($K145,楼层配置!$B$5:$B$104,0)),1)</f>
        <v>1</v>
      </c>
      <c r="AD145" s="6">
        <f t="shared" si="17"/>
        <v>1.5068494194955</v>
      </c>
      <c r="AE145" s="6">
        <f t="shared" si="18"/>
        <v>1.0601150026137</v>
      </c>
      <c r="AF145" s="6">
        <f t="shared" si="19"/>
        <v>1.30038862391804</v>
      </c>
      <c r="AG145" s="4" t="str">
        <f t="shared" si="20"/>
        <v>有效</v>
      </c>
    </row>
    <row r="146" ht="14.25" customHeight="1" spans="1:33">
      <c r="A146" s="4">
        <v>142</v>
      </c>
      <c r="B146" s="4">
        <v>1038</v>
      </c>
      <c r="C146" s="4">
        <v>24</v>
      </c>
      <c r="D146" s="5">
        <f>IFERROR(ROUND($U146*$X146*$AA146*参数!$B$13,0),"")</f>
        <v>986538</v>
      </c>
      <c r="E146" s="5">
        <f>IFERROR(ROUND($V146*$Y146*$AB146*参数!$C$13,0),"")</f>
        <v>15764</v>
      </c>
      <c r="F146" s="5">
        <f>IFERROR(ROUND($W146*$Z146*$AC146*参数!$D$13,0),"")</f>
        <v>26045</v>
      </c>
      <c r="G146" s="4">
        <v>393537</v>
      </c>
      <c r="H146" s="4">
        <v>7652</v>
      </c>
      <c r="I146" s="4">
        <v>11322</v>
      </c>
      <c r="J146" s="4">
        <v>29</v>
      </c>
      <c r="K146" s="4">
        <v>29</v>
      </c>
      <c r="L146" s="4">
        <f>IFERROR(INDEX(楼层配置!$D$5:$D$104,MATCH($K146,楼层配置!$B$5:$B$104,0)),"")</f>
        <v>216</v>
      </c>
      <c r="M146" s="4" t="str">
        <f>IFERROR(INDEX(_角色基线!$B$2:$B$100,MATCH($B146,_角色基线!$A$2:$A$100,0)),"")</f>
        <v>商队战斗员</v>
      </c>
      <c r="N146" s="4" t="str">
        <f>IFERROR(INDEX(_角色基线!$C$2:$C$100,MATCH($B146,_角色基线!$A$2:$A$100,0)),"")</f>
        <v>Tank</v>
      </c>
      <c r="O146" s="4">
        <f>IFERROR(INDEX(_怪物基线!$B$2:$B$501,MATCH(INT($L146),_怪物基线!$A$2:$A$501,0)),"")</f>
        <v>164423</v>
      </c>
      <c r="P146" s="4">
        <f>IFERROR(INDEX(_怪物基线!$C$2:$C$501,MATCH(INT($L146),_怪物基线!$A$2:$A$501,0)),"")</f>
        <v>13137</v>
      </c>
      <c r="Q146" s="4">
        <f>IFERROR(INDEX(_怪物基线!$D$2:$D$501,MATCH(INT($L146),_怪物基线!$A$2:$A$501,0)),"")</f>
        <v>17363</v>
      </c>
      <c r="R146" s="4">
        <f>参数!$B$10</f>
        <v>4</v>
      </c>
      <c r="S146" s="4">
        <f>参数!$C$10</f>
        <v>1.2</v>
      </c>
      <c r="T146" s="4">
        <f>参数!$D$10</f>
        <v>1</v>
      </c>
      <c r="U146" s="4">
        <f t="shared" si="14"/>
        <v>657692</v>
      </c>
      <c r="V146" s="4">
        <f t="shared" si="15"/>
        <v>15764.4</v>
      </c>
      <c r="W146" s="4">
        <f t="shared" si="16"/>
        <v>17363</v>
      </c>
      <c r="X146" s="4">
        <f>IFERROR(INDEX(参数!$B$5:$B$7,MATCH($N146,参数!$A$5:$A$7,0)),"")</f>
        <v>1.5</v>
      </c>
      <c r="Y146" s="4">
        <f>IFERROR(INDEX(参数!$C$5:$C$7,MATCH($N146,参数!$A$5:$A$7,0)),"")</f>
        <v>1</v>
      </c>
      <c r="Z146" s="4">
        <f>IFERROR(INDEX(参数!$D$5:$D$7,MATCH($N146,参数!$A$5:$A$7,0)),"")</f>
        <v>1.5</v>
      </c>
      <c r="AA146" s="4">
        <f>IFERROR(INDEX(楼层配置!$E$5:$E$104,MATCH($K146,楼层配置!$B$5:$B$104,0)),1)</f>
        <v>1</v>
      </c>
      <c r="AB146" s="4">
        <f>IFERROR(INDEX(楼层配置!$F$5:$F$104,MATCH($K146,楼层配置!$B$5:$B$104,0)),1)</f>
        <v>1</v>
      </c>
      <c r="AC146" s="4">
        <f>IFERROR(INDEX(楼层配置!$G$5:$G$104,MATCH($K146,楼层配置!$B$5:$B$104,0)),1)</f>
        <v>1</v>
      </c>
      <c r="AD146" s="6">
        <f t="shared" si="17"/>
        <v>1.5068494194955</v>
      </c>
      <c r="AE146" s="6">
        <f t="shared" si="18"/>
        <v>1.0601150026137</v>
      </c>
      <c r="AF146" s="6">
        <f t="shared" si="19"/>
        <v>1.30038862391804</v>
      </c>
      <c r="AG146" s="4" t="str">
        <f t="shared" si="20"/>
        <v>有效</v>
      </c>
    </row>
    <row r="147" ht="14.25" customHeight="1" spans="1:33">
      <c r="A147" s="4">
        <v>143</v>
      </c>
      <c r="B147" s="4">
        <v>1014</v>
      </c>
      <c r="C147" s="4">
        <v>24</v>
      </c>
      <c r="D147" s="5">
        <f>IFERROR(ROUND($U147*$X147*$AA147*参数!$B$13,0),"")</f>
        <v>657692</v>
      </c>
      <c r="E147" s="5">
        <f>IFERROR(ROUND($V147*$Y147*$AB147*参数!$C$13,0),"")</f>
        <v>18917</v>
      </c>
      <c r="F147" s="5">
        <f>IFERROR(ROUND($W147*$Z147*$AC147*参数!$D$13,0),"")</f>
        <v>17363</v>
      </c>
      <c r="G147" s="4">
        <v>262358</v>
      </c>
      <c r="H147" s="4">
        <v>9182</v>
      </c>
      <c r="I147" s="4">
        <v>7548</v>
      </c>
      <c r="J147" s="4">
        <v>29</v>
      </c>
      <c r="K147" s="4">
        <v>29</v>
      </c>
      <c r="L147" s="4">
        <f>IFERROR(INDEX(楼层配置!$D$5:$D$104,MATCH($K147,楼层配置!$B$5:$B$104,0)),"")</f>
        <v>216</v>
      </c>
      <c r="M147" s="4" t="str">
        <f>IFERROR(INDEX(_角色基线!$B$2:$B$100,MATCH($B147,_角色基线!$A$2:$A$100,0)),"")</f>
        <v>克莉丝汀</v>
      </c>
      <c r="N147" s="4" t="str">
        <f>IFERROR(INDEX(_角色基线!$C$2:$C$100,MATCH($B147,_角色基线!$A$2:$A$100,0)),"")</f>
        <v>DPS</v>
      </c>
      <c r="O147" s="4">
        <f>IFERROR(INDEX(_怪物基线!$B$2:$B$501,MATCH(INT($L147),_怪物基线!$A$2:$A$501,0)),"")</f>
        <v>164423</v>
      </c>
      <c r="P147" s="4">
        <f>IFERROR(INDEX(_怪物基线!$C$2:$C$501,MATCH(INT($L147),_怪物基线!$A$2:$A$501,0)),"")</f>
        <v>13137</v>
      </c>
      <c r="Q147" s="4">
        <f>IFERROR(INDEX(_怪物基线!$D$2:$D$501,MATCH(INT($L147),_怪物基线!$A$2:$A$501,0)),"")</f>
        <v>17363</v>
      </c>
      <c r="R147" s="4">
        <f>参数!$B$10</f>
        <v>4</v>
      </c>
      <c r="S147" s="4">
        <f>参数!$C$10</f>
        <v>1.2</v>
      </c>
      <c r="T147" s="4">
        <f>参数!$D$10</f>
        <v>1</v>
      </c>
      <c r="U147" s="4">
        <f t="shared" si="14"/>
        <v>657692</v>
      </c>
      <c r="V147" s="4">
        <f t="shared" si="15"/>
        <v>15764.4</v>
      </c>
      <c r="W147" s="4">
        <f t="shared" si="16"/>
        <v>17363</v>
      </c>
      <c r="X147" s="4">
        <f>IFERROR(INDEX(参数!$B$5:$B$7,MATCH($N147,参数!$A$5:$A$7,0)),"")</f>
        <v>1</v>
      </c>
      <c r="Y147" s="4">
        <f>IFERROR(INDEX(参数!$C$5:$C$7,MATCH($N147,参数!$A$5:$A$7,0)),"")</f>
        <v>1.2</v>
      </c>
      <c r="Z147" s="4">
        <f>IFERROR(INDEX(参数!$D$5:$D$7,MATCH($N147,参数!$A$5:$A$7,0)),"")</f>
        <v>1</v>
      </c>
      <c r="AA147" s="4">
        <f>IFERROR(INDEX(楼层配置!$E$5:$E$104,MATCH($K147,楼层配置!$B$5:$B$104,0)),1)</f>
        <v>1</v>
      </c>
      <c r="AB147" s="4">
        <f>IFERROR(INDEX(楼层配置!$F$5:$F$104,MATCH($K147,楼层配置!$B$5:$B$104,0)),1)</f>
        <v>1</v>
      </c>
      <c r="AC147" s="4">
        <f>IFERROR(INDEX(楼层配置!$G$5:$G$104,MATCH($K147,楼层配置!$B$5:$B$104,0)),1)</f>
        <v>1</v>
      </c>
      <c r="AD147" s="6">
        <f t="shared" si="17"/>
        <v>1.5068494194955</v>
      </c>
      <c r="AE147" s="6">
        <f t="shared" si="18"/>
        <v>1.06022653016772</v>
      </c>
      <c r="AF147" s="6">
        <f t="shared" si="19"/>
        <v>1.30034446210917</v>
      </c>
      <c r="AG147" s="4" t="str">
        <f t="shared" si="20"/>
        <v>有效</v>
      </c>
    </row>
    <row r="148" ht="14.25" customHeight="1" spans="1:33">
      <c r="A148" s="4">
        <v>144</v>
      </c>
      <c r="B148" s="4">
        <v>1021</v>
      </c>
      <c r="C148" s="4">
        <v>24</v>
      </c>
      <c r="D148" s="5">
        <f>IFERROR(ROUND($U148*$X148*$AA148*参数!$B$13,0),"")</f>
        <v>657692</v>
      </c>
      <c r="E148" s="5">
        <f>IFERROR(ROUND($V148*$Y148*$AB148*参数!$C$13,0),"")</f>
        <v>18917</v>
      </c>
      <c r="F148" s="5">
        <f>IFERROR(ROUND($W148*$Z148*$AC148*参数!$D$13,0),"")</f>
        <v>17363</v>
      </c>
      <c r="G148" s="4">
        <v>262358</v>
      </c>
      <c r="H148" s="4">
        <v>9182</v>
      </c>
      <c r="I148" s="4">
        <v>7548</v>
      </c>
      <c r="J148" s="4">
        <v>29</v>
      </c>
      <c r="K148" s="4">
        <v>29</v>
      </c>
      <c r="L148" s="4">
        <f>IFERROR(INDEX(楼层配置!$D$5:$D$104,MATCH($K148,楼层配置!$B$5:$B$104,0)),"")</f>
        <v>216</v>
      </c>
      <c r="M148" s="4" t="str">
        <f>IFERROR(INDEX(_角色基线!$B$2:$B$100,MATCH($B148,_角色基线!$A$2:$A$100,0)),"")</f>
        <v>梅梅</v>
      </c>
      <c r="N148" s="4" t="str">
        <f>IFERROR(INDEX(_角色基线!$C$2:$C$100,MATCH($B148,_角色基线!$A$2:$A$100,0)),"")</f>
        <v>DPS</v>
      </c>
      <c r="O148" s="4">
        <f>IFERROR(INDEX(_怪物基线!$B$2:$B$501,MATCH(INT($L148),_怪物基线!$A$2:$A$501,0)),"")</f>
        <v>164423</v>
      </c>
      <c r="P148" s="4">
        <f>IFERROR(INDEX(_怪物基线!$C$2:$C$501,MATCH(INT($L148),_怪物基线!$A$2:$A$501,0)),"")</f>
        <v>13137</v>
      </c>
      <c r="Q148" s="4">
        <f>IFERROR(INDEX(_怪物基线!$D$2:$D$501,MATCH(INT($L148),_怪物基线!$A$2:$A$501,0)),"")</f>
        <v>17363</v>
      </c>
      <c r="R148" s="4">
        <f>参数!$B$10</f>
        <v>4</v>
      </c>
      <c r="S148" s="4">
        <f>参数!$C$10</f>
        <v>1.2</v>
      </c>
      <c r="T148" s="4">
        <f>参数!$D$10</f>
        <v>1</v>
      </c>
      <c r="U148" s="4">
        <f t="shared" si="14"/>
        <v>657692</v>
      </c>
      <c r="V148" s="4">
        <f t="shared" si="15"/>
        <v>15764.4</v>
      </c>
      <c r="W148" s="4">
        <f t="shared" si="16"/>
        <v>17363</v>
      </c>
      <c r="X148" s="4">
        <f>IFERROR(INDEX(参数!$B$5:$B$7,MATCH($N148,参数!$A$5:$A$7,0)),"")</f>
        <v>1</v>
      </c>
      <c r="Y148" s="4">
        <f>IFERROR(INDEX(参数!$C$5:$C$7,MATCH($N148,参数!$A$5:$A$7,0)),"")</f>
        <v>1.2</v>
      </c>
      <c r="Z148" s="4">
        <f>IFERROR(INDEX(参数!$D$5:$D$7,MATCH($N148,参数!$A$5:$A$7,0)),"")</f>
        <v>1</v>
      </c>
      <c r="AA148" s="4">
        <f>IFERROR(INDEX(楼层配置!$E$5:$E$104,MATCH($K148,楼层配置!$B$5:$B$104,0)),1)</f>
        <v>1</v>
      </c>
      <c r="AB148" s="4">
        <f>IFERROR(INDEX(楼层配置!$F$5:$F$104,MATCH($K148,楼层配置!$B$5:$B$104,0)),1)</f>
        <v>1</v>
      </c>
      <c r="AC148" s="4">
        <f>IFERROR(INDEX(楼层配置!$G$5:$G$104,MATCH($K148,楼层配置!$B$5:$B$104,0)),1)</f>
        <v>1</v>
      </c>
      <c r="AD148" s="6">
        <f t="shared" si="17"/>
        <v>1.5068494194955</v>
      </c>
      <c r="AE148" s="6">
        <f t="shared" si="18"/>
        <v>1.06022653016772</v>
      </c>
      <c r="AF148" s="6">
        <f t="shared" si="19"/>
        <v>1.30034446210917</v>
      </c>
      <c r="AG148" s="4" t="str">
        <f t="shared" si="20"/>
        <v>有效</v>
      </c>
    </row>
    <row r="149" ht="14.25" customHeight="1" spans="1:33">
      <c r="A149" s="4">
        <v>145</v>
      </c>
      <c r="B149" s="4">
        <v>1026</v>
      </c>
      <c r="C149" s="4">
        <v>24</v>
      </c>
      <c r="D149" s="5">
        <f>IFERROR(ROUND($U149*$X149*$AA149*参数!$B$13,0),"")</f>
        <v>657692</v>
      </c>
      <c r="E149" s="5">
        <f>IFERROR(ROUND($V149*$Y149*$AB149*参数!$C$13,0),"")</f>
        <v>18917</v>
      </c>
      <c r="F149" s="5">
        <f>IFERROR(ROUND($W149*$Z149*$AC149*参数!$D$13,0),"")</f>
        <v>17363</v>
      </c>
      <c r="G149" s="4">
        <v>262358</v>
      </c>
      <c r="H149" s="4">
        <v>9182</v>
      </c>
      <c r="I149" s="4">
        <v>7548</v>
      </c>
      <c r="J149" s="4">
        <v>29</v>
      </c>
      <c r="K149" s="4">
        <v>29</v>
      </c>
      <c r="L149" s="4">
        <f>IFERROR(INDEX(楼层配置!$D$5:$D$104,MATCH($K149,楼层配置!$B$5:$B$104,0)),"")</f>
        <v>216</v>
      </c>
      <c r="M149" s="4" t="str">
        <f>IFERROR(INDEX(_角色基线!$B$2:$B$100,MATCH($B149,_角色基线!$A$2:$A$100,0)),"")</f>
        <v>乔一</v>
      </c>
      <c r="N149" s="4" t="str">
        <f>IFERROR(INDEX(_角色基线!$C$2:$C$100,MATCH($B149,_角色基线!$A$2:$A$100,0)),"")</f>
        <v>DPS</v>
      </c>
      <c r="O149" s="4">
        <f>IFERROR(INDEX(_怪物基线!$B$2:$B$501,MATCH(INT($L149),_怪物基线!$A$2:$A$501,0)),"")</f>
        <v>164423</v>
      </c>
      <c r="P149" s="4">
        <f>IFERROR(INDEX(_怪物基线!$C$2:$C$501,MATCH(INT($L149),_怪物基线!$A$2:$A$501,0)),"")</f>
        <v>13137</v>
      </c>
      <c r="Q149" s="4">
        <f>IFERROR(INDEX(_怪物基线!$D$2:$D$501,MATCH(INT($L149),_怪物基线!$A$2:$A$501,0)),"")</f>
        <v>17363</v>
      </c>
      <c r="R149" s="4">
        <f>参数!$B$10</f>
        <v>4</v>
      </c>
      <c r="S149" s="4">
        <f>参数!$C$10</f>
        <v>1.2</v>
      </c>
      <c r="T149" s="4">
        <f>参数!$D$10</f>
        <v>1</v>
      </c>
      <c r="U149" s="4">
        <f t="shared" si="14"/>
        <v>657692</v>
      </c>
      <c r="V149" s="4">
        <f t="shared" si="15"/>
        <v>15764.4</v>
      </c>
      <c r="W149" s="4">
        <f t="shared" si="16"/>
        <v>17363</v>
      </c>
      <c r="X149" s="4">
        <f>IFERROR(INDEX(参数!$B$5:$B$7,MATCH($N149,参数!$A$5:$A$7,0)),"")</f>
        <v>1</v>
      </c>
      <c r="Y149" s="4">
        <f>IFERROR(INDEX(参数!$C$5:$C$7,MATCH($N149,参数!$A$5:$A$7,0)),"")</f>
        <v>1.2</v>
      </c>
      <c r="Z149" s="4">
        <f>IFERROR(INDEX(参数!$D$5:$D$7,MATCH($N149,参数!$A$5:$A$7,0)),"")</f>
        <v>1</v>
      </c>
      <c r="AA149" s="4">
        <f>IFERROR(INDEX(楼层配置!$E$5:$E$104,MATCH($K149,楼层配置!$B$5:$B$104,0)),1)</f>
        <v>1</v>
      </c>
      <c r="AB149" s="4">
        <f>IFERROR(INDEX(楼层配置!$F$5:$F$104,MATCH($K149,楼层配置!$B$5:$B$104,0)),1)</f>
        <v>1</v>
      </c>
      <c r="AC149" s="4">
        <f>IFERROR(INDEX(楼层配置!$G$5:$G$104,MATCH($K149,楼层配置!$B$5:$B$104,0)),1)</f>
        <v>1</v>
      </c>
      <c r="AD149" s="6">
        <f t="shared" si="17"/>
        <v>1.5068494194955</v>
      </c>
      <c r="AE149" s="6">
        <f t="shared" si="18"/>
        <v>1.06022653016772</v>
      </c>
      <c r="AF149" s="6">
        <f t="shared" si="19"/>
        <v>1.30034446210917</v>
      </c>
      <c r="AG149" s="4" t="str">
        <f t="shared" si="20"/>
        <v>有效</v>
      </c>
    </row>
    <row r="150" ht="14.25" customHeight="1" spans="1:33">
      <c r="A150" s="4">
        <v>146</v>
      </c>
      <c r="B150" s="4">
        <v>1030</v>
      </c>
      <c r="C150" s="4">
        <v>25</v>
      </c>
      <c r="D150" s="5">
        <f>IFERROR(ROUND($U150*$X150*$AA150*参数!$B$13,0),"")</f>
        <v>1031994</v>
      </c>
      <c r="E150" s="5">
        <f>IFERROR(ROUND($V150*$Y150*$AB150*参数!$C$13,0),"")</f>
        <v>16249</v>
      </c>
      <c r="F150" s="5">
        <f>IFERROR(ROUND($W150*$Z150*$AC150*参数!$D$13,0),"")</f>
        <v>26676</v>
      </c>
      <c r="G150" s="4">
        <v>418896</v>
      </c>
      <c r="H150" s="4">
        <v>7970</v>
      </c>
      <c r="I150" s="4">
        <v>11738</v>
      </c>
      <c r="J150" s="4">
        <v>30</v>
      </c>
      <c r="K150" s="4">
        <v>30</v>
      </c>
      <c r="L150" s="4">
        <f>IFERROR(INDEX(楼层配置!$D$5:$D$104,MATCH($K150,楼层配置!$B$5:$B$104,0)),"")</f>
        <v>220</v>
      </c>
      <c r="M150" s="4" t="str">
        <f>IFERROR(INDEX(_角色基线!$B$2:$B$100,MATCH($B150,_角色基线!$A$2:$A$100,0)),"")</f>
        <v>莫莉</v>
      </c>
      <c r="N150" s="4" t="str">
        <f>IFERROR(INDEX(_角色基线!$C$2:$C$100,MATCH($B150,_角色基线!$A$2:$A$100,0)),"")</f>
        <v>Tank</v>
      </c>
      <c r="O150" s="4">
        <f>IFERROR(INDEX(_怪物基线!$B$2:$B$501,MATCH(INT($L150),_怪物基线!$A$2:$A$501,0)),"")</f>
        <v>171999</v>
      </c>
      <c r="P150" s="4">
        <f>IFERROR(INDEX(_怪物基线!$C$2:$C$501,MATCH(INT($L150),_怪物基线!$A$2:$A$501,0)),"")</f>
        <v>13541</v>
      </c>
      <c r="Q150" s="4">
        <f>IFERROR(INDEX(_怪物基线!$D$2:$D$501,MATCH(INT($L150),_怪物基线!$A$2:$A$501,0)),"")</f>
        <v>17784</v>
      </c>
      <c r="R150" s="4">
        <f>参数!$B$10</f>
        <v>4</v>
      </c>
      <c r="S150" s="4">
        <f>参数!$C$10</f>
        <v>1.2</v>
      </c>
      <c r="T150" s="4">
        <f>参数!$D$10</f>
        <v>1</v>
      </c>
      <c r="U150" s="4">
        <f t="shared" si="14"/>
        <v>687996</v>
      </c>
      <c r="V150" s="4">
        <f t="shared" si="15"/>
        <v>16249.2</v>
      </c>
      <c r="W150" s="4">
        <f t="shared" si="16"/>
        <v>17784</v>
      </c>
      <c r="X150" s="4">
        <f>IFERROR(INDEX(参数!$B$5:$B$7,MATCH($N150,参数!$A$5:$A$7,0)),"")</f>
        <v>1.5</v>
      </c>
      <c r="Y150" s="4">
        <f>IFERROR(INDEX(参数!$C$5:$C$7,MATCH($N150,参数!$A$5:$A$7,0)),"")</f>
        <v>1</v>
      </c>
      <c r="Z150" s="4">
        <f>IFERROR(INDEX(参数!$D$5:$D$7,MATCH($N150,参数!$A$5:$A$7,0)),"")</f>
        <v>1.5</v>
      </c>
      <c r="AA150" s="4">
        <f>IFERROR(INDEX(楼层配置!$E$5:$E$104,MATCH($K150,楼层配置!$B$5:$B$104,0)),1)</f>
        <v>1</v>
      </c>
      <c r="AB150" s="4">
        <f>IFERROR(INDEX(楼层配置!$F$5:$F$104,MATCH($K150,楼层配置!$B$5:$B$104,0)),1)</f>
        <v>1</v>
      </c>
      <c r="AC150" s="4">
        <f>IFERROR(INDEX(楼层配置!$G$5:$G$104,MATCH($K150,楼层配置!$B$5:$B$104,0)),1)</f>
        <v>1</v>
      </c>
      <c r="AD150" s="6">
        <f t="shared" si="17"/>
        <v>1.46360433138536</v>
      </c>
      <c r="AE150" s="6">
        <f t="shared" si="18"/>
        <v>1.03877038895859</v>
      </c>
      <c r="AF150" s="6">
        <f t="shared" si="19"/>
        <v>1.27261884477765</v>
      </c>
      <c r="AG150" s="4" t="str">
        <f t="shared" si="20"/>
        <v>有效</v>
      </c>
    </row>
    <row r="151" ht="14.25" customHeight="1" spans="1:33">
      <c r="A151" s="4">
        <v>147</v>
      </c>
      <c r="B151" s="4">
        <v>1001</v>
      </c>
      <c r="C151" s="4">
        <v>25</v>
      </c>
      <c r="D151" s="5">
        <f>IFERROR(ROUND($U151*$X151*$AA151*参数!$B$13,0),"")</f>
        <v>687996</v>
      </c>
      <c r="E151" s="5">
        <f>IFERROR(ROUND($V151*$Y151*$AB151*参数!$C$13,0),"")</f>
        <v>19499</v>
      </c>
      <c r="F151" s="5">
        <f>IFERROR(ROUND($W151*$Z151*$AC151*参数!$D$13,0),"")</f>
        <v>17784</v>
      </c>
      <c r="G151" s="4">
        <v>279264</v>
      </c>
      <c r="H151" s="4">
        <v>9564</v>
      </c>
      <c r="I151" s="4">
        <v>7825</v>
      </c>
      <c r="J151" s="4">
        <v>30</v>
      </c>
      <c r="K151" s="4">
        <v>30</v>
      </c>
      <c r="L151" s="4">
        <f>IFERROR(INDEX(楼层配置!$D$5:$D$104,MATCH($K151,楼层配置!$B$5:$B$104,0)),"")</f>
        <v>220</v>
      </c>
      <c r="M151" s="4" t="str">
        <f>IFERROR(INDEX(_角色基线!$B$2:$B$100,MATCH($B151,_角色基线!$A$2:$A$100,0)),"")</f>
        <v>星海</v>
      </c>
      <c r="N151" s="4" t="str">
        <f>IFERROR(INDEX(_角色基线!$C$2:$C$100,MATCH($B151,_角色基线!$A$2:$A$100,0)),"")</f>
        <v>DPS</v>
      </c>
      <c r="O151" s="4">
        <f>IFERROR(INDEX(_怪物基线!$B$2:$B$501,MATCH(INT($L151),_怪物基线!$A$2:$A$501,0)),"")</f>
        <v>171999</v>
      </c>
      <c r="P151" s="4">
        <f>IFERROR(INDEX(_怪物基线!$C$2:$C$501,MATCH(INT($L151),_怪物基线!$A$2:$A$501,0)),"")</f>
        <v>13541</v>
      </c>
      <c r="Q151" s="4">
        <f>IFERROR(INDEX(_怪物基线!$D$2:$D$501,MATCH(INT($L151),_怪物基线!$A$2:$A$501,0)),"")</f>
        <v>17784</v>
      </c>
      <c r="R151" s="4">
        <f>参数!$B$10</f>
        <v>4</v>
      </c>
      <c r="S151" s="4">
        <f>参数!$C$10</f>
        <v>1.2</v>
      </c>
      <c r="T151" s="4">
        <f>参数!$D$10</f>
        <v>1</v>
      </c>
      <c r="U151" s="4">
        <f t="shared" si="14"/>
        <v>687996</v>
      </c>
      <c r="V151" s="4">
        <f t="shared" si="15"/>
        <v>16249.2</v>
      </c>
      <c r="W151" s="4">
        <f t="shared" si="16"/>
        <v>17784</v>
      </c>
      <c r="X151" s="4">
        <f>IFERROR(INDEX(参数!$B$5:$B$7,MATCH($N151,参数!$A$5:$A$7,0)),"")</f>
        <v>1</v>
      </c>
      <c r="Y151" s="4">
        <f>IFERROR(INDEX(参数!$C$5:$C$7,MATCH($N151,参数!$A$5:$A$7,0)),"")</f>
        <v>1.2</v>
      </c>
      <c r="Z151" s="4">
        <f>IFERROR(INDEX(参数!$D$5:$D$7,MATCH($N151,参数!$A$5:$A$7,0)),"")</f>
        <v>1</v>
      </c>
      <c r="AA151" s="4">
        <f>IFERROR(INDEX(楼层配置!$E$5:$E$104,MATCH($K151,楼层配置!$B$5:$B$104,0)),1)</f>
        <v>1</v>
      </c>
      <c r="AB151" s="4">
        <f>IFERROR(INDEX(楼层配置!$F$5:$F$104,MATCH($K151,楼层配置!$B$5:$B$104,0)),1)</f>
        <v>1</v>
      </c>
      <c r="AC151" s="4">
        <f>IFERROR(INDEX(楼层配置!$G$5:$G$104,MATCH($K151,楼层配置!$B$5:$B$104,0)),1)</f>
        <v>1</v>
      </c>
      <c r="AD151" s="6">
        <f t="shared" si="17"/>
        <v>1.46360433138536</v>
      </c>
      <c r="AE151" s="6">
        <f t="shared" si="18"/>
        <v>1.038791300711</v>
      </c>
      <c r="AF151" s="6">
        <f t="shared" si="19"/>
        <v>1.27271565495208</v>
      </c>
      <c r="AG151" s="4" t="str">
        <f t="shared" si="20"/>
        <v>有效</v>
      </c>
    </row>
    <row r="152" ht="14.25" customHeight="1" spans="1:33">
      <c r="A152" s="4">
        <v>148</v>
      </c>
      <c r="B152" s="4">
        <v>1021</v>
      </c>
      <c r="C152" s="4">
        <v>25</v>
      </c>
      <c r="D152" s="5">
        <f>IFERROR(ROUND($U152*$X152*$AA152*参数!$B$13,0),"")</f>
        <v>687996</v>
      </c>
      <c r="E152" s="5">
        <f>IFERROR(ROUND($V152*$Y152*$AB152*参数!$C$13,0),"")</f>
        <v>19499</v>
      </c>
      <c r="F152" s="5">
        <f>IFERROR(ROUND($W152*$Z152*$AC152*参数!$D$13,0),"")</f>
        <v>17784</v>
      </c>
      <c r="G152" s="4">
        <v>279264</v>
      </c>
      <c r="H152" s="4">
        <v>9564</v>
      </c>
      <c r="I152" s="4">
        <v>7825</v>
      </c>
      <c r="J152" s="4">
        <v>30</v>
      </c>
      <c r="K152" s="4">
        <v>30</v>
      </c>
      <c r="L152" s="4">
        <f>IFERROR(INDEX(楼层配置!$D$5:$D$104,MATCH($K152,楼层配置!$B$5:$B$104,0)),"")</f>
        <v>220</v>
      </c>
      <c r="M152" s="4" t="str">
        <f>IFERROR(INDEX(_角色基线!$B$2:$B$100,MATCH($B152,_角色基线!$A$2:$A$100,0)),"")</f>
        <v>梅梅</v>
      </c>
      <c r="N152" s="4" t="str">
        <f>IFERROR(INDEX(_角色基线!$C$2:$C$100,MATCH($B152,_角色基线!$A$2:$A$100,0)),"")</f>
        <v>DPS</v>
      </c>
      <c r="O152" s="4">
        <f>IFERROR(INDEX(_怪物基线!$B$2:$B$501,MATCH(INT($L152),_怪物基线!$A$2:$A$501,0)),"")</f>
        <v>171999</v>
      </c>
      <c r="P152" s="4">
        <f>IFERROR(INDEX(_怪物基线!$C$2:$C$501,MATCH(INT($L152),_怪物基线!$A$2:$A$501,0)),"")</f>
        <v>13541</v>
      </c>
      <c r="Q152" s="4">
        <f>IFERROR(INDEX(_怪物基线!$D$2:$D$501,MATCH(INT($L152),_怪物基线!$A$2:$A$501,0)),"")</f>
        <v>17784</v>
      </c>
      <c r="R152" s="4">
        <f>参数!$B$10</f>
        <v>4</v>
      </c>
      <c r="S152" s="4">
        <f>参数!$C$10</f>
        <v>1.2</v>
      </c>
      <c r="T152" s="4">
        <f>参数!$D$10</f>
        <v>1</v>
      </c>
      <c r="U152" s="4">
        <f t="shared" si="14"/>
        <v>687996</v>
      </c>
      <c r="V152" s="4">
        <f t="shared" si="15"/>
        <v>16249.2</v>
      </c>
      <c r="W152" s="4">
        <f t="shared" si="16"/>
        <v>17784</v>
      </c>
      <c r="X152" s="4">
        <f>IFERROR(INDEX(参数!$B$5:$B$7,MATCH($N152,参数!$A$5:$A$7,0)),"")</f>
        <v>1</v>
      </c>
      <c r="Y152" s="4">
        <f>IFERROR(INDEX(参数!$C$5:$C$7,MATCH($N152,参数!$A$5:$A$7,0)),"")</f>
        <v>1.2</v>
      </c>
      <c r="Z152" s="4">
        <f>IFERROR(INDEX(参数!$D$5:$D$7,MATCH($N152,参数!$A$5:$A$7,0)),"")</f>
        <v>1</v>
      </c>
      <c r="AA152" s="4">
        <f>IFERROR(INDEX(楼层配置!$E$5:$E$104,MATCH($K152,楼层配置!$B$5:$B$104,0)),1)</f>
        <v>1</v>
      </c>
      <c r="AB152" s="4">
        <f>IFERROR(INDEX(楼层配置!$F$5:$F$104,MATCH($K152,楼层配置!$B$5:$B$104,0)),1)</f>
        <v>1</v>
      </c>
      <c r="AC152" s="4">
        <f>IFERROR(INDEX(楼层配置!$G$5:$G$104,MATCH($K152,楼层配置!$B$5:$B$104,0)),1)</f>
        <v>1</v>
      </c>
      <c r="AD152" s="6">
        <f t="shared" si="17"/>
        <v>1.46360433138536</v>
      </c>
      <c r="AE152" s="6">
        <f t="shared" si="18"/>
        <v>1.038791300711</v>
      </c>
      <c r="AF152" s="6">
        <f t="shared" si="19"/>
        <v>1.27271565495208</v>
      </c>
      <c r="AG152" s="4" t="str">
        <f t="shared" si="20"/>
        <v>有效</v>
      </c>
    </row>
    <row r="153" ht="14.25" customHeight="1" spans="1:33">
      <c r="A153" s="4">
        <v>149</v>
      </c>
      <c r="B153" s="4">
        <v>1020</v>
      </c>
      <c r="C153" s="4">
        <v>25</v>
      </c>
      <c r="D153" s="5">
        <f>IFERROR(ROUND($U153*$X153*$AA153*参数!$B$13,0),"")</f>
        <v>859995</v>
      </c>
      <c r="E153" s="5">
        <f>IFERROR(ROUND($V153*$Y153*$AB153*参数!$C$13,0),"")</f>
        <v>16249</v>
      </c>
      <c r="F153" s="5">
        <f>IFERROR(ROUND($W153*$Z153*$AC153*参数!$D$13,0),"")</f>
        <v>22230</v>
      </c>
      <c r="G153" s="4">
        <v>349080</v>
      </c>
      <c r="H153" s="4">
        <v>7970</v>
      </c>
      <c r="I153" s="4">
        <v>9782</v>
      </c>
      <c r="J153" s="4">
        <v>30</v>
      </c>
      <c r="K153" s="4">
        <v>30</v>
      </c>
      <c r="L153" s="4">
        <f>IFERROR(INDEX(楼层配置!$D$5:$D$104,MATCH($K153,楼层配置!$B$5:$B$104,0)),"")</f>
        <v>220</v>
      </c>
      <c r="M153" s="4" t="str">
        <f>IFERROR(INDEX(_角色基线!$B$2:$B$100,MATCH($B153,_角色基线!$A$2:$A$100,0)),"")</f>
        <v>卡斯帕</v>
      </c>
      <c r="N153" s="4" t="str">
        <f>IFERROR(INDEX(_角色基线!$C$2:$C$100,MATCH($B153,_角色基线!$A$2:$A$100,0)),"")</f>
        <v>Support</v>
      </c>
      <c r="O153" s="4">
        <f>IFERROR(INDEX(_怪物基线!$B$2:$B$501,MATCH(INT($L153),_怪物基线!$A$2:$A$501,0)),"")</f>
        <v>171999</v>
      </c>
      <c r="P153" s="4">
        <f>IFERROR(INDEX(_怪物基线!$C$2:$C$501,MATCH(INT($L153),_怪物基线!$A$2:$A$501,0)),"")</f>
        <v>13541</v>
      </c>
      <c r="Q153" s="4">
        <f>IFERROR(INDEX(_怪物基线!$D$2:$D$501,MATCH(INT($L153),_怪物基线!$A$2:$A$501,0)),"")</f>
        <v>17784</v>
      </c>
      <c r="R153" s="4">
        <f>参数!$B$10</f>
        <v>4</v>
      </c>
      <c r="S153" s="4">
        <f>参数!$C$10</f>
        <v>1.2</v>
      </c>
      <c r="T153" s="4">
        <f>参数!$D$10</f>
        <v>1</v>
      </c>
      <c r="U153" s="4">
        <f t="shared" si="14"/>
        <v>687996</v>
      </c>
      <c r="V153" s="4">
        <f t="shared" si="15"/>
        <v>16249.2</v>
      </c>
      <c r="W153" s="4">
        <f t="shared" si="16"/>
        <v>17784</v>
      </c>
      <c r="X153" s="4">
        <f>IFERROR(INDEX(参数!$B$5:$B$7,MATCH($N153,参数!$A$5:$A$7,0)),"")</f>
        <v>1.25</v>
      </c>
      <c r="Y153" s="4">
        <f>IFERROR(INDEX(参数!$C$5:$C$7,MATCH($N153,参数!$A$5:$A$7,0)),"")</f>
        <v>1</v>
      </c>
      <c r="Z153" s="4">
        <f>IFERROR(INDEX(参数!$D$5:$D$7,MATCH($N153,参数!$A$5:$A$7,0)),"")</f>
        <v>1.25</v>
      </c>
      <c r="AA153" s="4">
        <f>IFERROR(INDEX(楼层配置!$E$5:$E$104,MATCH($K153,楼层配置!$B$5:$B$104,0)),1)</f>
        <v>1</v>
      </c>
      <c r="AB153" s="4">
        <f>IFERROR(INDEX(楼层配置!$F$5:$F$104,MATCH($K153,楼层配置!$B$5:$B$104,0)),1)</f>
        <v>1</v>
      </c>
      <c r="AC153" s="4">
        <f>IFERROR(INDEX(楼层配置!$G$5:$G$104,MATCH($K153,楼层配置!$B$5:$B$104,0)),1)</f>
        <v>1</v>
      </c>
      <c r="AD153" s="6">
        <f t="shared" si="17"/>
        <v>1.46360433138536</v>
      </c>
      <c r="AE153" s="6">
        <f t="shared" si="18"/>
        <v>1.03877038895859</v>
      </c>
      <c r="AF153" s="6">
        <f t="shared" si="19"/>
        <v>1.27254140257616</v>
      </c>
      <c r="AG153" s="4" t="str">
        <f t="shared" si="20"/>
        <v>有效</v>
      </c>
    </row>
    <row r="154" ht="14.25" customHeight="1" spans="1:33">
      <c r="A154" s="4">
        <v>150</v>
      </c>
      <c r="B154" s="4">
        <v>1011</v>
      </c>
      <c r="C154" s="4">
        <v>25</v>
      </c>
      <c r="D154" s="5">
        <f>IFERROR(ROUND($U154*$X154*$AA154*参数!$B$13,0),"")</f>
        <v>859995</v>
      </c>
      <c r="E154" s="5">
        <f>IFERROR(ROUND($V154*$Y154*$AB154*参数!$C$13,0),"")</f>
        <v>16249</v>
      </c>
      <c r="F154" s="5">
        <f>IFERROR(ROUND($W154*$Z154*$AC154*参数!$D$13,0),"")</f>
        <v>22230</v>
      </c>
      <c r="G154" s="4">
        <v>349080</v>
      </c>
      <c r="H154" s="4">
        <v>7970</v>
      </c>
      <c r="I154" s="4">
        <v>9782</v>
      </c>
      <c r="J154" s="4">
        <v>30</v>
      </c>
      <c r="K154" s="4">
        <v>30</v>
      </c>
      <c r="L154" s="4">
        <f>IFERROR(INDEX(楼层配置!$D$5:$D$104,MATCH($K154,楼层配置!$B$5:$B$104,0)),"")</f>
        <v>220</v>
      </c>
      <c r="M154" s="4" t="str">
        <f>IFERROR(INDEX(_角色基线!$B$2:$B$100,MATCH($B154,_角色基线!$A$2:$A$100,0)),"")</f>
        <v>陈双双</v>
      </c>
      <c r="N154" s="4" t="str">
        <f>IFERROR(INDEX(_角色基线!$C$2:$C$100,MATCH($B154,_角色基线!$A$2:$A$100,0)),"")</f>
        <v>Support</v>
      </c>
      <c r="O154" s="4">
        <f>IFERROR(INDEX(_怪物基线!$B$2:$B$501,MATCH(INT($L154),_怪物基线!$A$2:$A$501,0)),"")</f>
        <v>171999</v>
      </c>
      <c r="P154" s="4">
        <f>IFERROR(INDEX(_怪物基线!$C$2:$C$501,MATCH(INT($L154),_怪物基线!$A$2:$A$501,0)),"")</f>
        <v>13541</v>
      </c>
      <c r="Q154" s="4">
        <f>IFERROR(INDEX(_怪物基线!$D$2:$D$501,MATCH(INT($L154),_怪物基线!$A$2:$A$501,0)),"")</f>
        <v>17784</v>
      </c>
      <c r="R154" s="4">
        <f>参数!$B$10</f>
        <v>4</v>
      </c>
      <c r="S154" s="4">
        <f>参数!$C$10</f>
        <v>1.2</v>
      </c>
      <c r="T154" s="4">
        <f>参数!$D$10</f>
        <v>1</v>
      </c>
      <c r="U154" s="4">
        <f t="shared" si="14"/>
        <v>687996</v>
      </c>
      <c r="V154" s="4">
        <f t="shared" si="15"/>
        <v>16249.2</v>
      </c>
      <c r="W154" s="4">
        <f t="shared" si="16"/>
        <v>17784</v>
      </c>
      <c r="X154" s="4">
        <f>IFERROR(INDEX(参数!$B$5:$B$7,MATCH($N154,参数!$A$5:$A$7,0)),"")</f>
        <v>1.25</v>
      </c>
      <c r="Y154" s="4">
        <f>IFERROR(INDEX(参数!$C$5:$C$7,MATCH($N154,参数!$A$5:$A$7,0)),"")</f>
        <v>1</v>
      </c>
      <c r="Z154" s="4">
        <f>IFERROR(INDEX(参数!$D$5:$D$7,MATCH($N154,参数!$A$5:$A$7,0)),"")</f>
        <v>1.25</v>
      </c>
      <c r="AA154" s="4">
        <f>IFERROR(INDEX(楼层配置!$E$5:$E$104,MATCH($K154,楼层配置!$B$5:$B$104,0)),1)</f>
        <v>1</v>
      </c>
      <c r="AB154" s="4">
        <f>IFERROR(INDEX(楼层配置!$F$5:$F$104,MATCH($K154,楼层配置!$B$5:$B$104,0)),1)</f>
        <v>1</v>
      </c>
      <c r="AC154" s="4">
        <f>IFERROR(INDEX(楼层配置!$G$5:$G$104,MATCH($K154,楼层配置!$B$5:$B$104,0)),1)</f>
        <v>1</v>
      </c>
      <c r="AD154" s="6">
        <f t="shared" si="17"/>
        <v>1.46360433138536</v>
      </c>
      <c r="AE154" s="6">
        <f t="shared" si="18"/>
        <v>1.03877038895859</v>
      </c>
      <c r="AF154" s="6">
        <f t="shared" si="19"/>
        <v>1.27254140257616</v>
      </c>
      <c r="AG154" s="4" t="str">
        <f t="shared" si="20"/>
        <v>有效</v>
      </c>
    </row>
    <row r="155" ht="14.25" customHeight="1" spans="1:33">
      <c r="A155" s="4">
        <v>151</v>
      </c>
      <c r="B155" s="4">
        <v>1030</v>
      </c>
      <c r="C155" s="4">
        <v>25</v>
      </c>
      <c r="D155" s="5">
        <f>IFERROR(ROUND($U155*$X155*$AA155*参数!$B$13,0),"")</f>
        <v>1078938</v>
      </c>
      <c r="E155" s="5">
        <f>IFERROR(ROUND($V155*$Y155*$AB155*参数!$C$13,0),"")</f>
        <v>16745</v>
      </c>
      <c r="F155" s="5">
        <f>IFERROR(ROUND($W155*$Z155*$AC155*参数!$D$13,0),"")</f>
        <v>27315</v>
      </c>
      <c r="G155" s="4">
        <v>445348</v>
      </c>
      <c r="H155" s="4">
        <v>8296</v>
      </c>
      <c r="I155" s="4">
        <v>12157</v>
      </c>
      <c r="J155" s="4">
        <v>31</v>
      </c>
      <c r="K155" s="4">
        <v>31</v>
      </c>
      <c r="L155" s="4">
        <f>IFERROR(INDEX(楼层配置!$D$5:$D$104,MATCH($K155,楼层配置!$B$5:$B$104,0)),"")</f>
        <v>224</v>
      </c>
      <c r="M155" s="4" t="str">
        <f>IFERROR(INDEX(_角色基线!$B$2:$B$100,MATCH($B155,_角色基线!$A$2:$A$100,0)),"")</f>
        <v>莫莉</v>
      </c>
      <c r="N155" s="4" t="str">
        <f>IFERROR(INDEX(_角色基线!$C$2:$C$100,MATCH($B155,_角色基线!$A$2:$A$100,0)),"")</f>
        <v>Tank</v>
      </c>
      <c r="O155" s="4">
        <f>IFERROR(INDEX(_怪物基线!$B$2:$B$501,MATCH(INT($L155),_怪物基线!$A$2:$A$501,0)),"")</f>
        <v>179823</v>
      </c>
      <c r="P155" s="4">
        <f>IFERROR(INDEX(_怪物基线!$C$2:$C$501,MATCH(INT($L155),_怪物基线!$A$2:$A$501,0)),"")</f>
        <v>13954</v>
      </c>
      <c r="Q155" s="4">
        <f>IFERROR(INDEX(_怪物基线!$D$2:$D$501,MATCH(INT($L155),_怪物基线!$A$2:$A$501,0)),"")</f>
        <v>18210</v>
      </c>
      <c r="R155" s="4">
        <f>参数!$B$10</f>
        <v>4</v>
      </c>
      <c r="S155" s="4">
        <f>参数!$C$10</f>
        <v>1.2</v>
      </c>
      <c r="T155" s="4">
        <f>参数!$D$10</f>
        <v>1</v>
      </c>
      <c r="U155" s="4">
        <f t="shared" si="14"/>
        <v>719292</v>
      </c>
      <c r="V155" s="4">
        <f t="shared" si="15"/>
        <v>16744.8</v>
      </c>
      <c r="W155" s="4">
        <f t="shared" si="16"/>
        <v>18210</v>
      </c>
      <c r="X155" s="4">
        <f>IFERROR(INDEX(参数!$B$5:$B$7,MATCH($N155,参数!$A$5:$A$7,0)),"")</f>
        <v>1.5</v>
      </c>
      <c r="Y155" s="4">
        <f>IFERROR(INDEX(参数!$C$5:$C$7,MATCH($N155,参数!$A$5:$A$7,0)),"")</f>
        <v>1</v>
      </c>
      <c r="Z155" s="4">
        <f>IFERROR(INDEX(参数!$D$5:$D$7,MATCH($N155,参数!$A$5:$A$7,0)),"")</f>
        <v>1.5</v>
      </c>
      <c r="AA155" s="4">
        <f>IFERROR(INDEX(楼层配置!$E$5:$E$104,MATCH($K155,楼层配置!$B$5:$B$104,0)),1)</f>
        <v>1</v>
      </c>
      <c r="AB155" s="4">
        <f>IFERROR(INDEX(楼层配置!$F$5:$F$104,MATCH($K155,楼层配置!$B$5:$B$104,0)),1)</f>
        <v>1</v>
      </c>
      <c r="AC155" s="4">
        <f>IFERROR(INDEX(楼层配置!$G$5:$G$104,MATCH($K155,楼层配置!$B$5:$B$104,0)),1)</f>
        <v>1</v>
      </c>
      <c r="AD155" s="6">
        <f t="shared" si="17"/>
        <v>1.42268518102697</v>
      </c>
      <c r="AE155" s="6">
        <f t="shared" si="18"/>
        <v>1.01844262295082</v>
      </c>
      <c r="AF155" s="6">
        <f t="shared" si="19"/>
        <v>1.2468536645554</v>
      </c>
      <c r="AG155" s="4" t="str">
        <f t="shared" si="20"/>
        <v>有效</v>
      </c>
    </row>
    <row r="156" ht="14.25" customHeight="1" spans="1:33">
      <c r="A156" s="4">
        <v>152</v>
      </c>
      <c r="B156" s="4">
        <v>1035</v>
      </c>
      <c r="C156" s="4">
        <v>25</v>
      </c>
      <c r="D156" s="5">
        <f>IFERROR(ROUND($U156*$X156*$AA156*参数!$B$13,0),"")</f>
        <v>719292</v>
      </c>
      <c r="E156" s="5">
        <f>IFERROR(ROUND($V156*$Y156*$AB156*参数!$C$13,0),"")</f>
        <v>20094</v>
      </c>
      <c r="F156" s="5">
        <f>IFERROR(ROUND($W156*$Z156*$AC156*参数!$D$13,0),"")</f>
        <v>18210</v>
      </c>
      <c r="G156" s="4">
        <v>296899</v>
      </c>
      <c r="H156" s="4">
        <v>9955</v>
      </c>
      <c r="I156" s="4">
        <v>8104</v>
      </c>
      <c r="J156" s="4">
        <v>31</v>
      </c>
      <c r="K156" s="4">
        <v>31</v>
      </c>
      <c r="L156" s="4">
        <f>IFERROR(INDEX(楼层配置!$D$5:$D$104,MATCH($K156,楼层配置!$B$5:$B$104,0)),"")</f>
        <v>224</v>
      </c>
      <c r="M156" s="4" t="str">
        <f>IFERROR(INDEX(_角色基线!$B$2:$B$100,MATCH($B156,_角色基线!$A$2:$A$100,0)),"")</f>
        <v>碎冰者</v>
      </c>
      <c r="N156" s="4" t="str">
        <f>IFERROR(INDEX(_角色基线!$C$2:$C$100,MATCH($B156,_角色基线!$A$2:$A$100,0)),"")</f>
        <v>DPS</v>
      </c>
      <c r="O156" s="4">
        <f>IFERROR(INDEX(_怪物基线!$B$2:$B$501,MATCH(INT($L156),_怪物基线!$A$2:$A$501,0)),"")</f>
        <v>179823</v>
      </c>
      <c r="P156" s="4">
        <f>IFERROR(INDEX(_怪物基线!$C$2:$C$501,MATCH(INT($L156),_怪物基线!$A$2:$A$501,0)),"")</f>
        <v>13954</v>
      </c>
      <c r="Q156" s="4">
        <f>IFERROR(INDEX(_怪物基线!$D$2:$D$501,MATCH(INT($L156),_怪物基线!$A$2:$A$501,0)),"")</f>
        <v>18210</v>
      </c>
      <c r="R156" s="4">
        <f>参数!$B$10</f>
        <v>4</v>
      </c>
      <c r="S156" s="4">
        <f>参数!$C$10</f>
        <v>1.2</v>
      </c>
      <c r="T156" s="4">
        <f>参数!$D$10</f>
        <v>1</v>
      </c>
      <c r="U156" s="4">
        <f t="shared" si="14"/>
        <v>719292</v>
      </c>
      <c r="V156" s="4">
        <f t="shared" si="15"/>
        <v>16744.8</v>
      </c>
      <c r="W156" s="4">
        <f t="shared" si="16"/>
        <v>18210</v>
      </c>
      <c r="X156" s="4">
        <f>IFERROR(INDEX(参数!$B$5:$B$7,MATCH($N156,参数!$A$5:$A$7,0)),"")</f>
        <v>1</v>
      </c>
      <c r="Y156" s="4">
        <f>IFERROR(INDEX(参数!$C$5:$C$7,MATCH($N156,参数!$A$5:$A$7,0)),"")</f>
        <v>1.2</v>
      </c>
      <c r="Z156" s="4">
        <f>IFERROR(INDEX(参数!$D$5:$D$7,MATCH($N156,参数!$A$5:$A$7,0)),"")</f>
        <v>1</v>
      </c>
      <c r="AA156" s="4">
        <f>IFERROR(INDEX(楼层配置!$E$5:$E$104,MATCH($K156,楼层配置!$B$5:$B$104,0)),1)</f>
        <v>1</v>
      </c>
      <c r="AB156" s="4">
        <f>IFERROR(INDEX(楼层配置!$F$5:$F$104,MATCH($K156,楼层配置!$B$5:$B$104,0)),1)</f>
        <v>1</v>
      </c>
      <c r="AC156" s="4">
        <f>IFERROR(INDEX(楼层配置!$G$5:$G$104,MATCH($K156,楼层配置!$B$5:$B$104,0)),1)</f>
        <v>1</v>
      </c>
      <c r="AD156" s="6">
        <f t="shared" si="17"/>
        <v>1.42268246103894</v>
      </c>
      <c r="AE156" s="6">
        <f t="shared" si="18"/>
        <v>1.01848317428428</v>
      </c>
      <c r="AF156" s="6">
        <f t="shared" si="19"/>
        <v>1.24703849950642</v>
      </c>
      <c r="AG156" s="4" t="str">
        <f t="shared" si="20"/>
        <v>有效</v>
      </c>
    </row>
    <row r="157" ht="14.25" customHeight="1" spans="1:33">
      <c r="A157" s="4">
        <v>153</v>
      </c>
      <c r="B157" s="4">
        <v>1026</v>
      </c>
      <c r="C157" s="4">
        <v>25</v>
      </c>
      <c r="D157" s="5">
        <f>IFERROR(ROUND($U157*$X157*$AA157*参数!$B$13,0),"")</f>
        <v>719292</v>
      </c>
      <c r="E157" s="5">
        <f>IFERROR(ROUND($V157*$Y157*$AB157*参数!$C$13,0),"")</f>
        <v>20094</v>
      </c>
      <c r="F157" s="5">
        <f>IFERROR(ROUND($W157*$Z157*$AC157*参数!$D$13,0),"")</f>
        <v>18210</v>
      </c>
      <c r="G157" s="4">
        <v>296899</v>
      </c>
      <c r="H157" s="4">
        <v>9955</v>
      </c>
      <c r="I157" s="4">
        <v>8104</v>
      </c>
      <c r="J157" s="4">
        <v>31</v>
      </c>
      <c r="K157" s="4">
        <v>31</v>
      </c>
      <c r="L157" s="4">
        <f>IFERROR(INDEX(楼层配置!$D$5:$D$104,MATCH($K157,楼层配置!$B$5:$B$104,0)),"")</f>
        <v>224</v>
      </c>
      <c r="M157" s="4" t="str">
        <f>IFERROR(INDEX(_角色基线!$B$2:$B$100,MATCH($B157,_角色基线!$A$2:$A$100,0)),"")</f>
        <v>乔一</v>
      </c>
      <c r="N157" s="4" t="str">
        <f>IFERROR(INDEX(_角色基线!$C$2:$C$100,MATCH($B157,_角色基线!$A$2:$A$100,0)),"")</f>
        <v>DPS</v>
      </c>
      <c r="O157" s="4">
        <f>IFERROR(INDEX(_怪物基线!$B$2:$B$501,MATCH(INT($L157),_怪物基线!$A$2:$A$501,0)),"")</f>
        <v>179823</v>
      </c>
      <c r="P157" s="4">
        <f>IFERROR(INDEX(_怪物基线!$C$2:$C$501,MATCH(INT($L157),_怪物基线!$A$2:$A$501,0)),"")</f>
        <v>13954</v>
      </c>
      <c r="Q157" s="4">
        <f>IFERROR(INDEX(_怪物基线!$D$2:$D$501,MATCH(INT($L157),_怪物基线!$A$2:$A$501,0)),"")</f>
        <v>18210</v>
      </c>
      <c r="R157" s="4">
        <f>参数!$B$10</f>
        <v>4</v>
      </c>
      <c r="S157" s="4">
        <f>参数!$C$10</f>
        <v>1.2</v>
      </c>
      <c r="T157" s="4">
        <f>参数!$D$10</f>
        <v>1</v>
      </c>
      <c r="U157" s="4">
        <f t="shared" si="14"/>
        <v>719292</v>
      </c>
      <c r="V157" s="4">
        <f t="shared" si="15"/>
        <v>16744.8</v>
      </c>
      <c r="W157" s="4">
        <f t="shared" si="16"/>
        <v>18210</v>
      </c>
      <c r="X157" s="4">
        <f>IFERROR(INDEX(参数!$B$5:$B$7,MATCH($N157,参数!$A$5:$A$7,0)),"")</f>
        <v>1</v>
      </c>
      <c r="Y157" s="4">
        <f>IFERROR(INDEX(参数!$C$5:$C$7,MATCH($N157,参数!$A$5:$A$7,0)),"")</f>
        <v>1.2</v>
      </c>
      <c r="Z157" s="4">
        <f>IFERROR(INDEX(参数!$D$5:$D$7,MATCH($N157,参数!$A$5:$A$7,0)),"")</f>
        <v>1</v>
      </c>
      <c r="AA157" s="4">
        <f>IFERROR(INDEX(楼层配置!$E$5:$E$104,MATCH($K157,楼层配置!$B$5:$B$104,0)),1)</f>
        <v>1</v>
      </c>
      <c r="AB157" s="4">
        <f>IFERROR(INDEX(楼层配置!$F$5:$F$104,MATCH($K157,楼层配置!$B$5:$B$104,0)),1)</f>
        <v>1</v>
      </c>
      <c r="AC157" s="4">
        <f>IFERROR(INDEX(楼层配置!$G$5:$G$104,MATCH($K157,楼层配置!$B$5:$B$104,0)),1)</f>
        <v>1</v>
      </c>
      <c r="AD157" s="6">
        <f t="shared" si="17"/>
        <v>1.42268246103894</v>
      </c>
      <c r="AE157" s="6">
        <f t="shared" si="18"/>
        <v>1.01848317428428</v>
      </c>
      <c r="AF157" s="6">
        <f t="shared" si="19"/>
        <v>1.24703849950642</v>
      </c>
      <c r="AG157" s="4" t="str">
        <f t="shared" si="20"/>
        <v>有效</v>
      </c>
    </row>
    <row r="158" ht="14.25" customHeight="1" spans="1:33">
      <c r="A158" s="4">
        <v>154</v>
      </c>
      <c r="B158" s="4">
        <v>1011</v>
      </c>
      <c r="C158" s="4">
        <v>25</v>
      </c>
      <c r="D158" s="5">
        <f>IFERROR(ROUND($U158*$X158*$AA158*参数!$B$13,0),"")</f>
        <v>899115</v>
      </c>
      <c r="E158" s="5">
        <f>IFERROR(ROUND($V158*$Y158*$AB158*参数!$C$13,0),"")</f>
        <v>16745</v>
      </c>
      <c r="F158" s="5">
        <f>IFERROR(ROUND($W158*$Z158*$AC158*参数!$D$13,0),"")</f>
        <v>22763</v>
      </c>
      <c r="G158" s="4">
        <v>371124</v>
      </c>
      <c r="H158" s="4">
        <v>8296</v>
      </c>
      <c r="I158" s="4">
        <v>10131</v>
      </c>
      <c r="J158" s="4">
        <v>31</v>
      </c>
      <c r="K158" s="4">
        <v>31</v>
      </c>
      <c r="L158" s="4">
        <f>IFERROR(INDEX(楼层配置!$D$5:$D$104,MATCH($K158,楼层配置!$B$5:$B$104,0)),"")</f>
        <v>224</v>
      </c>
      <c r="M158" s="4" t="str">
        <f>IFERROR(INDEX(_角色基线!$B$2:$B$100,MATCH($B158,_角色基线!$A$2:$A$100,0)),"")</f>
        <v>陈双双</v>
      </c>
      <c r="N158" s="4" t="str">
        <f>IFERROR(INDEX(_角色基线!$C$2:$C$100,MATCH($B158,_角色基线!$A$2:$A$100,0)),"")</f>
        <v>Support</v>
      </c>
      <c r="O158" s="4">
        <f>IFERROR(INDEX(_怪物基线!$B$2:$B$501,MATCH(INT($L158),_怪物基线!$A$2:$A$501,0)),"")</f>
        <v>179823</v>
      </c>
      <c r="P158" s="4">
        <f>IFERROR(INDEX(_怪物基线!$C$2:$C$501,MATCH(INT($L158),_怪物基线!$A$2:$A$501,0)),"")</f>
        <v>13954</v>
      </c>
      <c r="Q158" s="4">
        <f>IFERROR(INDEX(_怪物基线!$D$2:$D$501,MATCH(INT($L158),_怪物基线!$A$2:$A$501,0)),"")</f>
        <v>18210</v>
      </c>
      <c r="R158" s="4">
        <f>参数!$B$10</f>
        <v>4</v>
      </c>
      <c r="S158" s="4">
        <f>参数!$C$10</f>
        <v>1.2</v>
      </c>
      <c r="T158" s="4">
        <f>参数!$D$10</f>
        <v>1</v>
      </c>
      <c r="U158" s="4">
        <f t="shared" si="14"/>
        <v>719292</v>
      </c>
      <c r="V158" s="4">
        <f t="shared" si="15"/>
        <v>16744.8</v>
      </c>
      <c r="W158" s="4">
        <f t="shared" si="16"/>
        <v>18210</v>
      </c>
      <c r="X158" s="4">
        <f>IFERROR(INDEX(参数!$B$5:$B$7,MATCH($N158,参数!$A$5:$A$7,0)),"")</f>
        <v>1.25</v>
      </c>
      <c r="Y158" s="4">
        <f>IFERROR(INDEX(参数!$C$5:$C$7,MATCH($N158,参数!$A$5:$A$7,0)),"")</f>
        <v>1</v>
      </c>
      <c r="Z158" s="4">
        <f>IFERROR(INDEX(参数!$D$5:$D$7,MATCH($N158,参数!$A$5:$A$7,0)),"")</f>
        <v>1.25</v>
      </c>
      <c r="AA158" s="4">
        <f>IFERROR(INDEX(楼层配置!$E$5:$E$104,MATCH($K158,楼层配置!$B$5:$B$104,0)),1)</f>
        <v>1</v>
      </c>
      <c r="AB158" s="4">
        <f>IFERROR(INDEX(楼层配置!$F$5:$F$104,MATCH($K158,楼层配置!$B$5:$B$104,0)),1)</f>
        <v>1</v>
      </c>
      <c r="AC158" s="4">
        <f>IFERROR(INDEX(楼层配置!$G$5:$G$104,MATCH($K158,楼层配置!$B$5:$B$104,0)),1)</f>
        <v>1</v>
      </c>
      <c r="AD158" s="6">
        <f t="shared" si="17"/>
        <v>1.42268082904905</v>
      </c>
      <c r="AE158" s="6">
        <f t="shared" si="18"/>
        <v>1.01844262295082</v>
      </c>
      <c r="AF158" s="6">
        <f t="shared" si="19"/>
        <v>1.24686605468364</v>
      </c>
      <c r="AG158" s="4" t="str">
        <f t="shared" si="20"/>
        <v>有效</v>
      </c>
    </row>
    <row r="159" ht="14.25" customHeight="1" spans="1:33">
      <c r="A159" s="4">
        <v>155</v>
      </c>
      <c r="B159" s="4">
        <v>1023</v>
      </c>
      <c r="C159" s="4">
        <v>25</v>
      </c>
      <c r="D159" s="5">
        <f>IFERROR(ROUND($U159*$X159*$AA159*参数!$B$13,0),"")</f>
        <v>899115</v>
      </c>
      <c r="E159" s="5">
        <f>IFERROR(ROUND($V159*$Y159*$AB159*参数!$C$13,0),"")</f>
        <v>16745</v>
      </c>
      <c r="F159" s="5">
        <f>IFERROR(ROUND($W159*$Z159*$AC159*参数!$D$13,0),"")</f>
        <v>22763</v>
      </c>
      <c r="G159" s="4">
        <v>371124</v>
      </c>
      <c r="H159" s="4">
        <v>8296</v>
      </c>
      <c r="I159" s="4">
        <v>10131</v>
      </c>
      <c r="J159" s="4">
        <v>31</v>
      </c>
      <c r="K159" s="4">
        <v>31</v>
      </c>
      <c r="L159" s="4">
        <f>IFERROR(INDEX(楼层配置!$D$5:$D$104,MATCH($K159,楼层配置!$B$5:$B$104,0)),"")</f>
        <v>224</v>
      </c>
      <c r="M159" s="4" t="str">
        <f>IFERROR(INDEX(_角色基线!$B$2:$B$100,MATCH($B159,_角色基线!$A$2:$A$100,0)),"")</f>
        <v>马克</v>
      </c>
      <c r="N159" s="4" t="str">
        <f>IFERROR(INDEX(_角色基线!$C$2:$C$100,MATCH($B159,_角色基线!$A$2:$A$100,0)),"")</f>
        <v>Support</v>
      </c>
      <c r="O159" s="4">
        <f>IFERROR(INDEX(_怪物基线!$B$2:$B$501,MATCH(INT($L159),_怪物基线!$A$2:$A$501,0)),"")</f>
        <v>179823</v>
      </c>
      <c r="P159" s="4">
        <f>IFERROR(INDEX(_怪物基线!$C$2:$C$501,MATCH(INT($L159),_怪物基线!$A$2:$A$501,0)),"")</f>
        <v>13954</v>
      </c>
      <c r="Q159" s="4">
        <f>IFERROR(INDEX(_怪物基线!$D$2:$D$501,MATCH(INT($L159),_怪物基线!$A$2:$A$501,0)),"")</f>
        <v>18210</v>
      </c>
      <c r="R159" s="4">
        <f>参数!$B$10</f>
        <v>4</v>
      </c>
      <c r="S159" s="4">
        <f>参数!$C$10</f>
        <v>1.2</v>
      </c>
      <c r="T159" s="4">
        <f>参数!$D$10</f>
        <v>1</v>
      </c>
      <c r="U159" s="4">
        <f t="shared" si="14"/>
        <v>719292</v>
      </c>
      <c r="V159" s="4">
        <f t="shared" si="15"/>
        <v>16744.8</v>
      </c>
      <c r="W159" s="4">
        <f t="shared" si="16"/>
        <v>18210</v>
      </c>
      <c r="X159" s="4">
        <f>IFERROR(INDEX(参数!$B$5:$B$7,MATCH($N159,参数!$A$5:$A$7,0)),"")</f>
        <v>1.25</v>
      </c>
      <c r="Y159" s="4">
        <f>IFERROR(INDEX(参数!$C$5:$C$7,MATCH($N159,参数!$A$5:$A$7,0)),"")</f>
        <v>1</v>
      </c>
      <c r="Z159" s="4">
        <f>IFERROR(INDEX(参数!$D$5:$D$7,MATCH($N159,参数!$A$5:$A$7,0)),"")</f>
        <v>1.25</v>
      </c>
      <c r="AA159" s="4">
        <f>IFERROR(INDEX(楼层配置!$E$5:$E$104,MATCH($K159,楼层配置!$B$5:$B$104,0)),1)</f>
        <v>1</v>
      </c>
      <c r="AB159" s="4">
        <f>IFERROR(INDEX(楼层配置!$F$5:$F$104,MATCH($K159,楼层配置!$B$5:$B$104,0)),1)</f>
        <v>1</v>
      </c>
      <c r="AC159" s="4">
        <f>IFERROR(INDEX(楼层配置!$G$5:$G$104,MATCH($K159,楼层配置!$B$5:$B$104,0)),1)</f>
        <v>1</v>
      </c>
      <c r="AD159" s="6">
        <f t="shared" si="17"/>
        <v>1.42268082904905</v>
      </c>
      <c r="AE159" s="6">
        <f t="shared" si="18"/>
        <v>1.01844262295082</v>
      </c>
      <c r="AF159" s="6">
        <f t="shared" si="19"/>
        <v>1.24686605468364</v>
      </c>
      <c r="AG159" s="4" t="str">
        <f t="shared" si="20"/>
        <v>有效</v>
      </c>
    </row>
    <row r="160" ht="14.25" customHeight="1" spans="1:33">
      <c r="A160" s="4">
        <v>156</v>
      </c>
      <c r="B160" s="4">
        <v>1002</v>
      </c>
      <c r="C160" s="4">
        <v>26</v>
      </c>
      <c r="D160" s="5">
        <f>IFERROR(ROUND($U160*$X160*$AA160*参数!$B$13,0),"")</f>
        <v>1115130</v>
      </c>
      <c r="E160" s="5">
        <f>IFERROR(ROUND($V160*$Y160*$AB160*参数!$C$13,0),"")</f>
        <v>17123</v>
      </c>
      <c r="F160" s="5">
        <f>IFERROR(ROUND($W160*$Z160*$AC160*参数!$D$13,0),"")</f>
        <v>27797</v>
      </c>
      <c r="G160" s="4">
        <v>472932</v>
      </c>
      <c r="H160" s="4">
        <v>8626</v>
      </c>
      <c r="I160" s="4">
        <v>12582</v>
      </c>
      <c r="J160" s="4">
        <v>32</v>
      </c>
      <c r="K160" s="4">
        <v>32</v>
      </c>
      <c r="L160" s="4">
        <f>IFERROR(INDEX(楼层配置!$D$5:$D$104,MATCH($K160,楼层配置!$B$5:$B$104,0)),"")</f>
        <v>227</v>
      </c>
      <c r="M160" s="4" t="str">
        <f>IFERROR(INDEX(_角色基线!$B$2:$B$100,MATCH($B160,_角色基线!$A$2:$A$100,0)),"")</f>
        <v>大暑</v>
      </c>
      <c r="N160" s="4" t="str">
        <f>IFERROR(INDEX(_角色基线!$C$2:$C$100,MATCH($B160,_角色基线!$A$2:$A$100,0)),"")</f>
        <v>Tank</v>
      </c>
      <c r="O160" s="4">
        <f>IFERROR(INDEX(_怪物基线!$B$2:$B$501,MATCH(INT($L160),_怪物基线!$A$2:$A$501,0)),"")</f>
        <v>185855</v>
      </c>
      <c r="P160" s="4">
        <f>IFERROR(INDEX(_怪物基线!$C$2:$C$501,MATCH(INT($L160),_怪物基线!$A$2:$A$501,0)),"")</f>
        <v>14269</v>
      </c>
      <c r="Q160" s="4">
        <f>IFERROR(INDEX(_怪物基线!$D$2:$D$501,MATCH(INT($L160),_怪物基线!$A$2:$A$501,0)),"")</f>
        <v>18531</v>
      </c>
      <c r="R160" s="4">
        <f>参数!$B$10</f>
        <v>4</v>
      </c>
      <c r="S160" s="4">
        <f>参数!$C$10</f>
        <v>1.2</v>
      </c>
      <c r="T160" s="4">
        <f>参数!$D$10</f>
        <v>1</v>
      </c>
      <c r="U160" s="4">
        <f t="shared" si="14"/>
        <v>743420</v>
      </c>
      <c r="V160" s="4">
        <f t="shared" si="15"/>
        <v>17122.8</v>
      </c>
      <c r="W160" s="4">
        <f t="shared" si="16"/>
        <v>18531</v>
      </c>
      <c r="X160" s="4">
        <f>IFERROR(INDEX(参数!$B$5:$B$7,MATCH($N160,参数!$A$5:$A$7,0)),"")</f>
        <v>1.5</v>
      </c>
      <c r="Y160" s="4">
        <f>IFERROR(INDEX(参数!$C$5:$C$7,MATCH($N160,参数!$A$5:$A$7,0)),"")</f>
        <v>1</v>
      </c>
      <c r="Z160" s="4">
        <f>IFERROR(INDEX(参数!$D$5:$D$7,MATCH($N160,参数!$A$5:$A$7,0)),"")</f>
        <v>1.5</v>
      </c>
      <c r="AA160" s="4">
        <f>IFERROR(INDEX(楼层配置!$E$5:$E$104,MATCH($K160,楼层配置!$B$5:$B$104,0)),1)</f>
        <v>1</v>
      </c>
      <c r="AB160" s="4">
        <f>IFERROR(INDEX(楼层配置!$F$5:$F$104,MATCH($K160,楼层配置!$B$5:$B$104,0)),1)</f>
        <v>1</v>
      </c>
      <c r="AC160" s="4">
        <f>IFERROR(INDEX(楼层配置!$G$5:$G$104,MATCH($K160,楼层配置!$B$5:$B$104,0)),1)</f>
        <v>1</v>
      </c>
      <c r="AD160" s="6">
        <f t="shared" si="17"/>
        <v>1.35790769074624</v>
      </c>
      <c r="AE160" s="6">
        <f t="shared" si="18"/>
        <v>0.985045212149316</v>
      </c>
      <c r="AF160" s="6">
        <f t="shared" si="19"/>
        <v>1.20926720712128</v>
      </c>
      <c r="AG160" s="4" t="str">
        <f t="shared" si="20"/>
        <v>有效</v>
      </c>
    </row>
    <row r="161" ht="14.25" customHeight="1" spans="1:33">
      <c r="A161" s="4">
        <v>157</v>
      </c>
      <c r="B161" s="4">
        <v>1023</v>
      </c>
      <c r="C161" s="4">
        <v>26</v>
      </c>
      <c r="D161" s="5">
        <f>IFERROR(ROUND($U161*$X161*$AA161*参数!$B$13,0),"")</f>
        <v>929275</v>
      </c>
      <c r="E161" s="5">
        <f>IFERROR(ROUND($V161*$Y161*$AB161*参数!$C$13,0),"")</f>
        <v>17123</v>
      </c>
      <c r="F161" s="5">
        <f>IFERROR(ROUND($W161*$Z161*$AC161*参数!$D$13,0),"")</f>
        <v>23164</v>
      </c>
      <c r="G161" s="4">
        <v>394110</v>
      </c>
      <c r="H161" s="4">
        <v>8626</v>
      </c>
      <c r="I161" s="4">
        <v>10485</v>
      </c>
      <c r="J161" s="4">
        <v>32</v>
      </c>
      <c r="K161" s="4">
        <v>32</v>
      </c>
      <c r="L161" s="4">
        <f>IFERROR(INDEX(楼层配置!$D$5:$D$104,MATCH($K161,楼层配置!$B$5:$B$104,0)),"")</f>
        <v>227</v>
      </c>
      <c r="M161" s="4" t="str">
        <f>IFERROR(INDEX(_角色基线!$B$2:$B$100,MATCH($B161,_角色基线!$A$2:$A$100,0)),"")</f>
        <v>马克</v>
      </c>
      <c r="N161" s="4" t="str">
        <f>IFERROR(INDEX(_角色基线!$C$2:$C$100,MATCH($B161,_角色基线!$A$2:$A$100,0)),"")</f>
        <v>Support</v>
      </c>
      <c r="O161" s="4">
        <f>IFERROR(INDEX(_怪物基线!$B$2:$B$501,MATCH(INT($L161),_怪物基线!$A$2:$A$501,0)),"")</f>
        <v>185855</v>
      </c>
      <c r="P161" s="4">
        <f>IFERROR(INDEX(_怪物基线!$C$2:$C$501,MATCH(INT($L161),_怪物基线!$A$2:$A$501,0)),"")</f>
        <v>14269</v>
      </c>
      <c r="Q161" s="4">
        <f>IFERROR(INDEX(_怪物基线!$D$2:$D$501,MATCH(INT($L161),_怪物基线!$A$2:$A$501,0)),"")</f>
        <v>18531</v>
      </c>
      <c r="R161" s="4">
        <f>参数!$B$10</f>
        <v>4</v>
      </c>
      <c r="S161" s="4">
        <f>参数!$C$10</f>
        <v>1.2</v>
      </c>
      <c r="T161" s="4">
        <f>参数!$D$10</f>
        <v>1</v>
      </c>
      <c r="U161" s="4">
        <f t="shared" si="14"/>
        <v>743420</v>
      </c>
      <c r="V161" s="4">
        <f t="shared" si="15"/>
        <v>17122.8</v>
      </c>
      <c r="W161" s="4">
        <f t="shared" si="16"/>
        <v>18531</v>
      </c>
      <c r="X161" s="4">
        <f>IFERROR(INDEX(参数!$B$5:$B$7,MATCH($N161,参数!$A$5:$A$7,0)),"")</f>
        <v>1.25</v>
      </c>
      <c r="Y161" s="4">
        <f>IFERROR(INDEX(参数!$C$5:$C$7,MATCH($N161,参数!$A$5:$A$7,0)),"")</f>
        <v>1</v>
      </c>
      <c r="Z161" s="4">
        <f>IFERROR(INDEX(参数!$D$5:$D$7,MATCH($N161,参数!$A$5:$A$7,0)),"")</f>
        <v>1.25</v>
      </c>
      <c r="AA161" s="4">
        <f>IFERROR(INDEX(楼层配置!$E$5:$E$104,MATCH($K161,楼层配置!$B$5:$B$104,0)),1)</f>
        <v>1</v>
      </c>
      <c r="AB161" s="4">
        <f>IFERROR(INDEX(楼层配置!$F$5:$F$104,MATCH($K161,楼层配置!$B$5:$B$104,0)),1)</f>
        <v>1</v>
      </c>
      <c r="AC161" s="4">
        <f>IFERROR(INDEX(楼层配置!$G$5:$G$104,MATCH($K161,楼层配置!$B$5:$B$104,0)),1)</f>
        <v>1</v>
      </c>
      <c r="AD161" s="6">
        <f t="shared" si="17"/>
        <v>1.35790769074624</v>
      </c>
      <c r="AE161" s="6">
        <f t="shared" si="18"/>
        <v>0.985045212149316</v>
      </c>
      <c r="AF161" s="6">
        <f t="shared" si="19"/>
        <v>1.20925131139723</v>
      </c>
      <c r="AG161" s="4" t="str">
        <f t="shared" si="20"/>
        <v>有效</v>
      </c>
    </row>
    <row r="162" ht="14.25" customHeight="1" spans="1:33">
      <c r="A162" s="4">
        <v>158</v>
      </c>
      <c r="B162" s="4">
        <v>1001</v>
      </c>
      <c r="C162" s="4">
        <v>26</v>
      </c>
      <c r="D162" s="5">
        <f>IFERROR(ROUND($U162*$X162*$AA162*参数!$B$13,0),"")</f>
        <v>743420</v>
      </c>
      <c r="E162" s="5">
        <f>IFERROR(ROUND($V162*$Y162*$AB162*参数!$C$13,0),"")</f>
        <v>20547</v>
      </c>
      <c r="F162" s="5">
        <f>IFERROR(ROUND($W162*$Z162*$AC162*参数!$D$13,0),"")</f>
        <v>18531</v>
      </c>
      <c r="G162" s="4">
        <v>315288</v>
      </c>
      <c r="H162" s="4">
        <v>10351</v>
      </c>
      <c r="I162" s="4">
        <v>8388</v>
      </c>
      <c r="J162" s="4">
        <v>32</v>
      </c>
      <c r="K162" s="4">
        <v>32</v>
      </c>
      <c r="L162" s="4">
        <f>IFERROR(INDEX(楼层配置!$D$5:$D$104,MATCH($K162,楼层配置!$B$5:$B$104,0)),"")</f>
        <v>227</v>
      </c>
      <c r="M162" s="4" t="str">
        <f>IFERROR(INDEX(_角色基线!$B$2:$B$100,MATCH($B162,_角色基线!$A$2:$A$100,0)),"")</f>
        <v>星海</v>
      </c>
      <c r="N162" s="4" t="str">
        <f>IFERROR(INDEX(_角色基线!$C$2:$C$100,MATCH($B162,_角色基线!$A$2:$A$100,0)),"")</f>
        <v>DPS</v>
      </c>
      <c r="O162" s="4">
        <f>IFERROR(INDEX(_怪物基线!$B$2:$B$501,MATCH(INT($L162),_怪物基线!$A$2:$A$501,0)),"")</f>
        <v>185855</v>
      </c>
      <c r="P162" s="4">
        <f>IFERROR(INDEX(_怪物基线!$C$2:$C$501,MATCH(INT($L162),_怪物基线!$A$2:$A$501,0)),"")</f>
        <v>14269</v>
      </c>
      <c r="Q162" s="4">
        <f>IFERROR(INDEX(_怪物基线!$D$2:$D$501,MATCH(INT($L162),_怪物基线!$A$2:$A$501,0)),"")</f>
        <v>18531</v>
      </c>
      <c r="R162" s="4">
        <f>参数!$B$10</f>
        <v>4</v>
      </c>
      <c r="S162" s="4">
        <f>参数!$C$10</f>
        <v>1.2</v>
      </c>
      <c r="T162" s="4">
        <f>参数!$D$10</f>
        <v>1</v>
      </c>
      <c r="U162" s="4">
        <f t="shared" si="14"/>
        <v>743420</v>
      </c>
      <c r="V162" s="4">
        <f t="shared" si="15"/>
        <v>17122.8</v>
      </c>
      <c r="W162" s="4">
        <f t="shared" si="16"/>
        <v>18531</v>
      </c>
      <c r="X162" s="4">
        <f>IFERROR(INDEX(参数!$B$5:$B$7,MATCH($N162,参数!$A$5:$A$7,0)),"")</f>
        <v>1</v>
      </c>
      <c r="Y162" s="4">
        <f>IFERROR(INDEX(参数!$C$5:$C$7,MATCH($N162,参数!$A$5:$A$7,0)),"")</f>
        <v>1.2</v>
      </c>
      <c r="Z162" s="4">
        <f>IFERROR(INDEX(参数!$D$5:$D$7,MATCH($N162,参数!$A$5:$A$7,0)),"")</f>
        <v>1</v>
      </c>
      <c r="AA162" s="4">
        <f>IFERROR(INDEX(楼层配置!$E$5:$E$104,MATCH($K162,楼层配置!$B$5:$B$104,0)),1)</f>
        <v>1</v>
      </c>
      <c r="AB162" s="4">
        <f>IFERROR(INDEX(楼层配置!$F$5:$F$104,MATCH($K162,楼层配置!$B$5:$B$104,0)),1)</f>
        <v>1</v>
      </c>
      <c r="AC162" s="4">
        <f>IFERROR(INDEX(楼层配置!$G$5:$G$104,MATCH($K162,楼层配置!$B$5:$B$104,0)),1)</f>
        <v>1</v>
      </c>
      <c r="AD162" s="6">
        <f t="shared" si="17"/>
        <v>1.35790769074624</v>
      </c>
      <c r="AE162" s="6">
        <f t="shared" si="18"/>
        <v>0.98502560139117</v>
      </c>
      <c r="AF162" s="6">
        <f t="shared" si="19"/>
        <v>1.20922746781116</v>
      </c>
      <c r="AG162" s="4" t="str">
        <f t="shared" si="20"/>
        <v>有效</v>
      </c>
    </row>
    <row r="163" ht="14.25" customHeight="1" spans="1:33">
      <c r="A163" s="4">
        <v>159</v>
      </c>
      <c r="B163" s="4">
        <v>1023</v>
      </c>
      <c r="C163" s="4">
        <v>26</v>
      </c>
      <c r="D163" s="5">
        <f>IFERROR(ROUND($U163*$X163*$AA163*参数!$B$13,0),"")</f>
        <v>929275</v>
      </c>
      <c r="E163" s="5">
        <f>IFERROR(ROUND($V163*$Y163*$AB163*参数!$C$13,0),"")</f>
        <v>17123</v>
      </c>
      <c r="F163" s="5">
        <f>IFERROR(ROUND($W163*$Z163*$AC163*参数!$D$13,0),"")</f>
        <v>23164</v>
      </c>
      <c r="G163" s="4">
        <v>394110</v>
      </c>
      <c r="H163" s="4">
        <v>8626</v>
      </c>
      <c r="I163" s="4">
        <v>10485</v>
      </c>
      <c r="J163" s="4">
        <v>32</v>
      </c>
      <c r="K163" s="4">
        <v>32</v>
      </c>
      <c r="L163" s="4">
        <f>IFERROR(INDEX(楼层配置!$D$5:$D$104,MATCH($K163,楼层配置!$B$5:$B$104,0)),"")</f>
        <v>227</v>
      </c>
      <c r="M163" s="4" t="str">
        <f>IFERROR(INDEX(_角色基线!$B$2:$B$100,MATCH($B163,_角色基线!$A$2:$A$100,0)),"")</f>
        <v>马克</v>
      </c>
      <c r="N163" s="4" t="str">
        <f>IFERROR(INDEX(_角色基线!$C$2:$C$100,MATCH($B163,_角色基线!$A$2:$A$100,0)),"")</f>
        <v>Support</v>
      </c>
      <c r="O163" s="4">
        <f>IFERROR(INDEX(_怪物基线!$B$2:$B$501,MATCH(INT($L163),_怪物基线!$A$2:$A$501,0)),"")</f>
        <v>185855</v>
      </c>
      <c r="P163" s="4">
        <f>IFERROR(INDEX(_怪物基线!$C$2:$C$501,MATCH(INT($L163),_怪物基线!$A$2:$A$501,0)),"")</f>
        <v>14269</v>
      </c>
      <c r="Q163" s="4">
        <f>IFERROR(INDEX(_怪物基线!$D$2:$D$501,MATCH(INT($L163),_怪物基线!$A$2:$A$501,0)),"")</f>
        <v>18531</v>
      </c>
      <c r="R163" s="4">
        <f>参数!$B$10</f>
        <v>4</v>
      </c>
      <c r="S163" s="4">
        <f>参数!$C$10</f>
        <v>1.2</v>
      </c>
      <c r="T163" s="4">
        <f>参数!$D$10</f>
        <v>1</v>
      </c>
      <c r="U163" s="4">
        <f t="shared" si="14"/>
        <v>743420</v>
      </c>
      <c r="V163" s="4">
        <f t="shared" si="15"/>
        <v>17122.8</v>
      </c>
      <c r="W163" s="4">
        <f t="shared" si="16"/>
        <v>18531</v>
      </c>
      <c r="X163" s="4">
        <f>IFERROR(INDEX(参数!$B$5:$B$7,MATCH($N163,参数!$A$5:$A$7,0)),"")</f>
        <v>1.25</v>
      </c>
      <c r="Y163" s="4">
        <f>IFERROR(INDEX(参数!$C$5:$C$7,MATCH($N163,参数!$A$5:$A$7,0)),"")</f>
        <v>1</v>
      </c>
      <c r="Z163" s="4">
        <f>IFERROR(INDEX(参数!$D$5:$D$7,MATCH($N163,参数!$A$5:$A$7,0)),"")</f>
        <v>1.25</v>
      </c>
      <c r="AA163" s="4">
        <f>IFERROR(INDEX(楼层配置!$E$5:$E$104,MATCH($K163,楼层配置!$B$5:$B$104,0)),1)</f>
        <v>1</v>
      </c>
      <c r="AB163" s="4">
        <f>IFERROR(INDEX(楼层配置!$F$5:$F$104,MATCH($K163,楼层配置!$B$5:$B$104,0)),1)</f>
        <v>1</v>
      </c>
      <c r="AC163" s="4">
        <f>IFERROR(INDEX(楼层配置!$G$5:$G$104,MATCH($K163,楼层配置!$B$5:$B$104,0)),1)</f>
        <v>1</v>
      </c>
      <c r="AD163" s="6">
        <f t="shared" si="17"/>
        <v>1.35790769074624</v>
      </c>
      <c r="AE163" s="6">
        <f t="shared" si="18"/>
        <v>0.985045212149316</v>
      </c>
      <c r="AF163" s="6">
        <f t="shared" si="19"/>
        <v>1.20925131139723</v>
      </c>
      <c r="AG163" s="4" t="str">
        <f t="shared" si="20"/>
        <v>有效</v>
      </c>
    </row>
    <row r="164" ht="14.25" customHeight="1" spans="1:33">
      <c r="A164" s="4">
        <v>160</v>
      </c>
      <c r="B164" s="4">
        <v>1011</v>
      </c>
      <c r="C164" s="4">
        <v>26</v>
      </c>
      <c r="D164" s="5">
        <f>IFERROR(ROUND($U164*$X164*$AA164*参数!$B$13,0),"")</f>
        <v>929275</v>
      </c>
      <c r="E164" s="5">
        <f>IFERROR(ROUND($V164*$Y164*$AB164*参数!$C$13,0),"")</f>
        <v>17123</v>
      </c>
      <c r="F164" s="5">
        <f>IFERROR(ROUND($W164*$Z164*$AC164*参数!$D$13,0),"")</f>
        <v>23164</v>
      </c>
      <c r="G164" s="4">
        <v>394110</v>
      </c>
      <c r="H164" s="4">
        <v>8626</v>
      </c>
      <c r="I164" s="4">
        <v>10485</v>
      </c>
      <c r="J164" s="4">
        <v>32</v>
      </c>
      <c r="K164" s="4">
        <v>32</v>
      </c>
      <c r="L164" s="4">
        <f>IFERROR(INDEX(楼层配置!$D$5:$D$104,MATCH($K164,楼层配置!$B$5:$B$104,0)),"")</f>
        <v>227</v>
      </c>
      <c r="M164" s="4" t="str">
        <f>IFERROR(INDEX(_角色基线!$B$2:$B$100,MATCH($B164,_角色基线!$A$2:$A$100,0)),"")</f>
        <v>陈双双</v>
      </c>
      <c r="N164" s="4" t="str">
        <f>IFERROR(INDEX(_角色基线!$C$2:$C$100,MATCH($B164,_角色基线!$A$2:$A$100,0)),"")</f>
        <v>Support</v>
      </c>
      <c r="O164" s="4">
        <f>IFERROR(INDEX(_怪物基线!$B$2:$B$501,MATCH(INT($L164),_怪物基线!$A$2:$A$501,0)),"")</f>
        <v>185855</v>
      </c>
      <c r="P164" s="4">
        <f>IFERROR(INDEX(_怪物基线!$C$2:$C$501,MATCH(INT($L164),_怪物基线!$A$2:$A$501,0)),"")</f>
        <v>14269</v>
      </c>
      <c r="Q164" s="4">
        <f>IFERROR(INDEX(_怪物基线!$D$2:$D$501,MATCH(INT($L164),_怪物基线!$A$2:$A$501,0)),"")</f>
        <v>18531</v>
      </c>
      <c r="R164" s="4">
        <f>参数!$B$10</f>
        <v>4</v>
      </c>
      <c r="S164" s="4">
        <f>参数!$C$10</f>
        <v>1.2</v>
      </c>
      <c r="T164" s="4">
        <f>参数!$D$10</f>
        <v>1</v>
      </c>
      <c r="U164" s="4">
        <f t="shared" si="14"/>
        <v>743420</v>
      </c>
      <c r="V164" s="4">
        <f t="shared" si="15"/>
        <v>17122.8</v>
      </c>
      <c r="W164" s="4">
        <f t="shared" si="16"/>
        <v>18531</v>
      </c>
      <c r="X164" s="4">
        <f>IFERROR(INDEX(参数!$B$5:$B$7,MATCH($N164,参数!$A$5:$A$7,0)),"")</f>
        <v>1.25</v>
      </c>
      <c r="Y164" s="4">
        <f>IFERROR(INDEX(参数!$C$5:$C$7,MATCH($N164,参数!$A$5:$A$7,0)),"")</f>
        <v>1</v>
      </c>
      <c r="Z164" s="4">
        <f>IFERROR(INDEX(参数!$D$5:$D$7,MATCH($N164,参数!$A$5:$A$7,0)),"")</f>
        <v>1.25</v>
      </c>
      <c r="AA164" s="4">
        <f>IFERROR(INDEX(楼层配置!$E$5:$E$104,MATCH($K164,楼层配置!$B$5:$B$104,0)),1)</f>
        <v>1</v>
      </c>
      <c r="AB164" s="4">
        <f>IFERROR(INDEX(楼层配置!$F$5:$F$104,MATCH($K164,楼层配置!$B$5:$B$104,0)),1)</f>
        <v>1</v>
      </c>
      <c r="AC164" s="4">
        <f>IFERROR(INDEX(楼层配置!$G$5:$G$104,MATCH($K164,楼层配置!$B$5:$B$104,0)),1)</f>
        <v>1</v>
      </c>
      <c r="AD164" s="6">
        <f t="shared" si="17"/>
        <v>1.35790769074624</v>
      </c>
      <c r="AE164" s="6">
        <f t="shared" si="18"/>
        <v>0.985045212149316</v>
      </c>
      <c r="AF164" s="6">
        <f t="shared" si="19"/>
        <v>1.20925131139723</v>
      </c>
      <c r="AG164" s="4" t="str">
        <f t="shared" si="20"/>
        <v>有效</v>
      </c>
    </row>
    <row r="165" ht="14.25" customHeight="1" spans="1:33">
      <c r="A165" s="4">
        <v>161</v>
      </c>
      <c r="B165" s="4">
        <v>1002</v>
      </c>
      <c r="C165" s="4">
        <v>26</v>
      </c>
      <c r="D165" s="5">
        <f>IFERROR(ROUND($U165*$X165*$AA165*参数!$B$13,0),"")</f>
        <v>1164732</v>
      </c>
      <c r="E165" s="5">
        <f>IFERROR(ROUND($V165*$Y165*$AB165*参数!$C$13,0),"")</f>
        <v>17638</v>
      </c>
      <c r="F165" s="5">
        <f>IFERROR(ROUND($W165*$Z165*$AC165*参数!$D$13,0),"")</f>
        <v>28445</v>
      </c>
      <c r="G165" s="4">
        <v>501660</v>
      </c>
      <c r="H165" s="4">
        <v>8964</v>
      </c>
      <c r="I165" s="4">
        <v>13010</v>
      </c>
      <c r="J165" s="4">
        <v>33</v>
      </c>
      <c r="K165" s="4">
        <v>33</v>
      </c>
      <c r="L165" s="4">
        <f>IFERROR(INDEX(楼层配置!$D$5:$D$104,MATCH($K165,楼层配置!$B$5:$B$104,0)),"")</f>
        <v>231</v>
      </c>
      <c r="M165" s="4" t="str">
        <f>IFERROR(INDEX(_角色基线!$B$2:$B$100,MATCH($B165,_角色基线!$A$2:$A$100,0)),"")</f>
        <v>大暑</v>
      </c>
      <c r="N165" s="4" t="str">
        <f>IFERROR(INDEX(_角色基线!$C$2:$C$100,MATCH($B165,_角色基线!$A$2:$A$100,0)),"")</f>
        <v>Tank</v>
      </c>
      <c r="O165" s="4">
        <f>IFERROR(INDEX(_怪物基线!$B$2:$B$501,MATCH(INT($L165),_怪物基线!$A$2:$A$501,0)),"")</f>
        <v>194122</v>
      </c>
      <c r="P165" s="4">
        <f>IFERROR(INDEX(_怪物基线!$C$2:$C$501,MATCH(INT($L165),_怪物基线!$A$2:$A$501,0)),"")</f>
        <v>14698</v>
      </c>
      <c r="Q165" s="4">
        <f>IFERROR(INDEX(_怪物基线!$D$2:$D$501,MATCH(INT($L165),_怪物基线!$A$2:$A$501,0)),"")</f>
        <v>18963</v>
      </c>
      <c r="R165" s="4">
        <f>参数!$B$10</f>
        <v>4</v>
      </c>
      <c r="S165" s="4">
        <f>参数!$C$10</f>
        <v>1.2</v>
      </c>
      <c r="T165" s="4">
        <f>参数!$D$10</f>
        <v>1</v>
      </c>
      <c r="U165" s="4">
        <f t="shared" si="14"/>
        <v>776488</v>
      </c>
      <c r="V165" s="4">
        <f t="shared" si="15"/>
        <v>17637.6</v>
      </c>
      <c r="W165" s="4">
        <f t="shared" si="16"/>
        <v>18963</v>
      </c>
      <c r="X165" s="4">
        <f>IFERROR(INDEX(参数!$B$5:$B$7,MATCH($N165,参数!$A$5:$A$7,0)),"")</f>
        <v>1.5</v>
      </c>
      <c r="Y165" s="4">
        <f>IFERROR(INDEX(参数!$C$5:$C$7,MATCH($N165,参数!$A$5:$A$7,0)),"")</f>
        <v>1</v>
      </c>
      <c r="Z165" s="4">
        <f>IFERROR(INDEX(参数!$D$5:$D$7,MATCH($N165,参数!$A$5:$A$7,0)),"")</f>
        <v>1.5</v>
      </c>
      <c r="AA165" s="4">
        <f>IFERROR(INDEX(楼层配置!$E$5:$E$104,MATCH($K165,楼层配置!$B$5:$B$104,0)),1)</f>
        <v>1</v>
      </c>
      <c r="AB165" s="4">
        <f>IFERROR(INDEX(楼层配置!$F$5:$F$104,MATCH($K165,楼层配置!$B$5:$B$104,0)),1)</f>
        <v>1</v>
      </c>
      <c r="AC165" s="4">
        <f>IFERROR(INDEX(楼层配置!$G$5:$G$104,MATCH($K165,楼层配置!$B$5:$B$104,0)),1)</f>
        <v>1</v>
      </c>
      <c r="AD165" s="6">
        <f t="shared" si="17"/>
        <v>1.32175577084081</v>
      </c>
      <c r="AE165" s="6">
        <f t="shared" si="18"/>
        <v>0.967648371262829</v>
      </c>
      <c r="AF165" s="6">
        <f t="shared" si="19"/>
        <v>1.18639508070715</v>
      </c>
      <c r="AG165" s="4" t="str">
        <f t="shared" si="20"/>
        <v>有效</v>
      </c>
    </row>
    <row r="166" ht="14.25" customHeight="1" spans="1:33">
      <c r="A166" s="4">
        <v>162</v>
      </c>
      <c r="B166" s="4">
        <v>1001</v>
      </c>
      <c r="C166" s="4">
        <v>26</v>
      </c>
      <c r="D166" s="5">
        <f>IFERROR(ROUND($U166*$X166*$AA166*参数!$B$13,0),"")</f>
        <v>776488</v>
      </c>
      <c r="E166" s="5">
        <f>IFERROR(ROUND($V166*$Y166*$AB166*参数!$C$13,0),"")</f>
        <v>21165</v>
      </c>
      <c r="F166" s="5">
        <f>IFERROR(ROUND($W166*$Z166*$AC166*参数!$D$13,0),"")</f>
        <v>18963</v>
      </c>
      <c r="G166" s="4">
        <v>334440</v>
      </c>
      <c r="H166" s="4">
        <v>10756</v>
      </c>
      <c r="I166" s="4">
        <v>8673</v>
      </c>
      <c r="J166" s="4">
        <v>33</v>
      </c>
      <c r="K166" s="4">
        <v>33</v>
      </c>
      <c r="L166" s="4">
        <f>IFERROR(INDEX(楼层配置!$D$5:$D$104,MATCH($K166,楼层配置!$B$5:$B$104,0)),"")</f>
        <v>231</v>
      </c>
      <c r="M166" s="4" t="str">
        <f>IFERROR(INDEX(_角色基线!$B$2:$B$100,MATCH($B166,_角色基线!$A$2:$A$100,0)),"")</f>
        <v>星海</v>
      </c>
      <c r="N166" s="4" t="str">
        <f>IFERROR(INDEX(_角色基线!$C$2:$C$100,MATCH($B166,_角色基线!$A$2:$A$100,0)),"")</f>
        <v>DPS</v>
      </c>
      <c r="O166" s="4">
        <f>IFERROR(INDEX(_怪物基线!$B$2:$B$501,MATCH(INT($L166),_怪物基线!$A$2:$A$501,0)),"")</f>
        <v>194122</v>
      </c>
      <c r="P166" s="4">
        <f>IFERROR(INDEX(_怪物基线!$C$2:$C$501,MATCH(INT($L166),_怪物基线!$A$2:$A$501,0)),"")</f>
        <v>14698</v>
      </c>
      <c r="Q166" s="4">
        <f>IFERROR(INDEX(_怪物基线!$D$2:$D$501,MATCH(INT($L166),_怪物基线!$A$2:$A$501,0)),"")</f>
        <v>18963</v>
      </c>
      <c r="R166" s="4">
        <f>参数!$B$10</f>
        <v>4</v>
      </c>
      <c r="S166" s="4">
        <f>参数!$C$10</f>
        <v>1.2</v>
      </c>
      <c r="T166" s="4">
        <f>参数!$D$10</f>
        <v>1</v>
      </c>
      <c r="U166" s="4">
        <f t="shared" si="14"/>
        <v>776488</v>
      </c>
      <c r="V166" s="4">
        <f t="shared" si="15"/>
        <v>17637.6</v>
      </c>
      <c r="W166" s="4">
        <f t="shared" si="16"/>
        <v>18963</v>
      </c>
      <c r="X166" s="4">
        <f>IFERROR(INDEX(参数!$B$5:$B$7,MATCH($N166,参数!$A$5:$A$7,0)),"")</f>
        <v>1</v>
      </c>
      <c r="Y166" s="4">
        <f>IFERROR(INDEX(参数!$C$5:$C$7,MATCH($N166,参数!$A$5:$A$7,0)),"")</f>
        <v>1.2</v>
      </c>
      <c r="Z166" s="4">
        <f>IFERROR(INDEX(参数!$D$5:$D$7,MATCH($N166,参数!$A$5:$A$7,0)),"")</f>
        <v>1</v>
      </c>
      <c r="AA166" s="4">
        <f>IFERROR(INDEX(楼层配置!$E$5:$E$104,MATCH($K166,楼层配置!$B$5:$B$104,0)),1)</f>
        <v>1</v>
      </c>
      <c r="AB166" s="4">
        <f>IFERROR(INDEX(楼层配置!$F$5:$F$104,MATCH($K166,楼层配置!$B$5:$B$104,0)),1)</f>
        <v>1</v>
      </c>
      <c r="AC166" s="4">
        <f>IFERROR(INDEX(楼层配置!$G$5:$G$104,MATCH($K166,楼层配置!$B$5:$B$104,0)),1)</f>
        <v>1</v>
      </c>
      <c r="AD166" s="6">
        <f t="shared" si="17"/>
        <v>1.32175577084081</v>
      </c>
      <c r="AE166" s="6">
        <f t="shared" si="18"/>
        <v>0.967738936407587</v>
      </c>
      <c r="AF166" s="6">
        <f t="shared" si="19"/>
        <v>1.1864406779661</v>
      </c>
      <c r="AG166" s="4" t="str">
        <f t="shared" si="20"/>
        <v>有效</v>
      </c>
    </row>
    <row r="167" ht="14.25" customHeight="1" spans="1:33">
      <c r="A167" s="4">
        <v>163</v>
      </c>
      <c r="B167" s="4">
        <v>1035</v>
      </c>
      <c r="C167" s="4">
        <v>26</v>
      </c>
      <c r="D167" s="5">
        <f>IFERROR(ROUND($U167*$X167*$AA167*参数!$B$13,0),"")</f>
        <v>776488</v>
      </c>
      <c r="E167" s="5">
        <f>IFERROR(ROUND($V167*$Y167*$AB167*参数!$C$13,0),"")</f>
        <v>21165</v>
      </c>
      <c r="F167" s="5">
        <f>IFERROR(ROUND($W167*$Z167*$AC167*参数!$D$13,0),"")</f>
        <v>18963</v>
      </c>
      <c r="G167" s="4">
        <v>334440</v>
      </c>
      <c r="H167" s="4">
        <v>10756</v>
      </c>
      <c r="I167" s="4">
        <v>8673</v>
      </c>
      <c r="J167" s="4">
        <v>33</v>
      </c>
      <c r="K167" s="4">
        <v>33</v>
      </c>
      <c r="L167" s="4">
        <f>IFERROR(INDEX(楼层配置!$D$5:$D$104,MATCH($K167,楼层配置!$B$5:$B$104,0)),"")</f>
        <v>231</v>
      </c>
      <c r="M167" s="4" t="str">
        <f>IFERROR(INDEX(_角色基线!$B$2:$B$100,MATCH($B167,_角色基线!$A$2:$A$100,0)),"")</f>
        <v>碎冰者</v>
      </c>
      <c r="N167" s="4" t="str">
        <f>IFERROR(INDEX(_角色基线!$C$2:$C$100,MATCH($B167,_角色基线!$A$2:$A$100,0)),"")</f>
        <v>DPS</v>
      </c>
      <c r="O167" s="4">
        <f>IFERROR(INDEX(_怪物基线!$B$2:$B$501,MATCH(INT($L167),_怪物基线!$A$2:$A$501,0)),"")</f>
        <v>194122</v>
      </c>
      <c r="P167" s="4">
        <f>IFERROR(INDEX(_怪物基线!$C$2:$C$501,MATCH(INT($L167),_怪物基线!$A$2:$A$501,0)),"")</f>
        <v>14698</v>
      </c>
      <c r="Q167" s="4">
        <f>IFERROR(INDEX(_怪物基线!$D$2:$D$501,MATCH(INT($L167),_怪物基线!$A$2:$A$501,0)),"")</f>
        <v>18963</v>
      </c>
      <c r="R167" s="4">
        <f>参数!$B$10</f>
        <v>4</v>
      </c>
      <c r="S167" s="4">
        <f>参数!$C$10</f>
        <v>1.2</v>
      </c>
      <c r="T167" s="4">
        <f>参数!$D$10</f>
        <v>1</v>
      </c>
      <c r="U167" s="4">
        <f t="shared" si="14"/>
        <v>776488</v>
      </c>
      <c r="V167" s="4">
        <f t="shared" si="15"/>
        <v>17637.6</v>
      </c>
      <c r="W167" s="4">
        <f t="shared" si="16"/>
        <v>18963</v>
      </c>
      <c r="X167" s="4">
        <f>IFERROR(INDEX(参数!$B$5:$B$7,MATCH($N167,参数!$A$5:$A$7,0)),"")</f>
        <v>1</v>
      </c>
      <c r="Y167" s="4">
        <f>IFERROR(INDEX(参数!$C$5:$C$7,MATCH($N167,参数!$A$5:$A$7,0)),"")</f>
        <v>1.2</v>
      </c>
      <c r="Z167" s="4">
        <f>IFERROR(INDEX(参数!$D$5:$D$7,MATCH($N167,参数!$A$5:$A$7,0)),"")</f>
        <v>1</v>
      </c>
      <c r="AA167" s="4">
        <f>IFERROR(INDEX(楼层配置!$E$5:$E$104,MATCH($K167,楼层配置!$B$5:$B$104,0)),1)</f>
        <v>1</v>
      </c>
      <c r="AB167" s="4">
        <f>IFERROR(INDEX(楼层配置!$F$5:$F$104,MATCH($K167,楼层配置!$B$5:$B$104,0)),1)</f>
        <v>1</v>
      </c>
      <c r="AC167" s="4">
        <f>IFERROR(INDEX(楼层配置!$G$5:$G$104,MATCH($K167,楼层配置!$B$5:$B$104,0)),1)</f>
        <v>1</v>
      </c>
      <c r="AD167" s="6">
        <f t="shared" si="17"/>
        <v>1.32175577084081</v>
      </c>
      <c r="AE167" s="6">
        <f t="shared" si="18"/>
        <v>0.967738936407587</v>
      </c>
      <c r="AF167" s="6">
        <f t="shared" si="19"/>
        <v>1.1864406779661</v>
      </c>
      <c r="AG167" s="4" t="str">
        <f t="shared" si="20"/>
        <v>有效</v>
      </c>
    </row>
    <row r="168" ht="14.25" customHeight="1" spans="1:33">
      <c r="A168" s="4">
        <v>164</v>
      </c>
      <c r="B168" s="4">
        <v>1018</v>
      </c>
      <c r="C168" s="4">
        <v>26</v>
      </c>
      <c r="D168" s="5">
        <f>IFERROR(ROUND($U168*$X168*$AA168*参数!$B$13,0),"")</f>
        <v>970610</v>
      </c>
      <c r="E168" s="5">
        <f>IFERROR(ROUND($V168*$Y168*$AB168*参数!$C$13,0),"")</f>
        <v>17638</v>
      </c>
      <c r="F168" s="5">
        <f>IFERROR(ROUND($W168*$Z168*$AC168*参数!$D$13,0),"")</f>
        <v>23704</v>
      </c>
      <c r="G168" s="4">
        <v>418050</v>
      </c>
      <c r="H168" s="4">
        <v>8964</v>
      </c>
      <c r="I168" s="4">
        <v>10842</v>
      </c>
      <c r="J168" s="4">
        <v>33</v>
      </c>
      <c r="K168" s="4">
        <v>33</v>
      </c>
      <c r="L168" s="4">
        <f>IFERROR(INDEX(楼层配置!$D$5:$D$104,MATCH($K168,楼层配置!$B$5:$B$104,0)),"")</f>
        <v>231</v>
      </c>
      <c r="M168" s="4" t="str">
        <f>IFERROR(INDEX(_角色基线!$B$2:$B$100,MATCH($B168,_角色基线!$A$2:$A$100,0)),"")</f>
        <v>埃莉诺</v>
      </c>
      <c r="N168" s="4" t="str">
        <f>IFERROR(INDEX(_角色基线!$C$2:$C$100,MATCH($B168,_角色基线!$A$2:$A$100,0)),"")</f>
        <v>Support</v>
      </c>
      <c r="O168" s="4">
        <f>IFERROR(INDEX(_怪物基线!$B$2:$B$501,MATCH(INT($L168),_怪物基线!$A$2:$A$501,0)),"")</f>
        <v>194122</v>
      </c>
      <c r="P168" s="4">
        <f>IFERROR(INDEX(_怪物基线!$C$2:$C$501,MATCH(INT($L168),_怪物基线!$A$2:$A$501,0)),"")</f>
        <v>14698</v>
      </c>
      <c r="Q168" s="4">
        <f>IFERROR(INDEX(_怪物基线!$D$2:$D$501,MATCH(INT($L168),_怪物基线!$A$2:$A$501,0)),"")</f>
        <v>18963</v>
      </c>
      <c r="R168" s="4">
        <f>参数!$B$10</f>
        <v>4</v>
      </c>
      <c r="S168" s="4">
        <f>参数!$C$10</f>
        <v>1.2</v>
      </c>
      <c r="T168" s="4">
        <f>参数!$D$10</f>
        <v>1</v>
      </c>
      <c r="U168" s="4">
        <f t="shared" si="14"/>
        <v>776488</v>
      </c>
      <c r="V168" s="4">
        <f t="shared" si="15"/>
        <v>17637.6</v>
      </c>
      <c r="W168" s="4">
        <f t="shared" si="16"/>
        <v>18963</v>
      </c>
      <c r="X168" s="4">
        <f>IFERROR(INDEX(参数!$B$5:$B$7,MATCH($N168,参数!$A$5:$A$7,0)),"")</f>
        <v>1.25</v>
      </c>
      <c r="Y168" s="4">
        <f>IFERROR(INDEX(参数!$C$5:$C$7,MATCH($N168,参数!$A$5:$A$7,0)),"")</f>
        <v>1</v>
      </c>
      <c r="Z168" s="4">
        <f>IFERROR(INDEX(参数!$D$5:$D$7,MATCH($N168,参数!$A$5:$A$7,0)),"")</f>
        <v>1.25</v>
      </c>
      <c r="AA168" s="4">
        <f>IFERROR(INDEX(楼层配置!$E$5:$E$104,MATCH($K168,楼层配置!$B$5:$B$104,0)),1)</f>
        <v>1</v>
      </c>
      <c r="AB168" s="4">
        <f>IFERROR(INDEX(楼层配置!$F$5:$F$104,MATCH($K168,楼层配置!$B$5:$B$104,0)),1)</f>
        <v>1</v>
      </c>
      <c r="AC168" s="4">
        <f>IFERROR(INDEX(楼层配置!$G$5:$G$104,MATCH($K168,楼层配置!$B$5:$B$104,0)),1)</f>
        <v>1</v>
      </c>
      <c r="AD168" s="6">
        <f t="shared" si="17"/>
        <v>1.32175577084081</v>
      </c>
      <c r="AE168" s="6">
        <f t="shared" si="18"/>
        <v>0.967648371262829</v>
      </c>
      <c r="AF168" s="6">
        <f t="shared" si="19"/>
        <v>1.18631248847076</v>
      </c>
      <c r="AG168" s="4" t="str">
        <f t="shared" si="20"/>
        <v>有效</v>
      </c>
    </row>
    <row r="169" ht="14.25" customHeight="1" spans="1:33">
      <c r="A169" s="4">
        <v>165</v>
      </c>
      <c r="B169" s="4">
        <v>1012</v>
      </c>
      <c r="C169" s="4">
        <v>26</v>
      </c>
      <c r="D169" s="5">
        <f>IFERROR(ROUND($U169*$X169*$AA169*参数!$B$13,0),"")</f>
        <v>970610</v>
      </c>
      <c r="E169" s="5">
        <f>IFERROR(ROUND($V169*$Y169*$AB169*参数!$C$13,0),"")</f>
        <v>17638</v>
      </c>
      <c r="F169" s="5">
        <f>IFERROR(ROUND($W169*$Z169*$AC169*参数!$D$13,0),"")</f>
        <v>23704</v>
      </c>
      <c r="G169" s="4">
        <v>418050</v>
      </c>
      <c r="H169" s="4">
        <v>8964</v>
      </c>
      <c r="I169" s="4">
        <v>10842</v>
      </c>
      <c r="J169" s="4">
        <v>33</v>
      </c>
      <c r="K169" s="4">
        <v>33</v>
      </c>
      <c r="L169" s="4">
        <f>IFERROR(INDEX(楼层配置!$D$5:$D$104,MATCH($K169,楼层配置!$B$5:$B$104,0)),"")</f>
        <v>231</v>
      </c>
      <c r="M169" s="4" t="str">
        <f>IFERROR(INDEX(_角色基线!$B$2:$B$100,MATCH($B169,_角色基线!$A$2:$A$100,0)),"")</f>
        <v>艾德琳</v>
      </c>
      <c r="N169" s="4" t="str">
        <f>IFERROR(INDEX(_角色基线!$C$2:$C$100,MATCH($B169,_角色基线!$A$2:$A$100,0)),"")</f>
        <v>Support</v>
      </c>
      <c r="O169" s="4">
        <f>IFERROR(INDEX(_怪物基线!$B$2:$B$501,MATCH(INT($L169),_怪物基线!$A$2:$A$501,0)),"")</f>
        <v>194122</v>
      </c>
      <c r="P169" s="4">
        <f>IFERROR(INDEX(_怪物基线!$C$2:$C$501,MATCH(INT($L169),_怪物基线!$A$2:$A$501,0)),"")</f>
        <v>14698</v>
      </c>
      <c r="Q169" s="4">
        <f>IFERROR(INDEX(_怪物基线!$D$2:$D$501,MATCH(INT($L169),_怪物基线!$A$2:$A$501,0)),"")</f>
        <v>18963</v>
      </c>
      <c r="R169" s="4">
        <f>参数!$B$10</f>
        <v>4</v>
      </c>
      <c r="S169" s="4">
        <f>参数!$C$10</f>
        <v>1.2</v>
      </c>
      <c r="T169" s="4">
        <f>参数!$D$10</f>
        <v>1</v>
      </c>
      <c r="U169" s="4">
        <f t="shared" si="14"/>
        <v>776488</v>
      </c>
      <c r="V169" s="4">
        <f t="shared" si="15"/>
        <v>17637.6</v>
      </c>
      <c r="W169" s="4">
        <f t="shared" si="16"/>
        <v>18963</v>
      </c>
      <c r="X169" s="4">
        <f>IFERROR(INDEX(参数!$B$5:$B$7,MATCH($N169,参数!$A$5:$A$7,0)),"")</f>
        <v>1.25</v>
      </c>
      <c r="Y169" s="4">
        <f>IFERROR(INDEX(参数!$C$5:$C$7,MATCH($N169,参数!$A$5:$A$7,0)),"")</f>
        <v>1</v>
      </c>
      <c r="Z169" s="4">
        <f>IFERROR(INDEX(参数!$D$5:$D$7,MATCH($N169,参数!$A$5:$A$7,0)),"")</f>
        <v>1.25</v>
      </c>
      <c r="AA169" s="4">
        <f>IFERROR(INDEX(楼层配置!$E$5:$E$104,MATCH($K169,楼层配置!$B$5:$B$104,0)),1)</f>
        <v>1</v>
      </c>
      <c r="AB169" s="4">
        <f>IFERROR(INDEX(楼层配置!$F$5:$F$104,MATCH($K169,楼层配置!$B$5:$B$104,0)),1)</f>
        <v>1</v>
      </c>
      <c r="AC169" s="4">
        <f>IFERROR(INDEX(楼层配置!$G$5:$G$104,MATCH($K169,楼层配置!$B$5:$B$104,0)),1)</f>
        <v>1</v>
      </c>
      <c r="AD169" s="6">
        <f t="shared" si="17"/>
        <v>1.32175577084081</v>
      </c>
      <c r="AE169" s="6">
        <f t="shared" si="18"/>
        <v>0.967648371262829</v>
      </c>
      <c r="AF169" s="6">
        <f t="shared" si="19"/>
        <v>1.18631248847076</v>
      </c>
      <c r="AG169" s="4" t="str">
        <f t="shared" si="20"/>
        <v>有效</v>
      </c>
    </row>
    <row r="170" ht="14.25" customHeight="1" spans="1:33">
      <c r="A170" s="4">
        <v>166</v>
      </c>
      <c r="B170" s="4">
        <v>1002</v>
      </c>
      <c r="C170" s="4">
        <v>27</v>
      </c>
      <c r="D170" s="5">
        <f>IFERROR(ROUND($U170*$X170*$AA170*参数!$B$13,0),"")</f>
        <v>1202964</v>
      </c>
      <c r="E170" s="5">
        <f>IFERROR(ROUND($V170*$Y170*$AB170*参数!$C$13,0),"")</f>
        <v>18030</v>
      </c>
      <c r="F170" s="5">
        <f>IFERROR(ROUND($W170*$Z170*$AC170*参数!$D$13,0),"")</f>
        <v>28934</v>
      </c>
      <c r="G170" s="4">
        <v>531583</v>
      </c>
      <c r="H170" s="4">
        <v>9308</v>
      </c>
      <c r="I170" s="4">
        <v>13442</v>
      </c>
      <c r="J170" s="4">
        <v>34</v>
      </c>
      <c r="K170" s="4">
        <v>34</v>
      </c>
      <c r="L170" s="4">
        <f>IFERROR(INDEX(楼层配置!$D$5:$D$104,MATCH($K170,楼层配置!$B$5:$B$104,0)),"")</f>
        <v>234</v>
      </c>
      <c r="M170" s="4" t="str">
        <f>IFERROR(INDEX(_角色基线!$B$2:$B$100,MATCH($B170,_角色基线!$A$2:$A$100,0)),"")</f>
        <v>大暑</v>
      </c>
      <c r="N170" s="4" t="str">
        <f>IFERROR(INDEX(_角色基线!$C$2:$C$100,MATCH($B170,_角色基线!$A$2:$A$100,0)),"")</f>
        <v>Tank</v>
      </c>
      <c r="O170" s="4">
        <f>IFERROR(INDEX(_怪物基线!$B$2:$B$501,MATCH(INT($L170),_怪物基线!$A$2:$A$501,0)),"")</f>
        <v>200494</v>
      </c>
      <c r="P170" s="4">
        <f>IFERROR(INDEX(_怪物基线!$C$2:$C$501,MATCH(INT($L170),_怪物基线!$A$2:$A$501,0)),"")</f>
        <v>15025</v>
      </c>
      <c r="Q170" s="4">
        <f>IFERROR(INDEX(_怪物基线!$D$2:$D$501,MATCH(INT($L170),_怪物基线!$A$2:$A$501,0)),"")</f>
        <v>19289</v>
      </c>
      <c r="R170" s="4">
        <f>参数!$B$10</f>
        <v>4</v>
      </c>
      <c r="S170" s="4">
        <f>参数!$C$10</f>
        <v>1.2</v>
      </c>
      <c r="T170" s="4">
        <f>参数!$D$10</f>
        <v>1</v>
      </c>
      <c r="U170" s="4">
        <f t="shared" si="14"/>
        <v>801976</v>
      </c>
      <c r="V170" s="4">
        <f t="shared" si="15"/>
        <v>18030</v>
      </c>
      <c r="W170" s="4">
        <f t="shared" si="16"/>
        <v>19289</v>
      </c>
      <c r="X170" s="4">
        <f>IFERROR(INDEX(参数!$B$5:$B$7,MATCH($N170,参数!$A$5:$A$7,0)),"")</f>
        <v>1.5</v>
      </c>
      <c r="Y170" s="4">
        <f>IFERROR(INDEX(参数!$C$5:$C$7,MATCH($N170,参数!$A$5:$A$7,0)),"")</f>
        <v>1</v>
      </c>
      <c r="Z170" s="4">
        <f>IFERROR(INDEX(参数!$D$5:$D$7,MATCH($N170,参数!$A$5:$A$7,0)),"")</f>
        <v>1.5</v>
      </c>
      <c r="AA170" s="4">
        <f>IFERROR(INDEX(楼层配置!$E$5:$E$104,MATCH($K170,楼层配置!$B$5:$B$104,0)),1)</f>
        <v>1</v>
      </c>
      <c r="AB170" s="4">
        <f>IFERROR(INDEX(楼层配置!$F$5:$F$104,MATCH($K170,楼层配置!$B$5:$B$104,0)),1)</f>
        <v>1</v>
      </c>
      <c r="AC170" s="4">
        <f>IFERROR(INDEX(楼层配置!$G$5:$G$104,MATCH($K170,楼层配置!$B$5:$B$104,0)),1)</f>
        <v>1</v>
      </c>
      <c r="AD170" s="6">
        <f t="shared" si="17"/>
        <v>1.26298433170361</v>
      </c>
      <c r="AE170" s="6">
        <f t="shared" si="18"/>
        <v>0.93704340352385</v>
      </c>
      <c r="AF170" s="6">
        <f t="shared" si="19"/>
        <v>1.15250706740068</v>
      </c>
      <c r="AG170" s="4" t="str">
        <f t="shared" si="20"/>
        <v>有效</v>
      </c>
    </row>
    <row r="171" ht="14.25" customHeight="1" spans="1:33">
      <c r="A171" s="4">
        <v>167</v>
      </c>
      <c r="B171" s="4">
        <v>1021</v>
      </c>
      <c r="C171" s="4">
        <v>27</v>
      </c>
      <c r="D171" s="5">
        <f>IFERROR(ROUND($U171*$X171*$AA171*参数!$B$13,0),"")</f>
        <v>801976</v>
      </c>
      <c r="E171" s="5">
        <f>IFERROR(ROUND($V171*$Y171*$AB171*参数!$C$13,0),"")</f>
        <v>21636</v>
      </c>
      <c r="F171" s="5">
        <f>IFERROR(ROUND($W171*$Z171*$AC171*参数!$D$13,0),"")</f>
        <v>19289</v>
      </c>
      <c r="G171" s="4">
        <v>354388</v>
      </c>
      <c r="H171" s="4">
        <v>11169</v>
      </c>
      <c r="I171" s="4">
        <v>8961</v>
      </c>
      <c r="J171" s="4">
        <v>34</v>
      </c>
      <c r="K171" s="4">
        <v>34</v>
      </c>
      <c r="L171" s="4">
        <f>IFERROR(INDEX(楼层配置!$D$5:$D$104,MATCH($K171,楼层配置!$B$5:$B$104,0)),"")</f>
        <v>234</v>
      </c>
      <c r="M171" s="4" t="str">
        <f>IFERROR(INDEX(_角色基线!$B$2:$B$100,MATCH($B171,_角色基线!$A$2:$A$100,0)),"")</f>
        <v>梅梅</v>
      </c>
      <c r="N171" s="4" t="str">
        <f>IFERROR(INDEX(_角色基线!$C$2:$C$100,MATCH($B171,_角色基线!$A$2:$A$100,0)),"")</f>
        <v>DPS</v>
      </c>
      <c r="O171" s="4">
        <f>IFERROR(INDEX(_怪物基线!$B$2:$B$501,MATCH(INT($L171),_怪物基线!$A$2:$A$501,0)),"")</f>
        <v>200494</v>
      </c>
      <c r="P171" s="4">
        <f>IFERROR(INDEX(_怪物基线!$C$2:$C$501,MATCH(INT($L171),_怪物基线!$A$2:$A$501,0)),"")</f>
        <v>15025</v>
      </c>
      <c r="Q171" s="4">
        <f>IFERROR(INDEX(_怪物基线!$D$2:$D$501,MATCH(INT($L171),_怪物基线!$A$2:$A$501,0)),"")</f>
        <v>19289</v>
      </c>
      <c r="R171" s="4">
        <f>参数!$B$10</f>
        <v>4</v>
      </c>
      <c r="S171" s="4">
        <f>参数!$C$10</f>
        <v>1.2</v>
      </c>
      <c r="T171" s="4">
        <f>参数!$D$10</f>
        <v>1</v>
      </c>
      <c r="U171" s="4">
        <f t="shared" si="14"/>
        <v>801976</v>
      </c>
      <c r="V171" s="4">
        <f t="shared" si="15"/>
        <v>18030</v>
      </c>
      <c r="W171" s="4">
        <f t="shared" si="16"/>
        <v>19289</v>
      </c>
      <c r="X171" s="4">
        <f>IFERROR(INDEX(参数!$B$5:$B$7,MATCH($N171,参数!$A$5:$A$7,0)),"")</f>
        <v>1</v>
      </c>
      <c r="Y171" s="4">
        <f>IFERROR(INDEX(参数!$C$5:$C$7,MATCH($N171,参数!$A$5:$A$7,0)),"")</f>
        <v>1.2</v>
      </c>
      <c r="Z171" s="4">
        <f>IFERROR(INDEX(参数!$D$5:$D$7,MATCH($N171,参数!$A$5:$A$7,0)),"")</f>
        <v>1</v>
      </c>
      <c r="AA171" s="4">
        <f>IFERROR(INDEX(楼层配置!$E$5:$E$104,MATCH($K171,楼层配置!$B$5:$B$104,0)),1)</f>
        <v>1</v>
      </c>
      <c r="AB171" s="4">
        <f>IFERROR(INDEX(楼层配置!$F$5:$F$104,MATCH($K171,楼层配置!$B$5:$B$104,0)),1)</f>
        <v>1</v>
      </c>
      <c r="AC171" s="4">
        <f>IFERROR(INDEX(楼层配置!$G$5:$G$104,MATCH($K171,楼层配置!$B$5:$B$104,0)),1)</f>
        <v>1</v>
      </c>
      <c r="AD171" s="6">
        <f t="shared" si="17"/>
        <v>1.2629885887784</v>
      </c>
      <c r="AE171" s="6">
        <f t="shared" si="18"/>
        <v>0.937147461724416</v>
      </c>
      <c r="AF171" s="6">
        <f t="shared" si="19"/>
        <v>1.15254993862292</v>
      </c>
      <c r="AG171" s="4" t="str">
        <f t="shared" si="20"/>
        <v>有效</v>
      </c>
    </row>
    <row r="172" ht="14.25" customHeight="1" spans="1:33">
      <c r="A172" s="4">
        <v>168</v>
      </c>
      <c r="B172" s="4">
        <v>1020</v>
      </c>
      <c r="C172" s="4">
        <v>27</v>
      </c>
      <c r="D172" s="5">
        <f>IFERROR(ROUND($U172*$X172*$AA172*参数!$B$13,0),"")</f>
        <v>1002470</v>
      </c>
      <c r="E172" s="5">
        <f>IFERROR(ROUND($V172*$Y172*$AB172*参数!$C$13,0),"")</f>
        <v>18030</v>
      </c>
      <c r="F172" s="5">
        <f>IFERROR(ROUND($W172*$Z172*$AC172*参数!$D$13,0),"")</f>
        <v>24111</v>
      </c>
      <c r="G172" s="4">
        <v>442986</v>
      </c>
      <c r="H172" s="4">
        <v>9308</v>
      </c>
      <c r="I172" s="4">
        <v>11202</v>
      </c>
      <c r="J172" s="4">
        <v>34</v>
      </c>
      <c r="K172" s="4">
        <v>34</v>
      </c>
      <c r="L172" s="4">
        <f>IFERROR(INDEX(楼层配置!$D$5:$D$104,MATCH($K172,楼层配置!$B$5:$B$104,0)),"")</f>
        <v>234</v>
      </c>
      <c r="M172" s="4" t="str">
        <f>IFERROR(INDEX(_角色基线!$B$2:$B$100,MATCH($B172,_角色基线!$A$2:$A$100,0)),"")</f>
        <v>卡斯帕</v>
      </c>
      <c r="N172" s="4" t="str">
        <f>IFERROR(INDEX(_角色基线!$C$2:$C$100,MATCH($B172,_角色基线!$A$2:$A$100,0)),"")</f>
        <v>Support</v>
      </c>
      <c r="O172" s="4">
        <f>IFERROR(INDEX(_怪物基线!$B$2:$B$501,MATCH(INT($L172),_怪物基线!$A$2:$A$501,0)),"")</f>
        <v>200494</v>
      </c>
      <c r="P172" s="4">
        <f>IFERROR(INDEX(_怪物基线!$C$2:$C$501,MATCH(INT($L172),_怪物基线!$A$2:$A$501,0)),"")</f>
        <v>15025</v>
      </c>
      <c r="Q172" s="4">
        <f>IFERROR(INDEX(_怪物基线!$D$2:$D$501,MATCH(INT($L172),_怪物基线!$A$2:$A$501,0)),"")</f>
        <v>19289</v>
      </c>
      <c r="R172" s="4">
        <f>参数!$B$10</f>
        <v>4</v>
      </c>
      <c r="S172" s="4">
        <f>参数!$C$10</f>
        <v>1.2</v>
      </c>
      <c r="T172" s="4">
        <f>参数!$D$10</f>
        <v>1</v>
      </c>
      <c r="U172" s="4">
        <f t="shared" si="14"/>
        <v>801976</v>
      </c>
      <c r="V172" s="4">
        <f t="shared" si="15"/>
        <v>18030</v>
      </c>
      <c r="W172" s="4">
        <f t="shared" si="16"/>
        <v>19289</v>
      </c>
      <c r="X172" s="4">
        <f>IFERROR(INDEX(参数!$B$5:$B$7,MATCH($N172,参数!$A$5:$A$7,0)),"")</f>
        <v>1.25</v>
      </c>
      <c r="Y172" s="4">
        <f>IFERROR(INDEX(参数!$C$5:$C$7,MATCH($N172,参数!$A$5:$A$7,0)),"")</f>
        <v>1</v>
      </c>
      <c r="Z172" s="4">
        <f>IFERROR(INDEX(参数!$D$5:$D$7,MATCH($N172,参数!$A$5:$A$7,0)),"")</f>
        <v>1.25</v>
      </c>
      <c r="AA172" s="4">
        <f>IFERROR(INDEX(楼层配置!$E$5:$E$104,MATCH($K172,楼层配置!$B$5:$B$104,0)),1)</f>
        <v>1</v>
      </c>
      <c r="AB172" s="4">
        <f>IFERROR(INDEX(楼层配置!$F$5:$F$104,MATCH($K172,楼层配置!$B$5:$B$104,0)),1)</f>
        <v>1</v>
      </c>
      <c r="AC172" s="4">
        <f>IFERROR(INDEX(楼层配置!$G$5:$G$104,MATCH($K172,楼层配置!$B$5:$B$104,0)),1)</f>
        <v>1</v>
      </c>
      <c r="AD172" s="6">
        <f t="shared" si="17"/>
        <v>1.26298348029057</v>
      </c>
      <c r="AE172" s="6">
        <f t="shared" si="18"/>
        <v>0.93704340352385</v>
      </c>
      <c r="AF172" s="6">
        <f t="shared" si="19"/>
        <v>1.1523835029459</v>
      </c>
      <c r="AG172" s="4" t="str">
        <f t="shared" si="20"/>
        <v>有效</v>
      </c>
    </row>
    <row r="173" ht="14.25" customHeight="1" spans="1:33">
      <c r="A173" s="4">
        <v>169</v>
      </c>
      <c r="B173" s="4">
        <v>1015</v>
      </c>
      <c r="C173" s="4">
        <v>27</v>
      </c>
      <c r="D173" s="5">
        <f>IFERROR(ROUND($U173*$X173*$AA173*参数!$B$13,0),"")</f>
        <v>1002470</v>
      </c>
      <c r="E173" s="5">
        <f>IFERROR(ROUND($V173*$Y173*$AB173*参数!$C$13,0),"")</f>
        <v>18030</v>
      </c>
      <c r="F173" s="5">
        <f>IFERROR(ROUND($W173*$Z173*$AC173*参数!$D$13,0),"")</f>
        <v>24111</v>
      </c>
      <c r="G173" s="4">
        <v>442986</v>
      </c>
      <c r="H173" s="4">
        <v>9308</v>
      </c>
      <c r="I173" s="4">
        <v>11202</v>
      </c>
      <c r="J173" s="4">
        <v>34</v>
      </c>
      <c r="K173" s="4">
        <v>34</v>
      </c>
      <c r="L173" s="4">
        <f>IFERROR(INDEX(楼层配置!$D$5:$D$104,MATCH($K173,楼层配置!$B$5:$B$104,0)),"")</f>
        <v>234</v>
      </c>
      <c r="M173" s="4" t="str">
        <f>IFERROR(INDEX(_角色基线!$B$2:$B$100,MATCH($B173,_角色基线!$A$2:$A$100,0)),"")</f>
        <v>阿莱克西娅</v>
      </c>
      <c r="N173" s="4" t="str">
        <f>IFERROR(INDEX(_角色基线!$C$2:$C$100,MATCH($B173,_角色基线!$A$2:$A$100,0)),"")</f>
        <v>Support</v>
      </c>
      <c r="O173" s="4">
        <f>IFERROR(INDEX(_怪物基线!$B$2:$B$501,MATCH(INT($L173),_怪物基线!$A$2:$A$501,0)),"")</f>
        <v>200494</v>
      </c>
      <c r="P173" s="4">
        <f>IFERROR(INDEX(_怪物基线!$C$2:$C$501,MATCH(INT($L173),_怪物基线!$A$2:$A$501,0)),"")</f>
        <v>15025</v>
      </c>
      <c r="Q173" s="4">
        <f>IFERROR(INDEX(_怪物基线!$D$2:$D$501,MATCH(INT($L173),_怪物基线!$A$2:$A$501,0)),"")</f>
        <v>19289</v>
      </c>
      <c r="R173" s="4">
        <f>参数!$B$10</f>
        <v>4</v>
      </c>
      <c r="S173" s="4">
        <f>参数!$C$10</f>
        <v>1.2</v>
      </c>
      <c r="T173" s="4">
        <f>参数!$D$10</f>
        <v>1</v>
      </c>
      <c r="U173" s="4">
        <f t="shared" si="14"/>
        <v>801976</v>
      </c>
      <c r="V173" s="4">
        <f t="shared" si="15"/>
        <v>18030</v>
      </c>
      <c r="W173" s="4">
        <f t="shared" si="16"/>
        <v>19289</v>
      </c>
      <c r="X173" s="4">
        <f>IFERROR(INDEX(参数!$B$5:$B$7,MATCH($N173,参数!$A$5:$A$7,0)),"")</f>
        <v>1.25</v>
      </c>
      <c r="Y173" s="4">
        <f>IFERROR(INDEX(参数!$C$5:$C$7,MATCH($N173,参数!$A$5:$A$7,0)),"")</f>
        <v>1</v>
      </c>
      <c r="Z173" s="4">
        <f>IFERROR(INDEX(参数!$D$5:$D$7,MATCH($N173,参数!$A$5:$A$7,0)),"")</f>
        <v>1.25</v>
      </c>
      <c r="AA173" s="4">
        <f>IFERROR(INDEX(楼层配置!$E$5:$E$104,MATCH($K173,楼层配置!$B$5:$B$104,0)),1)</f>
        <v>1</v>
      </c>
      <c r="AB173" s="4">
        <f>IFERROR(INDEX(楼层配置!$F$5:$F$104,MATCH($K173,楼层配置!$B$5:$B$104,0)),1)</f>
        <v>1</v>
      </c>
      <c r="AC173" s="4">
        <f>IFERROR(INDEX(楼层配置!$G$5:$G$104,MATCH($K173,楼层配置!$B$5:$B$104,0)),1)</f>
        <v>1</v>
      </c>
      <c r="AD173" s="6">
        <f t="shared" si="17"/>
        <v>1.26298348029057</v>
      </c>
      <c r="AE173" s="6">
        <f t="shared" si="18"/>
        <v>0.93704340352385</v>
      </c>
      <c r="AF173" s="6">
        <f t="shared" si="19"/>
        <v>1.1523835029459</v>
      </c>
      <c r="AG173" s="4" t="str">
        <f t="shared" si="20"/>
        <v>有效</v>
      </c>
    </row>
    <row r="174" ht="14.25" customHeight="1" spans="1:33">
      <c r="A174" s="4">
        <v>170</v>
      </c>
      <c r="B174" s="4">
        <v>1024</v>
      </c>
      <c r="C174" s="4">
        <v>27</v>
      </c>
      <c r="D174" s="5">
        <f>IFERROR(ROUND($U174*$X174*$AA174*参数!$B$13,0),"")</f>
        <v>801976</v>
      </c>
      <c r="E174" s="5">
        <f>IFERROR(ROUND($V174*$Y174*$AB174*参数!$C$13,0),"")</f>
        <v>21636</v>
      </c>
      <c r="F174" s="5">
        <f>IFERROR(ROUND($W174*$Z174*$AC174*参数!$D$13,0),"")</f>
        <v>19289</v>
      </c>
      <c r="G174" s="4">
        <v>354388</v>
      </c>
      <c r="H174" s="4">
        <v>11169</v>
      </c>
      <c r="I174" s="4">
        <v>8961</v>
      </c>
      <c r="J174" s="4">
        <v>34</v>
      </c>
      <c r="K174" s="4">
        <v>34</v>
      </c>
      <c r="L174" s="4">
        <f>IFERROR(INDEX(楼层配置!$D$5:$D$104,MATCH($K174,楼层配置!$B$5:$B$104,0)),"")</f>
        <v>234</v>
      </c>
      <c r="M174" s="4" t="str">
        <f>IFERROR(INDEX(_角色基线!$B$2:$B$100,MATCH($B174,_角色基线!$A$2:$A$100,0)),"")</f>
        <v>卡薇</v>
      </c>
      <c r="N174" s="4" t="str">
        <f>IFERROR(INDEX(_角色基线!$C$2:$C$100,MATCH($B174,_角色基线!$A$2:$A$100,0)),"")</f>
        <v>DPS</v>
      </c>
      <c r="O174" s="4">
        <f>IFERROR(INDEX(_怪物基线!$B$2:$B$501,MATCH(INT($L174),_怪物基线!$A$2:$A$501,0)),"")</f>
        <v>200494</v>
      </c>
      <c r="P174" s="4">
        <f>IFERROR(INDEX(_怪物基线!$C$2:$C$501,MATCH(INT($L174),_怪物基线!$A$2:$A$501,0)),"")</f>
        <v>15025</v>
      </c>
      <c r="Q174" s="4">
        <f>IFERROR(INDEX(_怪物基线!$D$2:$D$501,MATCH(INT($L174),_怪物基线!$A$2:$A$501,0)),"")</f>
        <v>19289</v>
      </c>
      <c r="R174" s="4">
        <f>参数!$B$10</f>
        <v>4</v>
      </c>
      <c r="S174" s="4">
        <f>参数!$C$10</f>
        <v>1.2</v>
      </c>
      <c r="T174" s="4">
        <f>参数!$D$10</f>
        <v>1</v>
      </c>
      <c r="U174" s="4">
        <f t="shared" si="14"/>
        <v>801976</v>
      </c>
      <c r="V174" s="4">
        <f t="shared" si="15"/>
        <v>18030</v>
      </c>
      <c r="W174" s="4">
        <f t="shared" si="16"/>
        <v>19289</v>
      </c>
      <c r="X174" s="4">
        <f>IFERROR(INDEX(参数!$B$5:$B$7,MATCH($N174,参数!$A$5:$A$7,0)),"")</f>
        <v>1</v>
      </c>
      <c r="Y174" s="4">
        <f>IFERROR(INDEX(参数!$C$5:$C$7,MATCH($N174,参数!$A$5:$A$7,0)),"")</f>
        <v>1.2</v>
      </c>
      <c r="Z174" s="4">
        <f>IFERROR(INDEX(参数!$D$5:$D$7,MATCH($N174,参数!$A$5:$A$7,0)),"")</f>
        <v>1</v>
      </c>
      <c r="AA174" s="4">
        <f>IFERROR(INDEX(楼层配置!$E$5:$E$104,MATCH($K174,楼层配置!$B$5:$B$104,0)),1)</f>
        <v>1</v>
      </c>
      <c r="AB174" s="4">
        <f>IFERROR(INDEX(楼层配置!$F$5:$F$104,MATCH($K174,楼层配置!$B$5:$B$104,0)),1)</f>
        <v>1</v>
      </c>
      <c r="AC174" s="4">
        <f>IFERROR(INDEX(楼层配置!$G$5:$G$104,MATCH($K174,楼层配置!$B$5:$B$104,0)),1)</f>
        <v>1</v>
      </c>
      <c r="AD174" s="6">
        <f t="shared" si="17"/>
        <v>1.2629885887784</v>
      </c>
      <c r="AE174" s="6">
        <f t="shared" si="18"/>
        <v>0.937147461724416</v>
      </c>
      <c r="AF174" s="6">
        <f t="shared" si="19"/>
        <v>1.15254993862292</v>
      </c>
      <c r="AG174" s="4" t="str">
        <f t="shared" si="20"/>
        <v>有效</v>
      </c>
    </row>
    <row r="175" ht="14.25" customHeight="1" spans="1:33">
      <c r="A175" s="4">
        <v>171</v>
      </c>
      <c r="B175" s="4">
        <v>1030</v>
      </c>
      <c r="C175" s="4">
        <v>27</v>
      </c>
      <c r="D175" s="5">
        <f>IFERROR(ROUND($U175*$X175*$AA175*参数!$B$13,0),"")</f>
        <v>1255326</v>
      </c>
      <c r="E175" s="5">
        <f>IFERROR(ROUND($V175*$Y175*$AB175*参数!$C$13,0),"")</f>
        <v>18564</v>
      </c>
      <c r="F175" s="5">
        <f>IFERROR(ROUND($W175*$Z175*$AC175*参数!$D$13,0),"")</f>
        <v>29591</v>
      </c>
      <c r="G175" s="4">
        <v>562716</v>
      </c>
      <c r="H175" s="4">
        <v>9659</v>
      </c>
      <c r="I175" s="4">
        <v>13880</v>
      </c>
      <c r="J175" s="4">
        <v>35</v>
      </c>
      <c r="K175" s="4">
        <v>35</v>
      </c>
      <c r="L175" s="4">
        <f>IFERROR(INDEX(楼层配置!$D$5:$D$104,MATCH($K175,楼层配置!$B$5:$B$104,0)),"")</f>
        <v>238</v>
      </c>
      <c r="M175" s="4" t="str">
        <f>IFERROR(INDEX(_角色基线!$B$2:$B$100,MATCH($B175,_角色基线!$A$2:$A$100,0)),"")</f>
        <v>莫莉</v>
      </c>
      <c r="N175" s="4" t="str">
        <f>IFERROR(INDEX(_角色基线!$C$2:$C$100,MATCH($B175,_角色基线!$A$2:$A$100,0)),"")</f>
        <v>Tank</v>
      </c>
      <c r="O175" s="4">
        <f>IFERROR(INDEX(_怪物基线!$B$2:$B$501,MATCH(INT($L175),_怪物基线!$A$2:$A$501,0)),"")</f>
        <v>209221</v>
      </c>
      <c r="P175" s="4">
        <f>IFERROR(INDEX(_怪物基线!$C$2:$C$501,MATCH(INT($L175),_怪物基线!$A$2:$A$501,0)),"")</f>
        <v>15470</v>
      </c>
      <c r="Q175" s="4">
        <f>IFERROR(INDEX(_怪物基线!$D$2:$D$501,MATCH(INT($L175),_怪物基线!$A$2:$A$501,0)),"")</f>
        <v>19727</v>
      </c>
      <c r="R175" s="4">
        <f>参数!$B$10</f>
        <v>4</v>
      </c>
      <c r="S175" s="4">
        <f>参数!$C$10</f>
        <v>1.2</v>
      </c>
      <c r="T175" s="4">
        <f>参数!$D$10</f>
        <v>1</v>
      </c>
      <c r="U175" s="4">
        <f t="shared" si="14"/>
        <v>836884</v>
      </c>
      <c r="V175" s="4">
        <f t="shared" si="15"/>
        <v>18564</v>
      </c>
      <c r="W175" s="4">
        <f t="shared" si="16"/>
        <v>19727</v>
      </c>
      <c r="X175" s="4">
        <f>IFERROR(INDEX(参数!$B$5:$B$7,MATCH($N175,参数!$A$5:$A$7,0)),"")</f>
        <v>1.5</v>
      </c>
      <c r="Y175" s="4">
        <f>IFERROR(INDEX(参数!$C$5:$C$7,MATCH($N175,参数!$A$5:$A$7,0)),"")</f>
        <v>1</v>
      </c>
      <c r="Z175" s="4">
        <f>IFERROR(INDEX(参数!$D$5:$D$7,MATCH($N175,参数!$A$5:$A$7,0)),"")</f>
        <v>1.5</v>
      </c>
      <c r="AA175" s="4">
        <f>IFERROR(INDEX(楼层配置!$E$5:$E$104,MATCH($K175,楼层配置!$B$5:$B$104,0)),1)</f>
        <v>1</v>
      </c>
      <c r="AB175" s="4">
        <f>IFERROR(INDEX(楼层配置!$F$5:$F$104,MATCH($K175,楼层配置!$B$5:$B$104,0)),1)</f>
        <v>1</v>
      </c>
      <c r="AC175" s="4">
        <f>IFERROR(INDEX(楼层配置!$G$5:$G$104,MATCH($K175,楼层配置!$B$5:$B$104,0)),1)</f>
        <v>1</v>
      </c>
      <c r="AD175" s="6">
        <f t="shared" si="17"/>
        <v>1.23083402640053</v>
      </c>
      <c r="AE175" s="6">
        <f t="shared" si="18"/>
        <v>0.921938088829071</v>
      </c>
      <c r="AF175" s="6">
        <f t="shared" si="19"/>
        <v>1.13191642651297</v>
      </c>
      <c r="AG175" s="4" t="str">
        <f t="shared" si="20"/>
        <v>有效</v>
      </c>
    </row>
    <row r="176" ht="14.25" customHeight="1" spans="1:33">
      <c r="A176" s="4">
        <v>172</v>
      </c>
      <c r="B176" s="4">
        <v>1021</v>
      </c>
      <c r="C176" s="4">
        <v>27</v>
      </c>
      <c r="D176" s="5">
        <f>IFERROR(ROUND($U176*$X176*$AA176*参数!$B$13,0),"")</f>
        <v>836884</v>
      </c>
      <c r="E176" s="5">
        <f>IFERROR(ROUND($V176*$Y176*$AB176*参数!$C$13,0),"")</f>
        <v>22277</v>
      </c>
      <c r="F176" s="5">
        <f>IFERROR(ROUND($W176*$Z176*$AC176*参数!$D$13,0),"")</f>
        <v>19727</v>
      </c>
      <c r="G176" s="4">
        <v>375144</v>
      </c>
      <c r="H176" s="4">
        <v>11590</v>
      </c>
      <c r="I176" s="4">
        <v>9253</v>
      </c>
      <c r="J176" s="4">
        <v>35</v>
      </c>
      <c r="K176" s="4">
        <v>35</v>
      </c>
      <c r="L176" s="4">
        <f>IFERROR(INDEX(楼层配置!$D$5:$D$104,MATCH($K176,楼层配置!$B$5:$B$104,0)),"")</f>
        <v>238</v>
      </c>
      <c r="M176" s="4" t="str">
        <f>IFERROR(INDEX(_角色基线!$B$2:$B$100,MATCH($B176,_角色基线!$A$2:$A$100,0)),"")</f>
        <v>梅梅</v>
      </c>
      <c r="N176" s="4" t="str">
        <f>IFERROR(INDEX(_角色基线!$C$2:$C$100,MATCH($B176,_角色基线!$A$2:$A$100,0)),"")</f>
        <v>DPS</v>
      </c>
      <c r="O176" s="4">
        <f>IFERROR(INDEX(_怪物基线!$B$2:$B$501,MATCH(INT($L176),_怪物基线!$A$2:$A$501,0)),"")</f>
        <v>209221</v>
      </c>
      <c r="P176" s="4">
        <f>IFERROR(INDEX(_怪物基线!$C$2:$C$501,MATCH(INT($L176),_怪物基线!$A$2:$A$501,0)),"")</f>
        <v>15470</v>
      </c>
      <c r="Q176" s="4">
        <f>IFERROR(INDEX(_怪物基线!$D$2:$D$501,MATCH(INT($L176),_怪物基线!$A$2:$A$501,0)),"")</f>
        <v>19727</v>
      </c>
      <c r="R176" s="4">
        <f>参数!$B$10</f>
        <v>4</v>
      </c>
      <c r="S176" s="4">
        <f>参数!$C$10</f>
        <v>1.2</v>
      </c>
      <c r="T176" s="4">
        <f>参数!$D$10</f>
        <v>1</v>
      </c>
      <c r="U176" s="4">
        <f t="shared" si="14"/>
        <v>836884</v>
      </c>
      <c r="V176" s="4">
        <f t="shared" si="15"/>
        <v>18564</v>
      </c>
      <c r="W176" s="4">
        <f t="shared" si="16"/>
        <v>19727</v>
      </c>
      <c r="X176" s="4">
        <f>IFERROR(INDEX(参数!$B$5:$B$7,MATCH($N176,参数!$A$5:$A$7,0)),"")</f>
        <v>1</v>
      </c>
      <c r="Y176" s="4">
        <f>IFERROR(INDEX(参数!$C$5:$C$7,MATCH($N176,参数!$A$5:$A$7,0)),"")</f>
        <v>1.2</v>
      </c>
      <c r="Z176" s="4">
        <f>IFERROR(INDEX(参数!$D$5:$D$7,MATCH($N176,参数!$A$5:$A$7,0)),"")</f>
        <v>1</v>
      </c>
      <c r="AA176" s="4">
        <f>IFERROR(INDEX(楼层配置!$E$5:$E$104,MATCH($K176,楼层配置!$B$5:$B$104,0)),1)</f>
        <v>1</v>
      </c>
      <c r="AB176" s="4">
        <f>IFERROR(INDEX(楼层配置!$F$5:$F$104,MATCH($K176,楼层配置!$B$5:$B$104,0)),1)</f>
        <v>1</v>
      </c>
      <c r="AC176" s="4">
        <f>IFERROR(INDEX(楼层配置!$G$5:$G$104,MATCH($K176,楼层配置!$B$5:$B$104,0)),1)</f>
        <v>1</v>
      </c>
      <c r="AD176" s="6">
        <f t="shared" si="17"/>
        <v>1.23083402640053</v>
      </c>
      <c r="AE176" s="6">
        <f t="shared" si="18"/>
        <v>0.922088006902502</v>
      </c>
      <c r="AF176" s="6">
        <f t="shared" si="19"/>
        <v>1.13195720306927</v>
      </c>
      <c r="AG176" s="4" t="str">
        <f t="shared" si="20"/>
        <v>有效</v>
      </c>
    </row>
    <row r="177" ht="14.25" customHeight="1" spans="1:33">
      <c r="A177" s="4">
        <v>173</v>
      </c>
      <c r="B177" s="4">
        <v>1029</v>
      </c>
      <c r="C177" s="4">
        <v>27</v>
      </c>
      <c r="D177" s="5">
        <f>IFERROR(ROUND($U177*$X177*$AA177*参数!$B$13,0),"")</f>
        <v>1046105</v>
      </c>
      <c r="E177" s="5">
        <f>IFERROR(ROUND($V177*$Y177*$AB177*参数!$C$13,0),"")</f>
        <v>18564</v>
      </c>
      <c r="F177" s="5">
        <f>IFERROR(ROUND($W177*$Z177*$AC177*参数!$D$13,0),"")</f>
        <v>24659</v>
      </c>
      <c r="G177" s="4">
        <v>468930</v>
      </c>
      <c r="H177" s="4">
        <v>9659</v>
      </c>
      <c r="I177" s="4">
        <v>11567</v>
      </c>
      <c r="J177" s="4">
        <v>35</v>
      </c>
      <c r="K177" s="4">
        <v>35</v>
      </c>
      <c r="L177" s="4">
        <f>IFERROR(INDEX(楼层配置!$D$5:$D$104,MATCH($K177,楼层配置!$B$5:$B$104,0)),"")</f>
        <v>238</v>
      </c>
      <c r="M177" s="4" t="str">
        <f>IFERROR(INDEX(_角色基线!$B$2:$B$100,MATCH($B177,_角色基线!$A$2:$A$100,0)),"")</f>
        <v>凯兰</v>
      </c>
      <c r="N177" s="4" t="str">
        <f>IFERROR(INDEX(_角色基线!$C$2:$C$100,MATCH($B177,_角色基线!$A$2:$A$100,0)),"")</f>
        <v>Support</v>
      </c>
      <c r="O177" s="4">
        <f>IFERROR(INDEX(_怪物基线!$B$2:$B$501,MATCH(INT($L177),_怪物基线!$A$2:$A$501,0)),"")</f>
        <v>209221</v>
      </c>
      <c r="P177" s="4">
        <f>IFERROR(INDEX(_怪物基线!$C$2:$C$501,MATCH(INT($L177),_怪物基线!$A$2:$A$501,0)),"")</f>
        <v>15470</v>
      </c>
      <c r="Q177" s="4">
        <f>IFERROR(INDEX(_怪物基线!$D$2:$D$501,MATCH(INT($L177),_怪物基线!$A$2:$A$501,0)),"")</f>
        <v>19727</v>
      </c>
      <c r="R177" s="4">
        <f>参数!$B$10</f>
        <v>4</v>
      </c>
      <c r="S177" s="4">
        <f>参数!$C$10</f>
        <v>1.2</v>
      </c>
      <c r="T177" s="4">
        <f>参数!$D$10</f>
        <v>1</v>
      </c>
      <c r="U177" s="4">
        <f t="shared" si="14"/>
        <v>836884</v>
      </c>
      <c r="V177" s="4">
        <f t="shared" si="15"/>
        <v>18564</v>
      </c>
      <c r="W177" s="4">
        <f t="shared" si="16"/>
        <v>19727</v>
      </c>
      <c r="X177" s="4">
        <f>IFERROR(INDEX(参数!$B$5:$B$7,MATCH($N177,参数!$A$5:$A$7,0)),"")</f>
        <v>1.25</v>
      </c>
      <c r="Y177" s="4">
        <f>IFERROR(INDEX(参数!$C$5:$C$7,MATCH($N177,参数!$A$5:$A$7,0)),"")</f>
        <v>1</v>
      </c>
      <c r="Z177" s="4">
        <f>IFERROR(INDEX(参数!$D$5:$D$7,MATCH($N177,参数!$A$5:$A$7,0)),"")</f>
        <v>1.25</v>
      </c>
      <c r="AA177" s="4">
        <f>IFERROR(INDEX(楼层配置!$E$5:$E$104,MATCH($K177,楼层配置!$B$5:$B$104,0)),1)</f>
        <v>1</v>
      </c>
      <c r="AB177" s="4">
        <f>IFERROR(INDEX(楼层配置!$F$5:$F$104,MATCH($K177,楼层配置!$B$5:$B$104,0)),1)</f>
        <v>1</v>
      </c>
      <c r="AC177" s="4">
        <f>IFERROR(INDEX(楼层配置!$G$5:$G$104,MATCH($K177,楼层配置!$B$5:$B$104,0)),1)</f>
        <v>1</v>
      </c>
      <c r="AD177" s="6">
        <f t="shared" si="17"/>
        <v>1.23083402640053</v>
      </c>
      <c r="AE177" s="6">
        <f t="shared" si="18"/>
        <v>0.921938088829071</v>
      </c>
      <c r="AF177" s="6">
        <f t="shared" si="19"/>
        <v>1.13184058096308</v>
      </c>
      <c r="AG177" s="4" t="str">
        <f t="shared" si="20"/>
        <v>有效</v>
      </c>
    </row>
    <row r="178" ht="14.25" customHeight="1" spans="1:33">
      <c r="A178" s="4">
        <v>174</v>
      </c>
      <c r="B178" s="4">
        <v>1020</v>
      </c>
      <c r="C178" s="4">
        <v>27</v>
      </c>
      <c r="D178" s="5">
        <f>IFERROR(ROUND($U178*$X178*$AA178*参数!$B$13,0),"")</f>
        <v>1046105</v>
      </c>
      <c r="E178" s="5">
        <f>IFERROR(ROUND($V178*$Y178*$AB178*参数!$C$13,0),"")</f>
        <v>18564</v>
      </c>
      <c r="F178" s="5">
        <f>IFERROR(ROUND($W178*$Z178*$AC178*参数!$D$13,0),"")</f>
        <v>24659</v>
      </c>
      <c r="G178" s="4">
        <v>468930</v>
      </c>
      <c r="H178" s="4">
        <v>9659</v>
      </c>
      <c r="I178" s="4">
        <v>11567</v>
      </c>
      <c r="J178" s="4">
        <v>35</v>
      </c>
      <c r="K178" s="4">
        <v>35</v>
      </c>
      <c r="L178" s="4">
        <f>IFERROR(INDEX(楼层配置!$D$5:$D$104,MATCH($K178,楼层配置!$B$5:$B$104,0)),"")</f>
        <v>238</v>
      </c>
      <c r="M178" s="4" t="str">
        <f>IFERROR(INDEX(_角色基线!$B$2:$B$100,MATCH($B178,_角色基线!$A$2:$A$100,0)),"")</f>
        <v>卡斯帕</v>
      </c>
      <c r="N178" s="4" t="str">
        <f>IFERROR(INDEX(_角色基线!$C$2:$C$100,MATCH($B178,_角色基线!$A$2:$A$100,0)),"")</f>
        <v>Support</v>
      </c>
      <c r="O178" s="4">
        <f>IFERROR(INDEX(_怪物基线!$B$2:$B$501,MATCH(INT($L178),_怪物基线!$A$2:$A$501,0)),"")</f>
        <v>209221</v>
      </c>
      <c r="P178" s="4">
        <f>IFERROR(INDEX(_怪物基线!$C$2:$C$501,MATCH(INT($L178),_怪物基线!$A$2:$A$501,0)),"")</f>
        <v>15470</v>
      </c>
      <c r="Q178" s="4">
        <f>IFERROR(INDEX(_怪物基线!$D$2:$D$501,MATCH(INT($L178),_怪物基线!$A$2:$A$501,0)),"")</f>
        <v>19727</v>
      </c>
      <c r="R178" s="4">
        <f>参数!$B$10</f>
        <v>4</v>
      </c>
      <c r="S178" s="4">
        <f>参数!$C$10</f>
        <v>1.2</v>
      </c>
      <c r="T178" s="4">
        <f>参数!$D$10</f>
        <v>1</v>
      </c>
      <c r="U178" s="4">
        <f t="shared" si="14"/>
        <v>836884</v>
      </c>
      <c r="V178" s="4">
        <f t="shared" si="15"/>
        <v>18564</v>
      </c>
      <c r="W178" s="4">
        <f t="shared" si="16"/>
        <v>19727</v>
      </c>
      <c r="X178" s="4">
        <f>IFERROR(INDEX(参数!$B$5:$B$7,MATCH($N178,参数!$A$5:$A$7,0)),"")</f>
        <v>1.25</v>
      </c>
      <c r="Y178" s="4">
        <f>IFERROR(INDEX(参数!$C$5:$C$7,MATCH($N178,参数!$A$5:$A$7,0)),"")</f>
        <v>1</v>
      </c>
      <c r="Z178" s="4">
        <f>IFERROR(INDEX(参数!$D$5:$D$7,MATCH($N178,参数!$A$5:$A$7,0)),"")</f>
        <v>1.25</v>
      </c>
      <c r="AA178" s="4">
        <f>IFERROR(INDEX(楼层配置!$E$5:$E$104,MATCH($K178,楼层配置!$B$5:$B$104,0)),1)</f>
        <v>1</v>
      </c>
      <c r="AB178" s="4">
        <f>IFERROR(INDEX(楼层配置!$F$5:$F$104,MATCH($K178,楼层配置!$B$5:$B$104,0)),1)</f>
        <v>1</v>
      </c>
      <c r="AC178" s="4">
        <f>IFERROR(INDEX(楼层配置!$G$5:$G$104,MATCH($K178,楼层配置!$B$5:$B$104,0)),1)</f>
        <v>1</v>
      </c>
      <c r="AD178" s="6">
        <f t="shared" si="17"/>
        <v>1.23083402640053</v>
      </c>
      <c r="AE178" s="6">
        <f t="shared" si="18"/>
        <v>0.921938088829071</v>
      </c>
      <c r="AF178" s="6">
        <f t="shared" si="19"/>
        <v>1.13184058096308</v>
      </c>
      <c r="AG178" s="4" t="str">
        <f t="shared" si="20"/>
        <v>有效</v>
      </c>
    </row>
    <row r="179" ht="14.25" customHeight="1" spans="1:33">
      <c r="A179" s="4">
        <v>175</v>
      </c>
      <c r="B179" s="4">
        <v>1018</v>
      </c>
      <c r="C179" s="4">
        <v>27</v>
      </c>
      <c r="D179" s="5">
        <f>IFERROR(ROUND($U179*$X179*$AA179*参数!$B$13,0),"")</f>
        <v>1046105</v>
      </c>
      <c r="E179" s="5">
        <f>IFERROR(ROUND($V179*$Y179*$AB179*参数!$C$13,0),"")</f>
        <v>18564</v>
      </c>
      <c r="F179" s="5">
        <f>IFERROR(ROUND($W179*$Z179*$AC179*参数!$D$13,0),"")</f>
        <v>24659</v>
      </c>
      <c r="G179" s="4">
        <v>468930</v>
      </c>
      <c r="H179" s="4">
        <v>9659</v>
      </c>
      <c r="I179" s="4">
        <v>11567</v>
      </c>
      <c r="J179" s="4">
        <v>35</v>
      </c>
      <c r="K179" s="4">
        <v>35</v>
      </c>
      <c r="L179" s="4">
        <f>IFERROR(INDEX(楼层配置!$D$5:$D$104,MATCH($K179,楼层配置!$B$5:$B$104,0)),"")</f>
        <v>238</v>
      </c>
      <c r="M179" s="4" t="str">
        <f>IFERROR(INDEX(_角色基线!$B$2:$B$100,MATCH($B179,_角色基线!$A$2:$A$100,0)),"")</f>
        <v>埃莉诺</v>
      </c>
      <c r="N179" s="4" t="str">
        <f>IFERROR(INDEX(_角色基线!$C$2:$C$100,MATCH($B179,_角色基线!$A$2:$A$100,0)),"")</f>
        <v>Support</v>
      </c>
      <c r="O179" s="4">
        <f>IFERROR(INDEX(_怪物基线!$B$2:$B$501,MATCH(INT($L179),_怪物基线!$A$2:$A$501,0)),"")</f>
        <v>209221</v>
      </c>
      <c r="P179" s="4">
        <f>IFERROR(INDEX(_怪物基线!$C$2:$C$501,MATCH(INT($L179),_怪物基线!$A$2:$A$501,0)),"")</f>
        <v>15470</v>
      </c>
      <c r="Q179" s="4">
        <f>IFERROR(INDEX(_怪物基线!$D$2:$D$501,MATCH(INT($L179),_怪物基线!$A$2:$A$501,0)),"")</f>
        <v>19727</v>
      </c>
      <c r="R179" s="4">
        <f>参数!$B$10</f>
        <v>4</v>
      </c>
      <c r="S179" s="4">
        <f>参数!$C$10</f>
        <v>1.2</v>
      </c>
      <c r="T179" s="4">
        <f>参数!$D$10</f>
        <v>1</v>
      </c>
      <c r="U179" s="4">
        <f t="shared" si="14"/>
        <v>836884</v>
      </c>
      <c r="V179" s="4">
        <f t="shared" si="15"/>
        <v>18564</v>
      </c>
      <c r="W179" s="4">
        <f t="shared" si="16"/>
        <v>19727</v>
      </c>
      <c r="X179" s="4">
        <f>IFERROR(INDEX(参数!$B$5:$B$7,MATCH($N179,参数!$A$5:$A$7,0)),"")</f>
        <v>1.25</v>
      </c>
      <c r="Y179" s="4">
        <f>IFERROR(INDEX(参数!$C$5:$C$7,MATCH($N179,参数!$A$5:$A$7,0)),"")</f>
        <v>1</v>
      </c>
      <c r="Z179" s="4">
        <f>IFERROR(INDEX(参数!$D$5:$D$7,MATCH($N179,参数!$A$5:$A$7,0)),"")</f>
        <v>1.25</v>
      </c>
      <c r="AA179" s="4">
        <f>IFERROR(INDEX(楼层配置!$E$5:$E$104,MATCH($K179,楼层配置!$B$5:$B$104,0)),1)</f>
        <v>1</v>
      </c>
      <c r="AB179" s="4">
        <f>IFERROR(INDEX(楼层配置!$F$5:$F$104,MATCH($K179,楼层配置!$B$5:$B$104,0)),1)</f>
        <v>1</v>
      </c>
      <c r="AC179" s="4">
        <f>IFERROR(INDEX(楼层配置!$G$5:$G$104,MATCH($K179,楼层配置!$B$5:$B$104,0)),1)</f>
        <v>1</v>
      </c>
      <c r="AD179" s="6">
        <f t="shared" si="17"/>
        <v>1.23083402640053</v>
      </c>
      <c r="AE179" s="6">
        <f t="shared" si="18"/>
        <v>0.921938088829071</v>
      </c>
      <c r="AF179" s="6">
        <f t="shared" si="19"/>
        <v>1.13184058096308</v>
      </c>
      <c r="AG179" s="4" t="str">
        <f t="shared" si="20"/>
        <v>有效</v>
      </c>
    </row>
    <row r="180" ht="14.25" customHeight="1" spans="1:33">
      <c r="A180" s="4">
        <v>176</v>
      </c>
      <c r="B180" s="4">
        <v>1030</v>
      </c>
      <c r="C180" s="4">
        <v>28</v>
      </c>
      <c r="D180" s="5">
        <f>IFERROR(ROUND($U180*$X180*$AA180*参数!$B$13,0),"")</f>
        <v>1323060</v>
      </c>
      <c r="E180" s="5">
        <f>IFERROR(ROUND($V180*$Y180*$AB180*参数!$C$13,0),"")</f>
        <v>19247</v>
      </c>
      <c r="F180" s="5">
        <f>IFERROR(ROUND($W180*$Z180*$AC180*参数!$D$13,0),"")</f>
        <v>30419</v>
      </c>
      <c r="G180" s="4">
        <v>595094</v>
      </c>
      <c r="H180" s="4">
        <v>10018</v>
      </c>
      <c r="I180" s="4">
        <v>14322</v>
      </c>
      <c r="J180" s="4">
        <v>36</v>
      </c>
      <c r="K180" s="4">
        <v>36</v>
      </c>
      <c r="L180" s="4">
        <f>IFERROR(INDEX(楼层配置!$D$5:$D$104,MATCH($K180,楼层配置!$B$5:$B$104,0)),"")</f>
        <v>243</v>
      </c>
      <c r="M180" s="4" t="str">
        <f>IFERROR(INDEX(_角色基线!$B$2:$B$100,MATCH($B180,_角色基线!$A$2:$A$100,0)),"")</f>
        <v>莫莉</v>
      </c>
      <c r="N180" s="4" t="str">
        <f>IFERROR(INDEX(_角色基线!$C$2:$C$100,MATCH($B180,_角色基线!$A$2:$A$100,0)),"")</f>
        <v>Tank</v>
      </c>
      <c r="O180" s="4">
        <f>IFERROR(INDEX(_怪物基线!$B$2:$B$501,MATCH(INT($L180),_怪物基线!$A$2:$A$501,0)),"")</f>
        <v>220510</v>
      </c>
      <c r="P180" s="4">
        <f>IFERROR(INDEX(_怪物基线!$C$2:$C$501,MATCH(INT($L180),_怪物基线!$A$2:$A$501,0)),"")</f>
        <v>16039</v>
      </c>
      <c r="Q180" s="4">
        <f>IFERROR(INDEX(_怪物基线!$D$2:$D$501,MATCH(INT($L180),_怪物基线!$A$2:$A$501,0)),"")</f>
        <v>20279</v>
      </c>
      <c r="R180" s="4">
        <f>参数!$B$10</f>
        <v>4</v>
      </c>
      <c r="S180" s="4">
        <f>参数!$C$10</f>
        <v>1.2</v>
      </c>
      <c r="T180" s="4">
        <f>参数!$D$10</f>
        <v>1</v>
      </c>
      <c r="U180" s="4">
        <f t="shared" si="14"/>
        <v>882040</v>
      </c>
      <c r="V180" s="4">
        <f t="shared" si="15"/>
        <v>19246.8</v>
      </c>
      <c r="W180" s="4">
        <f t="shared" si="16"/>
        <v>20279</v>
      </c>
      <c r="X180" s="4">
        <f>IFERROR(INDEX(参数!$B$5:$B$7,MATCH($N180,参数!$A$5:$A$7,0)),"")</f>
        <v>1.5</v>
      </c>
      <c r="Y180" s="4">
        <f>IFERROR(INDEX(参数!$C$5:$C$7,MATCH($N180,参数!$A$5:$A$7,0)),"")</f>
        <v>1</v>
      </c>
      <c r="Z180" s="4">
        <f>IFERROR(INDEX(参数!$D$5:$D$7,MATCH($N180,参数!$A$5:$A$7,0)),"")</f>
        <v>1.5</v>
      </c>
      <c r="AA180" s="4">
        <f>IFERROR(INDEX(楼层配置!$E$5:$E$104,MATCH($K180,楼层配置!$B$5:$B$104,0)),1)</f>
        <v>1</v>
      </c>
      <c r="AB180" s="4">
        <f>IFERROR(INDEX(楼层配置!$F$5:$F$104,MATCH($K180,楼层配置!$B$5:$B$104,0)),1)</f>
        <v>1</v>
      </c>
      <c r="AC180" s="4">
        <f>IFERROR(INDEX(楼层配置!$G$5:$G$104,MATCH($K180,楼层配置!$B$5:$B$104,0)),1)</f>
        <v>1</v>
      </c>
      <c r="AD180" s="6">
        <f t="shared" si="17"/>
        <v>1.22327901138308</v>
      </c>
      <c r="AE180" s="6">
        <f t="shared" si="18"/>
        <v>0.921241764823318</v>
      </c>
      <c r="AF180" s="6">
        <f t="shared" si="19"/>
        <v>1.12393520458037</v>
      </c>
      <c r="AG180" s="4" t="str">
        <f t="shared" si="20"/>
        <v>有效</v>
      </c>
    </row>
    <row r="181" ht="14.25" customHeight="1" spans="1:33">
      <c r="A181" s="4">
        <v>177</v>
      </c>
      <c r="B181" s="4">
        <v>1024</v>
      </c>
      <c r="C181" s="4">
        <v>28</v>
      </c>
      <c r="D181" s="5">
        <f>IFERROR(ROUND($U181*$X181*$AA181*参数!$B$13,0),"")</f>
        <v>882040</v>
      </c>
      <c r="E181" s="5">
        <f>IFERROR(ROUND($V181*$Y181*$AB181*参数!$C$13,0),"")</f>
        <v>23096</v>
      </c>
      <c r="F181" s="5">
        <f>IFERROR(ROUND($W181*$Z181*$AC181*参数!$D$13,0),"")</f>
        <v>20279</v>
      </c>
      <c r="G181" s="4">
        <v>396729</v>
      </c>
      <c r="H181" s="4">
        <v>12021</v>
      </c>
      <c r="I181" s="4">
        <v>9548</v>
      </c>
      <c r="J181" s="4">
        <v>36</v>
      </c>
      <c r="K181" s="4">
        <v>36</v>
      </c>
      <c r="L181" s="4">
        <f>IFERROR(INDEX(楼层配置!$D$5:$D$104,MATCH($K181,楼层配置!$B$5:$B$104,0)),"")</f>
        <v>243</v>
      </c>
      <c r="M181" s="4" t="str">
        <f>IFERROR(INDEX(_角色基线!$B$2:$B$100,MATCH($B181,_角色基线!$A$2:$A$100,0)),"")</f>
        <v>卡薇</v>
      </c>
      <c r="N181" s="4" t="str">
        <f>IFERROR(INDEX(_角色基线!$C$2:$C$100,MATCH($B181,_角色基线!$A$2:$A$100,0)),"")</f>
        <v>DPS</v>
      </c>
      <c r="O181" s="4">
        <f>IFERROR(INDEX(_怪物基线!$B$2:$B$501,MATCH(INT($L181),_怪物基线!$A$2:$A$501,0)),"")</f>
        <v>220510</v>
      </c>
      <c r="P181" s="4">
        <f>IFERROR(INDEX(_怪物基线!$C$2:$C$501,MATCH(INT($L181),_怪物基线!$A$2:$A$501,0)),"")</f>
        <v>16039</v>
      </c>
      <c r="Q181" s="4">
        <f>IFERROR(INDEX(_怪物基线!$D$2:$D$501,MATCH(INT($L181),_怪物基线!$A$2:$A$501,0)),"")</f>
        <v>20279</v>
      </c>
      <c r="R181" s="4">
        <f>参数!$B$10</f>
        <v>4</v>
      </c>
      <c r="S181" s="4">
        <f>参数!$C$10</f>
        <v>1.2</v>
      </c>
      <c r="T181" s="4">
        <f>参数!$D$10</f>
        <v>1</v>
      </c>
      <c r="U181" s="4">
        <f t="shared" si="14"/>
        <v>882040</v>
      </c>
      <c r="V181" s="4">
        <f t="shared" si="15"/>
        <v>19246.8</v>
      </c>
      <c r="W181" s="4">
        <f t="shared" si="16"/>
        <v>20279</v>
      </c>
      <c r="X181" s="4">
        <f>IFERROR(INDEX(参数!$B$5:$B$7,MATCH($N181,参数!$A$5:$A$7,0)),"")</f>
        <v>1</v>
      </c>
      <c r="Y181" s="4">
        <f>IFERROR(INDEX(参数!$C$5:$C$7,MATCH($N181,参数!$A$5:$A$7,0)),"")</f>
        <v>1.2</v>
      </c>
      <c r="Z181" s="4">
        <f>IFERROR(INDEX(参数!$D$5:$D$7,MATCH($N181,参数!$A$5:$A$7,0)),"")</f>
        <v>1</v>
      </c>
      <c r="AA181" s="4">
        <f>IFERROR(INDEX(楼层配置!$E$5:$E$104,MATCH($K181,楼层配置!$B$5:$B$104,0)),1)</f>
        <v>1</v>
      </c>
      <c r="AB181" s="4">
        <f>IFERROR(INDEX(楼层配置!$F$5:$F$104,MATCH($K181,楼层配置!$B$5:$B$104,0)),1)</f>
        <v>1</v>
      </c>
      <c r="AC181" s="4">
        <f>IFERROR(INDEX(楼层配置!$G$5:$G$104,MATCH($K181,楼层配置!$B$5:$B$104,0)),1)</f>
        <v>1</v>
      </c>
      <c r="AD181" s="6">
        <f t="shared" si="17"/>
        <v>1.22328087939122</v>
      </c>
      <c r="AE181" s="6">
        <f t="shared" si="18"/>
        <v>0.921304383994676</v>
      </c>
      <c r="AF181" s="6">
        <f t="shared" si="19"/>
        <v>1.12390029325513</v>
      </c>
      <c r="AG181" s="4" t="str">
        <f t="shared" si="20"/>
        <v>有效</v>
      </c>
    </row>
    <row r="182" ht="14.25" customHeight="1" spans="1:33">
      <c r="A182" s="4">
        <v>178</v>
      </c>
      <c r="B182" s="4">
        <v>1018</v>
      </c>
      <c r="C182" s="4">
        <v>28</v>
      </c>
      <c r="D182" s="5">
        <f>IFERROR(ROUND($U182*$X182*$AA182*参数!$B$13,0),"")</f>
        <v>1102550</v>
      </c>
      <c r="E182" s="5">
        <f>IFERROR(ROUND($V182*$Y182*$AB182*参数!$C$13,0),"")</f>
        <v>19247</v>
      </c>
      <c r="F182" s="5">
        <f>IFERROR(ROUND($W182*$Z182*$AC182*参数!$D$13,0),"")</f>
        <v>25349</v>
      </c>
      <c r="G182" s="4">
        <v>495912</v>
      </c>
      <c r="H182" s="4">
        <v>10018</v>
      </c>
      <c r="I182" s="4">
        <v>11935</v>
      </c>
      <c r="J182" s="4">
        <v>36</v>
      </c>
      <c r="K182" s="4">
        <v>36</v>
      </c>
      <c r="L182" s="4">
        <f>IFERROR(INDEX(楼层配置!$D$5:$D$104,MATCH($K182,楼层配置!$B$5:$B$104,0)),"")</f>
        <v>243</v>
      </c>
      <c r="M182" s="4" t="str">
        <f>IFERROR(INDEX(_角色基线!$B$2:$B$100,MATCH($B182,_角色基线!$A$2:$A$100,0)),"")</f>
        <v>埃莉诺</v>
      </c>
      <c r="N182" s="4" t="str">
        <f>IFERROR(INDEX(_角色基线!$C$2:$C$100,MATCH($B182,_角色基线!$A$2:$A$100,0)),"")</f>
        <v>Support</v>
      </c>
      <c r="O182" s="4">
        <f>IFERROR(INDEX(_怪物基线!$B$2:$B$501,MATCH(INT($L182),_怪物基线!$A$2:$A$501,0)),"")</f>
        <v>220510</v>
      </c>
      <c r="P182" s="4">
        <f>IFERROR(INDEX(_怪物基线!$C$2:$C$501,MATCH(INT($L182),_怪物基线!$A$2:$A$501,0)),"")</f>
        <v>16039</v>
      </c>
      <c r="Q182" s="4">
        <f>IFERROR(INDEX(_怪物基线!$D$2:$D$501,MATCH(INT($L182),_怪物基线!$A$2:$A$501,0)),"")</f>
        <v>20279</v>
      </c>
      <c r="R182" s="4">
        <f>参数!$B$10</f>
        <v>4</v>
      </c>
      <c r="S182" s="4">
        <f>参数!$C$10</f>
        <v>1.2</v>
      </c>
      <c r="T182" s="4">
        <f>参数!$D$10</f>
        <v>1</v>
      </c>
      <c r="U182" s="4">
        <f t="shared" si="14"/>
        <v>882040</v>
      </c>
      <c r="V182" s="4">
        <f t="shared" si="15"/>
        <v>19246.8</v>
      </c>
      <c r="W182" s="4">
        <f t="shared" si="16"/>
        <v>20279</v>
      </c>
      <c r="X182" s="4">
        <f>IFERROR(INDEX(参数!$B$5:$B$7,MATCH($N182,参数!$A$5:$A$7,0)),"")</f>
        <v>1.25</v>
      </c>
      <c r="Y182" s="4">
        <f>IFERROR(INDEX(参数!$C$5:$C$7,MATCH($N182,参数!$A$5:$A$7,0)),"")</f>
        <v>1</v>
      </c>
      <c r="Z182" s="4">
        <f>IFERROR(INDEX(参数!$D$5:$D$7,MATCH($N182,参数!$A$5:$A$7,0)),"")</f>
        <v>1.25</v>
      </c>
      <c r="AA182" s="4">
        <f>IFERROR(INDEX(楼层配置!$E$5:$E$104,MATCH($K182,楼层配置!$B$5:$B$104,0)),1)</f>
        <v>1</v>
      </c>
      <c r="AB182" s="4">
        <f>IFERROR(INDEX(楼层配置!$F$5:$F$104,MATCH($K182,楼层配置!$B$5:$B$104,0)),1)</f>
        <v>1</v>
      </c>
      <c r="AC182" s="4">
        <f>IFERROR(INDEX(楼层配置!$G$5:$G$104,MATCH($K182,楼层配置!$B$5:$B$104,0)),1)</f>
        <v>1</v>
      </c>
      <c r="AD182" s="6">
        <f t="shared" si="17"/>
        <v>1.22327751697882</v>
      </c>
      <c r="AE182" s="6">
        <f t="shared" si="18"/>
        <v>0.921241764823318</v>
      </c>
      <c r="AF182" s="6">
        <f t="shared" si="19"/>
        <v>1.12392124005027</v>
      </c>
      <c r="AG182" s="4" t="str">
        <f t="shared" si="20"/>
        <v>有效</v>
      </c>
    </row>
    <row r="183" ht="14.25" customHeight="1" spans="1:33">
      <c r="A183" s="4">
        <v>179</v>
      </c>
      <c r="B183" s="4">
        <v>1011</v>
      </c>
      <c r="C183" s="4">
        <v>28</v>
      </c>
      <c r="D183" s="5">
        <f>IFERROR(ROUND($U183*$X183*$AA183*参数!$B$13,0),"")</f>
        <v>1102550</v>
      </c>
      <c r="E183" s="5">
        <f>IFERROR(ROUND($V183*$Y183*$AB183*参数!$C$13,0),"")</f>
        <v>19247</v>
      </c>
      <c r="F183" s="5">
        <f>IFERROR(ROUND($W183*$Z183*$AC183*参数!$D$13,0),"")</f>
        <v>25349</v>
      </c>
      <c r="G183" s="4">
        <v>495912</v>
      </c>
      <c r="H183" s="4">
        <v>10018</v>
      </c>
      <c r="I183" s="4">
        <v>11935</v>
      </c>
      <c r="J183" s="4">
        <v>36</v>
      </c>
      <c r="K183" s="4">
        <v>36</v>
      </c>
      <c r="L183" s="4">
        <f>IFERROR(INDEX(楼层配置!$D$5:$D$104,MATCH($K183,楼层配置!$B$5:$B$104,0)),"")</f>
        <v>243</v>
      </c>
      <c r="M183" s="4" t="str">
        <f>IFERROR(INDEX(_角色基线!$B$2:$B$100,MATCH($B183,_角色基线!$A$2:$A$100,0)),"")</f>
        <v>陈双双</v>
      </c>
      <c r="N183" s="4" t="str">
        <f>IFERROR(INDEX(_角色基线!$C$2:$C$100,MATCH($B183,_角色基线!$A$2:$A$100,0)),"")</f>
        <v>Support</v>
      </c>
      <c r="O183" s="4">
        <f>IFERROR(INDEX(_怪物基线!$B$2:$B$501,MATCH(INT($L183),_怪物基线!$A$2:$A$501,0)),"")</f>
        <v>220510</v>
      </c>
      <c r="P183" s="4">
        <f>IFERROR(INDEX(_怪物基线!$C$2:$C$501,MATCH(INT($L183),_怪物基线!$A$2:$A$501,0)),"")</f>
        <v>16039</v>
      </c>
      <c r="Q183" s="4">
        <f>IFERROR(INDEX(_怪物基线!$D$2:$D$501,MATCH(INT($L183),_怪物基线!$A$2:$A$501,0)),"")</f>
        <v>20279</v>
      </c>
      <c r="R183" s="4">
        <f>参数!$B$10</f>
        <v>4</v>
      </c>
      <c r="S183" s="4">
        <f>参数!$C$10</f>
        <v>1.2</v>
      </c>
      <c r="T183" s="4">
        <f>参数!$D$10</f>
        <v>1</v>
      </c>
      <c r="U183" s="4">
        <f t="shared" si="14"/>
        <v>882040</v>
      </c>
      <c r="V183" s="4">
        <f t="shared" si="15"/>
        <v>19246.8</v>
      </c>
      <c r="W183" s="4">
        <f t="shared" si="16"/>
        <v>20279</v>
      </c>
      <c r="X183" s="4">
        <f>IFERROR(INDEX(参数!$B$5:$B$7,MATCH($N183,参数!$A$5:$A$7,0)),"")</f>
        <v>1.25</v>
      </c>
      <c r="Y183" s="4">
        <f>IFERROR(INDEX(参数!$C$5:$C$7,MATCH($N183,参数!$A$5:$A$7,0)),"")</f>
        <v>1</v>
      </c>
      <c r="Z183" s="4">
        <f>IFERROR(INDEX(参数!$D$5:$D$7,MATCH($N183,参数!$A$5:$A$7,0)),"")</f>
        <v>1.25</v>
      </c>
      <c r="AA183" s="4">
        <f>IFERROR(INDEX(楼层配置!$E$5:$E$104,MATCH($K183,楼层配置!$B$5:$B$104,0)),1)</f>
        <v>1</v>
      </c>
      <c r="AB183" s="4">
        <f>IFERROR(INDEX(楼层配置!$F$5:$F$104,MATCH($K183,楼层配置!$B$5:$B$104,0)),1)</f>
        <v>1</v>
      </c>
      <c r="AC183" s="4">
        <f>IFERROR(INDEX(楼层配置!$G$5:$G$104,MATCH($K183,楼层配置!$B$5:$B$104,0)),1)</f>
        <v>1</v>
      </c>
      <c r="AD183" s="6">
        <f t="shared" si="17"/>
        <v>1.22327751697882</v>
      </c>
      <c r="AE183" s="6">
        <f t="shared" si="18"/>
        <v>0.921241764823318</v>
      </c>
      <c r="AF183" s="6">
        <f t="shared" si="19"/>
        <v>1.12392124005027</v>
      </c>
      <c r="AG183" s="4" t="str">
        <f t="shared" si="20"/>
        <v>有效</v>
      </c>
    </row>
    <row r="184" ht="14.25" customHeight="1" spans="1:33">
      <c r="A184" s="4">
        <v>180</v>
      </c>
      <c r="B184" s="4">
        <v>1021</v>
      </c>
      <c r="C184" s="4">
        <v>28</v>
      </c>
      <c r="D184" s="5">
        <f>IFERROR(ROUND($U184*$X184*$AA184*参数!$B$13,0),"")</f>
        <v>882040</v>
      </c>
      <c r="E184" s="5">
        <f>IFERROR(ROUND($V184*$Y184*$AB184*参数!$C$13,0),"")</f>
        <v>23096</v>
      </c>
      <c r="F184" s="5">
        <f>IFERROR(ROUND($W184*$Z184*$AC184*参数!$D$13,0),"")</f>
        <v>20279</v>
      </c>
      <c r="G184" s="4">
        <v>396729</v>
      </c>
      <c r="H184" s="4">
        <v>12021</v>
      </c>
      <c r="I184" s="4">
        <v>9548</v>
      </c>
      <c r="J184" s="4">
        <v>36</v>
      </c>
      <c r="K184" s="4">
        <v>36</v>
      </c>
      <c r="L184" s="4">
        <f>IFERROR(INDEX(楼层配置!$D$5:$D$104,MATCH($K184,楼层配置!$B$5:$B$104,0)),"")</f>
        <v>243</v>
      </c>
      <c r="M184" s="4" t="str">
        <f>IFERROR(INDEX(_角色基线!$B$2:$B$100,MATCH($B184,_角色基线!$A$2:$A$100,0)),"")</f>
        <v>梅梅</v>
      </c>
      <c r="N184" s="4" t="str">
        <f>IFERROR(INDEX(_角色基线!$C$2:$C$100,MATCH($B184,_角色基线!$A$2:$A$100,0)),"")</f>
        <v>DPS</v>
      </c>
      <c r="O184" s="4">
        <f>IFERROR(INDEX(_怪物基线!$B$2:$B$501,MATCH(INT($L184),_怪物基线!$A$2:$A$501,0)),"")</f>
        <v>220510</v>
      </c>
      <c r="P184" s="4">
        <f>IFERROR(INDEX(_怪物基线!$C$2:$C$501,MATCH(INT($L184),_怪物基线!$A$2:$A$501,0)),"")</f>
        <v>16039</v>
      </c>
      <c r="Q184" s="4">
        <f>IFERROR(INDEX(_怪物基线!$D$2:$D$501,MATCH(INT($L184),_怪物基线!$A$2:$A$501,0)),"")</f>
        <v>20279</v>
      </c>
      <c r="R184" s="4">
        <f>参数!$B$10</f>
        <v>4</v>
      </c>
      <c r="S184" s="4">
        <f>参数!$C$10</f>
        <v>1.2</v>
      </c>
      <c r="T184" s="4">
        <f>参数!$D$10</f>
        <v>1</v>
      </c>
      <c r="U184" s="4">
        <f t="shared" si="14"/>
        <v>882040</v>
      </c>
      <c r="V184" s="4">
        <f t="shared" si="15"/>
        <v>19246.8</v>
      </c>
      <c r="W184" s="4">
        <f t="shared" si="16"/>
        <v>20279</v>
      </c>
      <c r="X184" s="4">
        <f>IFERROR(INDEX(参数!$B$5:$B$7,MATCH($N184,参数!$A$5:$A$7,0)),"")</f>
        <v>1</v>
      </c>
      <c r="Y184" s="4">
        <f>IFERROR(INDEX(参数!$C$5:$C$7,MATCH($N184,参数!$A$5:$A$7,0)),"")</f>
        <v>1.2</v>
      </c>
      <c r="Z184" s="4">
        <f>IFERROR(INDEX(参数!$D$5:$D$7,MATCH($N184,参数!$A$5:$A$7,0)),"")</f>
        <v>1</v>
      </c>
      <c r="AA184" s="4">
        <f>IFERROR(INDEX(楼层配置!$E$5:$E$104,MATCH($K184,楼层配置!$B$5:$B$104,0)),1)</f>
        <v>1</v>
      </c>
      <c r="AB184" s="4">
        <f>IFERROR(INDEX(楼层配置!$F$5:$F$104,MATCH($K184,楼层配置!$B$5:$B$104,0)),1)</f>
        <v>1</v>
      </c>
      <c r="AC184" s="4">
        <f>IFERROR(INDEX(楼层配置!$G$5:$G$104,MATCH($K184,楼层配置!$B$5:$B$104,0)),1)</f>
        <v>1</v>
      </c>
      <c r="AD184" s="6">
        <f t="shared" si="17"/>
        <v>1.22328087939122</v>
      </c>
      <c r="AE184" s="6">
        <f t="shared" si="18"/>
        <v>0.921304383994676</v>
      </c>
      <c r="AF184" s="6">
        <f t="shared" si="19"/>
        <v>1.12390029325513</v>
      </c>
      <c r="AG184" s="4" t="str">
        <f t="shared" si="20"/>
        <v>有效</v>
      </c>
    </row>
    <row r="185" ht="14.25" customHeight="1" spans="1:33">
      <c r="A185" s="4">
        <v>181</v>
      </c>
      <c r="B185" s="4">
        <v>1002</v>
      </c>
      <c r="C185" s="4">
        <v>28</v>
      </c>
      <c r="D185" s="5">
        <f>IFERROR(ROUND($U185*$X185*$AA185*参数!$B$13,0),"")</f>
        <v>1407780</v>
      </c>
      <c r="E185" s="5">
        <f>IFERROR(ROUND($V185*$Y185*$AB185*参数!$C$13,0),"")</f>
        <v>20092</v>
      </c>
      <c r="F185" s="5">
        <f>IFERROR(ROUND($W185*$Z185*$AC185*参数!$D$13,0),"")</f>
        <v>31425</v>
      </c>
      <c r="G185" s="4">
        <v>628754</v>
      </c>
      <c r="H185" s="4">
        <v>10384</v>
      </c>
      <c r="I185" s="4">
        <v>14767</v>
      </c>
      <c r="J185" s="4">
        <v>37</v>
      </c>
      <c r="K185" s="4">
        <v>37</v>
      </c>
      <c r="L185" s="4">
        <f>IFERROR(INDEX(楼层配置!$D$5:$D$104,MATCH($K185,楼层配置!$B$5:$B$104,0)),"")</f>
        <v>249</v>
      </c>
      <c r="M185" s="4" t="str">
        <f>IFERROR(INDEX(_角色基线!$B$2:$B$100,MATCH($B185,_角色基线!$A$2:$A$100,0)),"")</f>
        <v>大暑</v>
      </c>
      <c r="N185" s="4" t="str">
        <f>IFERROR(INDEX(_角色基线!$C$2:$C$100,MATCH($B185,_角色基线!$A$2:$A$100,0)),"")</f>
        <v>Tank</v>
      </c>
      <c r="O185" s="4">
        <f>IFERROR(INDEX(_怪物基线!$B$2:$B$501,MATCH(INT($L185),_怪物基线!$A$2:$A$501,0)),"")</f>
        <v>234630</v>
      </c>
      <c r="P185" s="4">
        <f>IFERROR(INDEX(_怪物基线!$C$2:$C$501,MATCH(INT($L185),_怪物基线!$A$2:$A$501,0)),"")</f>
        <v>16743</v>
      </c>
      <c r="Q185" s="4">
        <f>IFERROR(INDEX(_怪物基线!$D$2:$D$501,MATCH(INT($L185),_怪物基线!$A$2:$A$501,0)),"")</f>
        <v>20950</v>
      </c>
      <c r="R185" s="4">
        <f>参数!$B$10</f>
        <v>4</v>
      </c>
      <c r="S185" s="4">
        <f>参数!$C$10</f>
        <v>1.2</v>
      </c>
      <c r="T185" s="4">
        <f>参数!$D$10</f>
        <v>1</v>
      </c>
      <c r="U185" s="4">
        <f t="shared" si="14"/>
        <v>938520</v>
      </c>
      <c r="V185" s="4">
        <f t="shared" si="15"/>
        <v>20091.6</v>
      </c>
      <c r="W185" s="4">
        <f t="shared" si="16"/>
        <v>20950</v>
      </c>
      <c r="X185" s="4">
        <f>IFERROR(INDEX(参数!$B$5:$B$7,MATCH($N185,参数!$A$5:$A$7,0)),"")</f>
        <v>1.5</v>
      </c>
      <c r="Y185" s="4">
        <f>IFERROR(INDEX(参数!$C$5:$C$7,MATCH($N185,参数!$A$5:$A$7,0)),"")</f>
        <v>1</v>
      </c>
      <c r="Z185" s="4">
        <f>IFERROR(INDEX(参数!$D$5:$D$7,MATCH($N185,参数!$A$5:$A$7,0)),"")</f>
        <v>1.5</v>
      </c>
      <c r="AA185" s="4">
        <f>IFERROR(INDEX(楼层配置!$E$5:$E$104,MATCH($K185,楼层配置!$B$5:$B$104,0)),1)</f>
        <v>1</v>
      </c>
      <c r="AB185" s="4">
        <f>IFERROR(INDEX(楼层配置!$F$5:$F$104,MATCH($K185,楼层配置!$B$5:$B$104,0)),1)</f>
        <v>1</v>
      </c>
      <c r="AC185" s="4">
        <f>IFERROR(INDEX(楼层配置!$G$5:$G$104,MATCH($K185,楼层配置!$B$5:$B$104,0)),1)</f>
        <v>1</v>
      </c>
      <c r="AD185" s="6">
        <f t="shared" si="17"/>
        <v>1.23899967236789</v>
      </c>
      <c r="AE185" s="6">
        <f t="shared" si="18"/>
        <v>0.934899845916795</v>
      </c>
      <c r="AF185" s="6">
        <f t="shared" si="19"/>
        <v>1.12805580009481</v>
      </c>
      <c r="AG185" s="4" t="str">
        <f t="shared" si="20"/>
        <v>有效</v>
      </c>
    </row>
    <row r="186" ht="14.25" customHeight="1" spans="1:33">
      <c r="A186" s="4">
        <v>182</v>
      </c>
      <c r="B186" s="4">
        <v>1030</v>
      </c>
      <c r="C186" s="4">
        <v>28</v>
      </c>
      <c r="D186" s="5">
        <f>IFERROR(ROUND($U186*$X186*$AA186*参数!$B$13,0),"")</f>
        <v>1407780</v>
      </c>
      <c r="E186" s="5">
        <f>IFERROR(ROUND($V186*$Y186*$AB186*参数!$C$13,0),"")</f>
        <v>20092</v>
      </c>
      <c r="F186" s="5">
        <f>IFERROR(ROUND($W186*$Z186*$AC186*参数!$D$13,0),"")</f>
        <v>31425</v>
      </c>
      <c r="G186" s="4">
        <v>628754</v>
      </c>
      <c r="H186" s="4">
        <v>10384</v>
      </c>
      <c r="I186" s="4">
        <v>14767</v>
      </c>
      <c r="J186" s="4">
        <v>37</v>
      </c>
      <c r="K186" s="4">
        <v>37</v>
      </c>
      <c r="L186" s="4">
        <f>IFERROR(INDEX(楼层配置!$D$5:$D$104,MATCH($K186,楼层配置!$B$5:$B$104,0)),"")</f>
        <v>249</v>
      </c>
      <c r="M186" s="4" t="str">
        <f>IFERROR(INDEX(_角色基线!$B$2:$B$100,MATCH($B186,_角色基线!$A$2:$A$100,0)),"")</f>
        <v>莫莉</v>
      </c>
      <c r="N186" s="4" t="str">
        <f>IFERROR(INDEX(_角色基线!$C$2:$C$100,MATCH($B186,_角色基线!$A$2:$A$100,0)),"")</f>
        <v>Tank</v>
      </c>
      <c r="O186" s="4">
        <f>IFERROR(INDEX(_怪物基线!$B$2:$B$501,MATCH(INT($L186),_怪物基线!$A$2:$A$501,0)),"")</f>
        <v>234630</v>
      </c>
      <c r="P186" s="4">
        <f>IFERROR(INDEX(_怪物基线!$C$2:$C$501,MATCH(INT($L186),_怪物基线!$A$2:$A$501,0)),"")</f>
        <v>16743</v>
      </c>
      <c r="Q186" s="4">
        <f>IFERROR(INDEX(_怪物基线!$D$2:$D$501,MATCH(INT($L186),_怪物基线!$A$2:$A$501,0)),"")</f>
        <v>20950</v>
      </c>
      <c r="R186" s="4">
        <f>参数!$B$10</f>
        <v>4</v>
      </c>
      <c r="S186" s="4">
        <f>参数!$C$10</f>
        <v>1.2</v>
      </c>
      <c r="T186" s="4">
        <f>参数!$D$10</f>
        <v>1</v>
      </c>
      <c r="U186" s="4">
        <f t="shared" si="14"/>
        <v>938520</v>
      </c>
      <c r="V186" s="4">
        <f t="shared" si="15"/>
        <v>20091.6</v>
      </c>
      <c r="W186" s="4">
        <f t="shared" si="16"/>
        <v>20950</v>
      </c>
      <c r="X186" s="4">
        <f>IFERROR(INDEX(参数!$B$5:$B$7,MATCH($N186,参数!$A$5:$A$7,0)),"")</f>
        <v>1.5</v>
      </c>
      <c r="Y186" s="4">
        <f>IFERROR(INDEX(参数!$C$5:$C$7,MATCH($N186,参数!$A$5:$A$7,0)),"")</f>
        <v>1</v>
      </c>
      <c r="Z186" s="4">
        <f>IFERROR(INDEX(参数!$D$5:$D$7,MATCH($N186,参数!$A$5:$A$7,0)),"")</f>
        <v>1.5</v>
      </c>
      <c r="AA186" s="4">
        <f>IFERROR(INDEX(楼层配置!$E$5:$E$104,MATCH($K186,楼层配置!$B$5:$B$104,0)),1)</f>
        <v>1</v>
      </c>
      <c r="AB186" s="4">
        <f>IFERROR(INDEX(楼层配置!$F$5:$F$104,MATCH($K186,楼层配置!$B$5:$B$104,0)),1)</f>
        <v>1</v>
      </c>
      <c r="AC186" s="4">
        <f>IFERROR(INDEX(楼层配置!$G$5:$G$104,MATCH($K186,楼层配置!$B$5:$B$104,0)),1)</f>
        <v>1</v>
      </c>
      <c r="AD186" s="6">
        <f t="shared" si="17"/>
        <v>1.23899967236789</v>
      </c>
      <c r="AE186" s="6">
        <f t="shared" si="18"/>
        <v>0.934899845916795</v>
      </c>
      <c r="AF186" s="6">
        <f t="shared" si="19"/>
        <v>1.12805580009481</v>
      </c>
      <c r="AG186" s="4" t="str">
        <f t="shared" si="20"/>
        <v>有效</v>
      </c>
    </row>
    <row r="187" ht="14.25" customHeight="1" spans="1:33">
      <c r="A187" s="4">
        <v>183</v>
      </c>
      <c r="B187" s="4">
        <v>1021</v>
      </c>
      <c r="C187" s="4">
        <v>28</v>
      </c>
      <c r="D187" s="5">
        <f>IFERROR(ROUND($U187*$X187*$AA187*参数!$B$13,0),"")</f>
        <v>938520</v>
      </c>
      <c r="E187" s="5">
        <f>IFERROR(ROUND($V187*$Y187*$AB187*参数!$C$13,0),"")</f>
        <v>24110</v>
      </c>
      <c r="F187" s="5">
        <f>IFERROR(ROUND($W187*$Z187*$AC187*参数!$D$13,0),"")</f>
        <v>20950</v>
      </c>
      <c r="G187" s="4">
        <v>419169</v>
      </c>
      <c r="H187" s="4">
        <v>12460</v>
      </c>
      <c r="I187" s="4">
        <v>9844</v>
      </c>
      <c r="J187" s="4">
        <v>37</v>
      </c>
      <c r="K187" s="4">
        <v>37</v>
      </c>
      <c r="L187" s="4">
        <f>IFERROR(INDEX(楼层配置!$D$5:$D$104,MATCH($K187,楼层配置!$B$5:$B$104,0)),"")</f>
        <v>249</v>
      </c>
      <c r="M187" s="4" t="str">
        <f>IFERROR(INDEX(_角色基线!$B$2:$B$100,MATCH($B187,_角色基线!$A$2:$A$100,0)),"")</f>
        <v>梅梅</v>
      </c>
      <c r="N187" s="4" t="str">
        <f>IFERROR(INDEX(_角色基线!$C$2:$C$100,MATCH($B187,_角色基线!$A$2:$A$100,0)),"")</f>
        <v>DPS</v>
      </c>
      <c r="O187" s="4">
        <f>IFERROR(INDEX(_怪物基线!$B$2:$B$501,MATCH(INT($L187),_怪物基线!$A$2:$A$501,0)),"")</f>
        <v>234630</v>
      </c>
      <c r="P187" s="4">
        <f>IFERROR(INDEX(_怪物基线!$C$2:$C$501,MATCH(INT($L187),_怪物基线!$A$2:$A$501,0)),"")</f>
        <v>16743</v>
      </c>
      <c r="Q187" s="4">
        <f>IFERROR(INDEX(_怪物基线!$D$2:$D$501,MATCH(INT($L187),_怪物基线!$A$2:$A$501,0)),"")</f>
        <v>20950</v>
      </c>
      <c r="R187" s="4">
        <f>参数!$B$10</f>
        <v>4</v>
      </c>
      <c r="S187" s="4">
        <f>参数!$C$10</f>
        <v>1.2</v>
      </c>
      <c r="T187" s="4">
        <f>参数!$D$10</f>
        <v>1</v>
      </c>
      <c r="U187" s="4">
        <f t="shared" si="14"/>
        <v>938520</v>
      </c>
      <c r="V187" s="4">
        <f t="shared" si="15"/>
        <v>20091.6</v>
      </c>
      <c r="W187" s="4">
        <f t="shared" si="16"/>
        <v>20950</v>
      </c>
      <c r="X187" s="4">
        <f>IFERROR(INDEX(参数!$B$5:$B$7,MATCH($N187,参数!$A$5:$A$7,0)),"")</f>
        <v>1</v>
      </c>
      <c r="Y187" s="4">
        <f>IFERROR(INDEX(参数!$C$5:$C$7,MATCH($N187,参数!$A$5:$A$7,0)),"")</f>
        <v>1.2</v>
      </c>
      <c r="Z187" s="4">
        <f>IFERROR(INDEX(参数!$D$5:$D$7,MATCH($N187,参数!$A$5:$A$7,0)),"")</f>
        <v>1</v>
      </c>
      <c r="AA187" s="4">
        <f>IFERROR(INDEX(楼层配置!$E$5:$E$104,MATCH($K187,楼层配置!$B$5:$B$104,0)),1)</f>
        <v>1</v>
      </c>
      <c r="AB187" s="4">
        <f>IFERROR(INDEX(楼层配置!$F$5:$F$104,MATCH($K187,楼层配置!$B$5:$B$104,0)),1)</f>
        <v>1</v>
      </c>
      <c r="AC187" s="4">
        <f>IFERROR(INDEX(楼层配置!$G$5:$G$104,MATCH($K187,楼层配置!$B$5:$B$104,0)),1)</f>
        <v>1</v>
      </c>
      <c r="AD187" s="6">
        <f t="shared" si="17"/>
        <v>1.23900145287462</v>
      </c>
      <c r="AE187" s="6">
        <f t="shared" si="18"/>
        <v>0.934991974317817</v>
      </c>
      <c r="AF187" s="6">
        <f t="shared" si="19"/>
        <v>1.12819991873222</v>
      </c>
      <c r="AG187" s="4" t="str">
        <f t="shared" si="20"/>
        <v>有效</v>
      </c>
    </row>
    <row r="188" ht="14.25" customHeight="1" spans="1:33">
      <c r="A188" s="4">
        <v>184</v>
      </c>
      <c r="B188" s="4">
        <v>1020</v>
      </c>
      <c r="C188" s="4">
        <v>28</v>
      </c>
      <c r="D188" s="5">
        <f>IFERROR(ROUND($U188*$X188*$AA188*参数!$B$13,0),"")</f>
        <v>1173150</v>
      </c>
      <c r="E188" s="5">
        <f>IFERROR(ROUND($V188*$Y188*$AB188*参数!$C$13,0),"")</f>
        <v>20092</v>
      </c>
      <c r="F188" s="5">
        <f>IFERROR(ROUND($W188*$Z188*$AC188*参数!$D$13,0),"")</f>
        <v>26188</v>
      </c>
      <c r="G188" s="4">
        <v>523962</v>
      </c>
      <c r="H188" s="4">
        <v>10384</v>
      </c>
      <c r="I188" s="4">
        <v>12306</v>
      </c>
      <c r="J188" s="4">
        <v>37</v>
      </c>
      <c r="K188" s="4">
        <v>37</v>
      </c>
      <c r="L188" s="4">
        <f>IFERROR(INDEX(楼层配置!$D$5:$D$104,MATCH($K188,楼层配置!$B$5:$B$104,0)),"")</f>
        <v>249</v>
      </c>
      <c r="M188" s="4" t="str">
        <f>IFERROR(INDEX(_角色基线!$B$2:$B$100,MATCH($B188,_角色基线!$A$2:$A$100,0)),"")</f>
        <v>卡斯帕</v>
      </c>
      <c r="N188" s="4" t="str">
        <f>IFERROR(INDEX(_角色基线!$C$2:$C$100,MATCH($B188,_角色基线!$A$2:$A$100,0)),"")</f>
        <v>Support</v>
      </c>
      <c r="O188" s="4">
        <f>IFERROR(INDEX(_怪物基线!$B$2:$B$501,MATCH(INT($L188),_怪物基线!$A$2:$A$501,0)),"")</f>
        <v>234630</v>
      </c>
      <c r="P188" s="4">
        <f>IFERROR(INDEX(_怪物基线!$C$2:$C$501,MATCH(INT($L188),_怪物基线!$A$2:$A$501,0)),"")</f>
        <v>16743</v>
      </c>
      <c r="Q188" s="4">
        <f>IFERROR(INDEX(_怪物基线!$D$2:$D$501,MATCH(INT($L188),_怪物基线!$A$2:$A$501,0)),"")</f>
        <v>20950</v>
      </c>
      <c r="R188" s="4">
        <f>参数!$B$10</f>
        <v>4</v>
      </c>
      <c r="S188" s="4">
        <f>参数!$C$10</f>
        <v>1.2</v>
      </c>
      <c r="T188" s="4">
        <f>参数!$D$10</f>
        <v>1</v>
      </c>
      <c r="U188" s="4">
        <f t="shared" si="14"/>
        <v>938520</v>
      </c>
      <c r="V188" s="4">
        <f t="shared" si="15"/>
        <v>20091.6</v>
      </c>
      <c r="W188" s="4">
        <f t="shared" si="16"/>
        <v>20950</v>
      </c>
      <c r="X188" s="4">
        <f>IFERROR(INDEX(参数!$B$5:$B$7,MATCH($N188,参数!$A$5:$A$7,0)),"")</f>
        <v>1.25</v>
      </c>
      <c r="Y188" s="4">
        <f>IFERROR(INDEX(参数!$C$5:$C$7,MATCH($N188,参数!$A$5:$A$7,0)),"")</f>
        <v>1</v>
      </c>
      <c r="Z188" s="4">
        <f>IFERROR(INDEX(参数!$D$5:$D$7,MATCH($N188,参数!$A$5:$A$7,0)),"")</f>
        <v>1.25</v>
      </c>
      <c r="AA188" s="4">
        <f>IFERROR(INDEX(楼层配置!$E$5:$E$104,MATCH($K188,楼层配置!$B$5:$B$104,0)),1)</f>
        <v>1</v>
      </c>
      <c r="AB188" s="4">
        <f>IFERROR(INDEX(楼层配置!$F$5:$F$104,MATCH($K188,楼层配置!$B$5:$B$104,0)),1)</f>
        <v>1</v>
      </c>
      <c r="AC188" s="4">
        <f>IFERROR(INDEX(楼层配置!$G$5:$G$104,MATCH($K188,楼层配置!$B$5:$B$104,0)),1)</f>
        <v>1</v>
      </c>
      <c r="AD188" s="6">
        <f t="shared" si="17"/>
        <v>1.23899824796455</v>
      </c>
      <c r="AE188" s="6">
        <f t="shared" si="18"/>
        <v>0.934899845916795</v>
      </c>
      <c r="AF188" s="6">
        <f t="shared" si="19"/>
        <v>1.12806760929628</v>
      </c>
      <c r="AG188" s="4" t="str">
        <f t="shared" si="20"/>
        <v>有效</v>
      </c>
    </row>
    <row r="189" ht="14.25" customHeight="1" spans="1:33">
      <c r="A189" s="4">
        <v>185</v>
      </c>
      <c r="B189" s="4">
        <v>1020</v>
      </c>
      <c r="C189" s="4">
        <v>28</v>
      </c>
      <c r="D189" s="5">
        <f>IFERROR(ROUND($U189*$X189*$AA189*参数!$B$13,0),"")</f>
        <v>1173150</v>
      </c>
      <c r="E189" s="5">
        <f>IFERROR(ROUND($V189*$Y189*$AB189*参数!$C$13,0),"")</f>
        <v>20092</v>
      </c>
      <c r="F189" s="5">
        <f>IFERROR(ROUND($W189*$Z189*$AC189*参数!$D$13,0),"")</f>
        <v>26188</v>
      </c>
      <c r="G189" s="4">
        <v>523962</v>
      </c>
      <c r="H189" s="4">
        <v>10384</v>
      </c>
      <c r="I189" s="4">
        <v>12306</v>
      </c>
      <c r="J189" s="4">
        <v>37</v>
      </c>
      <c r="K189" s="4">
        <v>37</v>
      </c>
      <c r="L189" s="4">
        <f>IFERROR(INDEX(楼层配置!$D$5:$D$104,MATCH($K189,楼层配置!$B$5:$B$104,0)),"")</f>
        <v>249</v>
      </c>
      <c r="M189" s="4" t="str">
        <f>IFERROR(INDEX(_角色基线!$B$2:$B$100,MATCH($B189,_角色基线!$A$2:$A$100,0)),"")</f>
        <v>卡斯帕</v>
      </c>
      <c r="N189" s="4" t="str">
        <f>IFERROR(INDEX(_角色基线!$C$2:$C$100,MATCH($B189,_角色基线!$A$2:$A$100,0)),"")</f>
        <v>Support</v>
      </c>
      <c r="O189" s="4">
        <f>IFERROR(INDEX(_怪物基线!$B$2:$B$501,MATCH(INT($L189),_怪物基线!$A$2:$A$501,0)),"")</f>
        <v>234630</v>
      </c>
      <c r="P189" s="4">
        <f>IFERROR(INDEX(_怪物基线!$C$2:$C$501,MATCH(INT($L189),_怪物基线!$A$2:$A$501,0)),"")</f>
        <v>16743</v>
      </c>
      <c r="Q189" s="4">
        <f>IFERROR(INDEX(_怪物基线!$D$2:$D$501,MATCH(INT($L189),_怪物基线!$A$2:$A$501,0)),"")</f>
        <v>20950</v>
      </c>
      <c r="R189" s="4">
        <f>参数!$B$10</f>
        <v>4</v>
      </c>
      <c r="S189" s="4">
        <f>参数!$C$10</f>
        <v>1.2</v>
      </c>
      <c r="T189" s="4">
        <f>参数!$D$10</f>
        <v>1</v>
      </c>
      <c r="U189" s="4">
        <f t="shared" si="14"/>
        <v>938520</v>
      </c>
      <c r="V189" s="4">
        <f t="shared" si="15"/>
        <v>20091.6</v>
      </c>
      <c r="W189" s="4">
        <f t="shared" si="16"/>
        <v>20950</v>
      </c>
      <c r="X189" s="4">
        <f>IFERROR(INDEX(参数!$B$5:$B$7,MATCH($N189,参数!$A$5:$A$7,0)),"")</f>
        <v>1.25</v>
      </c>
      <c r="Y189" s="4">
        <f>IFERROR(INDEX(参数!$C$5:$C$7,MATCH($N189,参数!$A$5:$A$7,0)),"")</f>
        <v>1</v>
      </c>
      <c r="Z189" s="4">
        <f>IFERROR(INDEX(参数!$D$5:$D$7,MATCH($N189,参数!$A$5:$A$7,0)),"")</f>
        <v>1.25</v>
      </c>
      <c r="AA189" s="4">
        <f>IFERROR(INDEX(楼层配置!$E$5:$E$104,MATCH($K189,楼层配置!$B$5:$B$104,0)),1)</f>
        <v>1</v>
      </c>
      <c r="AB189" s="4">
        <f>IFERROR(INDEX(楼层配置!$F$5:$F$104,MATCH($K189,楼层配置!$B$5:$B$104,0)),1)</f>
        <v>1</v>
      </c>
      <c r="AC189" s="4">
        <f>IFERROR(INDEX(楼层配置!$G$5:$G$104,MATCH($K189,楼层配置!$B$5:$B$104,0)),1)</f>
        <v>1</v>
      </c>
      <c r="AD189" s="6">
        <f t="shared" si="17"/>
        <v>1.23899824796455</v>
      </c>
      <c r="AE189" s="6">
        <f t="shared" si="18"/>
        <v>0.934899845916795</v>
      </c>
      <c r="AF189" s="6">
        <f t="shared" si="19"/>
        <v>1.12806760929628</v>
      </c>
      <c r="AG189" s="4" t="str">
        <f t="shared" si="20"/>
        <v>有效</v>
      </c>
    </row>
    <row r="190" ht="14.25" customHeight="1" spans="1:33">
      <c r="A190" s="4">
        <v>186</v>
      </c>
      <c r="B190" s="4">
        <v>1002</v>
      </c>
      <c r="C190" s="4">
        <v>29</v>
      </c>
      <c r="D190" s="5">
        <f>IFERROR(ROUND($U190*$X190*$AA190*参数!$B$13,0),"")</f>
        <v>1466394</v>
      </c>
      <c r="E190" s="5">
        <f>IFERROR(ROUND($V190*$Y190*$AB190*参数!$C$13,0),"")</f>
        <v>20670</v>
      </c>
      <c r="F190" s="5">
        <f>IFERROR(ROUND($W190*$Z190*$AC190*参数!$D$13,0),"")</f>
        <v>32103</v>
      </c>
      <c r="G190" s="4">
        <v>663724</v>
      </c>
      <c r="H190" s="4">
        <v>10757</v>
      </c>
      <c r="I190" s="4">
        <v>15217</v>
      </c>
      <c r="J190" s="4">
        <v>38</v>
      </c>
      <c r="K190" s="4">
        <v>38</v>
      </c>
      <c r="L190" s="4">
        <f>IFERROR(INDEX(楼层配置!$D$5:$D$104,MATCH($K190,楼层配置!$B$5:$B$104,0)),"")</f>
        <v>253</v>
      </c>
      <c r="M190" s="4" t="str">
        <f>IFERROR(INDEX(_角色基线!$B$2:$B$100,MATCH($B190,_角色基线!$A$2:$A$100,0)),"")</f>
        <v>大暑</v>
      </c>
      <c r="N190" s="4" t="str">
        <f>IFERROR(INDEX(_角色基线!$C$2:$C$100,MATCH($B190,_角色基线!$A$2:$A$100,0)),"")</f>
        <v>Tank</v>
      </c>
      <c r="O190" s="4">
        <f>IFERROR(INDEX(_怪物基线!$B$2:$B$501,MATCH(INT($L190),_怪物基线!$A$2:$A$501,0)),"")</f>
        <v>244399</v>
      </c>
      <c r="P190" s="4">
        <f>IFERROR(INDEX(_怪物基线!$C$2:$C$501,MATCH(INT($L190),_怪物基线!$A$2:$A$501,0)),"")</f>
        <v>17225</v>
      </c>
      <c r="Q190" s="4">
        <f>IFERROR(INDEX(_怪物基线!$D$2:$D$501,MATCH(INT($L190),_怪物基线!$A$2:$A$501,0)),"")</f>
        <v>21402</v>
      </c>
      <c r="R190" s="4">
        <f>参数!$B$10</f>
        <v>4</v>
      </c>
      <c r="S190" s="4">
        <f>参数!$C$10</f>
        <v>1.2</v>
      </c>
      <c r="T190" s="4">
        <f>参数!$D$10</f>
        <v>1</v>
      </c>
      <c r="U190" s="4">
        <f t="shared" si="14"/>
        <v>977596</v>
      </c>
      <c r="V190" s="4">
        <f t="shared" si="15"/>
        <v>20670</v>
      </c>
      <c r="W190" s="4">
        <f t="shared" si="16"/>
        <v>21402</v>
      </c>
      <c r="X190" s="4">
        <f>IFERROR(INDEX(参数!$B$5:$B$7,MATCH($N190,参数!$A$5:$A$7,0)),"")</f>
        <v>1.5</v>
      </c>
      <c r="Y190" s="4">
        <f>IFERROR(INDEX(参数!$C$5:$C$7,MATCH($N190,参数!$A$5:$A$7,0)),"")</f>
        <v>1</v>
      </c>
      <c r="Z190" s="4">
        <f>IFERROR(INDEX(参数!$D$5:$D$7,MATCH($N190,参数!$A$5:$A$7,0)),"")</f>
        <v>1.5</v>
      </c>
      <c r="AA190" s="4">
        <f>IFERROR(INDEX(楼层配置!$E$5:$E$104,MATCH($K190,楼层配置!$B$5:$B$104,0)),1)</f>
        <v>1</v>
      </c>
      <c r="AB190" s="4">
        <f>IFERROR(INDEX(楼层配置!$F$5:$F$104,MATCH($K190,楼层配置!$B$5:$B$104,0)),1)</f>
        <v>1</v>
      </c>
      <c r="AC190" s="4">
        <f>IFERROR(INDEX(楼层配置!$G$5:$G$104,MATCH($K190,楼层配置!$B$5:$B$104,0)),1)</f>
        <v>1</v>
      </c>
      <c r="AD190" s="6">
        <f t="shared" si="17"/>
        <v>1.20934304017935</v>
      </c>
      <c r="AE190" s="6">
        <f t="shared" si="18"/>
        <v>0.921539462675467</v>
      </c>
      <c r="AF190" s="6">
        <f t="shared" si="19"/>
        <v>1.10967996319905</v>
      </c>
      <c r="AG190" s="4" t="str">
        <f t="shared" si="20"/>
        <v>有效</v>
      </c>
    </row>
    <row r="191" ht="14.25" customHeight="1" spans="1:33">
      <c r="A191" s="4">
        <v>187</v>
      </c>
      <c r="B191" s="4">
        <v>1001</v>
      </c>
      <c r="C191" s="4">
        <v>29</v>
      </c>
      <c r="D191" s="5">
        <f>IFERROR(ROUND($U191*$X191*$AA191*参数!$B$13,0),"")</f>
        <v>977596</v>
      </c>
      <c r="E191" s="5">
        <f>IFERROR(ROUND($V191*$Y191*$AB191*参数!$C$13,0),"")</f>
        <v>24804</v>
      </c>
      <c r="F191" s="5">
        <f>IFERROR(ROUND($W191*$Z191*$AC191*参数!$D$13,0),"")</f>
        <v>21402</v>
      </c>
      <c r="G191" s="4">
        <v>442483</v>
      </c>
      <c r="H191" s="4">
        <v>12908</v>
      </c>
      <c r="I191" s="4">
        <v>10144</v>
      </c>
      <c r="J191" s="4">
        <v>38</v>
      </c>
      <c r="K191" s="4">
        <v>38</v>
      </c>
      <c r="L191" s="4">
        <f>IFERROR(INDEX(楼层配置!$D$5:$D$104,MATCH($K191,楼层配置!$B$5:$B$104,0)),"")</f>
        <v>253</v>
      </c>
      <c r="M191" s="4" t="str">
        <f>IFERROR(INDEX(_角色基线!$B$2:$B$100,MATCH($B191,_角色基线!$A$2:$A$100,0)),"")</f>
        <v>星海</v>
      </c>
      <c r="N191" s="4" t="str">
        <f>IFERROR(INDEX(_角色基线!$C$2:$C$100,MATCH($B191,_角色基线!$A$2:$A$100,0)),"")</f>
        <v>DPS</v>
      </c>
      <c r="O191" s="4">
        <f>IFERROR(INDEX(_怪物基线!$B$2:$B$501,MATCH(INT($L191),_怪物基线!$A$2:$A$501,0)),"")</f>
        <v>244399</v>
      </c>
      <c r="P191" s="4">
        <f>IFERROR(INDEX(_怪物基线!$C$2:$C$501,MATCH(INT($L191),_怪物基线!$A$2:$A$501,0)),"")</f>
        <v>17225</v>
      </c>
      <c r="Q191" s="4">
        <f>IFERROR(INDEX(_怪物基线!$D$2:$D$501,MATCH(INT($L191),_怪物基线!$A$2:$A$501,0)),"")</f>
        <v>21402</v>
      </c>
      <c r="R191" s="4">
        <f>参数!$B$10</f>
        <v>4</v>
      </c>
      <c r="S191" s="4">
        <f>参数!$C$10</f>
        <v>1.2</v>
      </c>
      <c r="T191" s="4">
        <f>参数!$D$10</f>
        <v>1</v>
      </c>
      <c r="U191" s="4">
        <f t="shared" si="14"/>
        <v>977596</v>
      </c>
      <c r="V191" s="4">
        <f t="shared" si="15"/>
        <v>20670</v>
      </c>
      <c r="W191" s="4">
        <f t="shared" si="16"/>
        <v>21402</v>
      </c>
      <c r="X191" s="4">
        <f>IFERROR(INDEX(参数!$B$5:$B$7,MATCH($N191,参数!$A$5:$A$7,0)),"")</f>
        <v>1</v>
      </c>
      <c r="Y191" s="4">
        <f>IFERROR(INDEX(参数!$C$5:$C$7,MATCH($N191,参数!$A$5:$A$7,0)),"")</f>
        <v>1.2</v>
      </c>
      <c r="Z191" s="4">
        <f>IFERROR(INDEX(参数!$D$5:$D$7,MATCH($N191,参数!$A$5:$A$7,0)),"")</f>
        <v>1</v>
      </c>
      <c r="AA191" s="4">
        <f>IFERROR(INDEX(楼层配置!$E$5:$E$104,MATCH($K191,楼层配置!$B$5:$B$104,0)),1)</f>
        <v>1</v>
      </c>
      <c r="AB191" s="4">
        <f>IFERROR(INDEX(楼层配置!$F$5:$F$104,MATCH($K191,楼层配置!$B$5:$B$104,0)),1)</f>
        <v>1</v>
      </c>
      <c r="AC191" s="4">
        <f>IFERROR(INDEX(楼层配置!$G$5:$G$104,MATCH($K191,楼层配置!$B$5:$B$104,0)),1)</f>
        <v>1</v>
      </c>
      <c r="AD191" s="6">
        <f t="shared" si="17"/>
        <v>1.20934137582687</v>
      </c>
      <c r="AE191" s="6">
        <f t="shared" si="18"/>
        <v>0.921599008366904</v>
      </c>
      <c r="AF191" s="6">
        <f t="shared" si="19"/>
        <v>1.10981861198738</v>
      </c>
      <c r="AG191" s="4" t="str">
        <f t="shared" si="20"/>
        <v>有效</v>
      </c>
    </row>
    <row r="192" ht="14.25" customHeight="1" spans="1:33">
      <c r="A192" s="4">
        <v>188</v>
      </c>
      <c r="B192" s="4">
        <v>1001</v>
      </c>
      <c r="C192" s="4">
        <v>29</v>
      </c>
      <c r="D192" s="5">
        <f>IFERROR(ROUND($U192*$X192*$AA192*参数!$B$13,0),"")</f>
        <v>977596</v>
      </c>
      <c r="E192" s="5">
        <f>IFERROR(ROUND($V192*$Y192*$AB192*参数!$C$13,0),"")</f>
        <v>24804</v>
      </c>
      <c r="F192" s="5">
        <f>IFERROR(ROUND($W192*$Z192*$AC192*参数!$D$13,0),"")</f>
        <v>21402</v>
      </c>
      <c r="G192" s="4">
        <v>442483</v>
      </c>
      <c r="H192" s="4">
        <v>12908</v>
      </c>
      <c r="I192" s="4">
        <v>10144</v>
      </c>
      <c r="J192" s="4">
        <v>38</v>
      </c>
      <c r="K192" s="4">
        <v>38</v>
      </c>
      <c r="L192" s="4">
        <f>IFERROR(INDEX(楼层配置!$D$5:$D$104,MATCH($K192,楼层配置!$B$5:$B$104,0)),"")</f>
        <v>253</v>
      </c>
      <c r="M192" s="4" t="str">
        <f>IFERROR(INDEX(_角色基线!$B$2:$B$100,MATCH($B192,_角色基线!$A$2:$A$100,0)),"")</f>
        <v>星海</v>
      </c>
      <c r="N192" s="4" t="str">
        <f>IFERROR(INDEX(_角色基线!$C$2:$C$100,MATCH($B192,_角色基线!$A$2:$A$100,0)),"")</f>
        <v>DPS</v>
      </c>
      <c r="O192" s="4">
        <f>IFERROR(INDEX(_怪物基线!$B$2:$B$501,MATCH(INT($L192),_怪物基线!$A$2:$A$501,0)),"")</f>
        <v>244399</v>
      </c>
      <c r="P192" s="4">
        <f>IFERROR(INDEX(_怪物基线!$C$2:$C$501,MATCH(INT($L192),_怪物基线!$A$2:$A$501,0)),"")</f>
        <v>17225</v>
      </c>
      <c r="Q192" s="4">
        <f>IFERROR(INDEX(_怪物基线!$D$2:$D$501,MATCH(INT($L192),_怪物基线!$A$2:$A$501,0)),"")</f>
        <v>21402</v>
      </c>
      <c r="R192" s="4">
        <f>参数!$B$10</f>
        <v>4</v>
      </c>
      <c r="S192" s="4">
        <f>参数!$C$10</f>
        <v>1.2</v>
      </c>
      <c r="T192" s="4">
        <f>参数!$D$10</f>
        <v>1</v>
      </c>
      <c r="U192" s="4">
        <f t="shared" si="14"/>
        <v>977596</v>
      </c>
      <c r="V192" s="4">
        <f t="shared" si="15"/>
        <v>20670</v>
      </c>
      <c r="W192" s="4">
        <f t="shared" si="16"/>
        <v>21402</v>
      </c>
      <c r="X192" s="4">
        <f>IFERROR(INDEX(参数!$B$5:$B$7,MATCH($N192,参数!$A$5:$A$7,0)),"")</f>
        <v>1</v>
      </c>
      <c r="Y192" s="4">
        <f>IFERROR(INDEX(参数!$C$5:$C$7,MATCH($N192,参数!$A$5:$A$7,0)),"")</f>
        <v>1.2</v>
      </c>
      <c r="Z192" s="4">
        <f>IFERROR(INDEX(参数!$D$5:$D$7,MATCH($N192,参数!$A$5:$A$7,0)),"")</f>
        <v>1</v>
      </c>
      <c r="AA192" s="4">
        <f>IFERROR(INDEX(楼层配置!$E$5:$E$104,MATCH($K192,楼层配置!$B$5:$B$104,0)),1)</f>
        <v>1</v>
      </c>
      <c r="AB192" s="4">
        <f>IFERROR(INDEX(楼层配置!$F$5:$F$104,MATCH($K192,楼层配置!$B$5:$B$104,0)),1)</f>
        <v>1</v>
      </c>
      <c r="AC192" s="4">
        <f>IFERROR(INDEX(楼层配置!$G$5:$G$104,MATCH($K192,楼层配置!$B$5:$B$104,0)),1)</f>
        <v>1</v>
      </c>
      <c r="AD192" s="6">
        <f t="shared" si="17"/>
        <v>1.20934137582687</v>
      </c>
      <c r="AE192" s="6">
        <f t="shared" si="18"/>
        <v>0.921599008366904</v>
      </c>
      <c r="AF192" s="6">
        <f t="shared" si="19"/>
        <v>1.10981861198738</v>
      </c>
      <c r="AG192" s="4" t="str">
        <f t="shared" si="20"/>
        <v>有效</v>
      </c>
    </row>
    <row r="193" ht="14.25" customHeight="1" spans="1:33">
      <c r="A193" s="4">
        <v>189</v>
      </c>
      <c r="B193" s="4">
        <v>1021</v>
      </c>
      <c r="C193" s="4">
        <v>29</v>
      </c>
      <c r="D193" s="5">
        <f>IFERROR(ROUND($U193*$X193*$AA193*参数!$B$13,0),"")</f>
        <v>977596</v>
      </c>
      <c r="E193" s="5">
        <f>IFERROR(ROUND($V193*$Y193*$AB193*参数!$C$13,0),"")</f>
        <v>24804</v>
      </c>
      <c r="F193" s="5">
        <f>IFERROR(ROUND($W193*$Z193*$AC193*参数!$D$13,0),"")</f>
        <v>21402</v>
      </c>
      <c r="G193" s="4">
        <v>442483</v>
      </c>
      <c r="H193" s="4">
        <v>12908</v>
      </c>
      <c r="I193" s="4">
        <v>10144</v>
      </c>
      <c r="J193" s="4">
        <v>38</v>
      </c>
      <c r="K193" s="4">
        <v>38</v>
      </c>
      <c r="L193" s="4">
        <f>IFERROR(INDEX(楼层配置!$D$5:$D$104,MATCH($K193,楼层配置!$B$5:$B$104,0)),"")</f>
        <v>253</v>
      </c>
      <c r="M193" s="4" t="str">
        <f>IFERROR(INDEX(_角色基线!$B$2:$B$100,MATCH($B193,_角色基线!$A$2:$A$100,0)),"")</f>
        <v>梅梅</v>
      </c>
      <c r="N193" s="4" t="str">
        <f>IFERROR(INDEX(_角色基线!$C$2:$C$100,MATCH($B193,_角色基线!$A$2:$A$100,0)),"")</f>
        <v>DPS</v>
      </c>
      <c r="O193" s="4">
        <f>IFERROR(INDEX(_怪物基线!$B$2:$B$501,MATCH(INT($L193),_怪物基线!$A$2:$A$501,0)),"")</f>
        <v>244399</v>
      </c>
      <c r="P193" s="4">
        <f>IFERROR(INDEX(_怪物基线!$C$2:$C$501,MATCH(INT($L193),_怪物基线!$A$2:$A$501,0)),"")</f>
        <v>17225</v>
      </c>
      <c r="Q193" s="4">
        <f>IFERROR(INDEX(_怪物基线!$D$2:$D$501,MATCH(INT($L193),_怪物基线!$A$2:$A$501,0)),"")</f>
        <v>21402</v>
      </c>
      <c r="R193" s="4">
        <f>参数!$B$10</f>
        <v>4</v>
      </c>
      <c r="S193" s="4">
        <f>参数!$C$10</f>
        <v>1.2</v>
      </c>
      <c r="T193" s="4">
        <f>参数!$D$10</f>
        <v>1</v>
      </c>
      <c r="U193" s="4">
        <f t="shared" si="14"/>
        <v>977596</v>
      </c>
      <c r="V193" s="4">
        <f t="shared" si="15"/>
        <v>20670</v>
      </c>
      <c r="W193" s="4">
        <f t="shared" si="16"/>
        <v>21402</v>
      </c>
      <c r="X193" s="4">
        <f>IFERROR(INDEX(参数!$B$5:$B$7,MATCH($N193,参数!$A$5:$A$7,0)),"")</f>
        <v>1</v>
      </c>
      <c r="Y193" s="4">
        <f>IFERROR(INDEX(参数!$C$5:$C$7,MATCH($N193,参数!$A$5:$A$7,0)),"")</f>
        <v>1.2</v>
      </c>
      <c r="Z193" s="4">
        <f>IFERROR(INDEX(参数!$D$5:$D$7,MATCH($N193,参数!$A$5:$A$7,0)),"")</f>
        <v>1</v>
      </c>
      <c r="AA193" s="4">
        <f>IFERROR(INDEX(楼层配置!$E$5:$E$104,MATCH($K193,楼层配置!$B$5:$B$104,0)),1)</f>
        <v>1</v>
      </c>
      <c r="AB193" s="4">
        <f>IFERROR(INDEX(楼层配置!$F$5:$F$104,MATCH($K193,楼层配置!$B$5:$B$104,0)),1)</f>
        <v>1</v>
      </c>
      <c r="AC193" s="4">
        <f>IFERROR(INDEX(楼层配置!$G$5:$G$104,MATCH($K193,楼层配置!$B$5:$B$104,0)),1)</f>
        <v>1</v>
      </c>
      <c r="AD193" s="6">
        <f t="shared" si="17"/>
        <v>1.20934137582687</v>
      </c>
      <c r="AE193" s="6">
        <f t="shared" si="18"/>
        <v>0.921599008366904</v>
      </c>
      <c r="AF193" s="6">
        <f t="shared" si="19"/>
        <v>1.10981861198738</v>
      </c>
      <c r="AG193" s="4" t="str">
        <f t="shared" si="20"/>
        <v>有效</v>
      </c>
    </row>
    <row r="194" ht="14.25" customHeight="1" spans="1:33">
      <c r="A194" s="4">
        <v>190</v>
      </c>
      <c r="B194" s="4">
        <v>1012</v>
      </c>
      <c r="C194" s="4">
        <v>29</v>
      </c>
      <c r="D194" s="5">
        <f>IFERROR(ROUND($U194*$X194*$AA194*参数!$B$13,0),"")</f>
        <v>1221995</v>
      </c>
      <c r="E194" s="5">
        <f>IFERROR(ROUND($V194*$Y194*$AB194*参数!$C$13,0),"")</f>
        <v>20670</v>
      </c>
      <c r="F194" s="5">
        <f>IFERROR(ROUND($W194*$Z194*$AC194*参数!$D$13,0),"")</f>
        <v>26753</v>
      </c>
      <c r="G194" s="4">
        <v>553104</v>
      </c>
      <c r="H194" s="4">
        <v>10757</v>
      </c>
      <c r="I194" s="4">
        <v>12681</v>
      </c>
      <c r="J194" s="4">
        <v>38</v>
      </c>
      <c r="K194" s="4">
        <v>38</v>
      </c>
      <c r="L194" s="4">
        <f>IFERROR(INDEX(楼层配置!$D$5:$D$104,MATCH($K194,楼层配置!$B$5:$B$104,0)),"")</f>
        <v>253</v>
      </c>
      <c r="M194" s="4" t="str">
        <f>IFERROR(INDEX(_角色基线!$B$2:$B$100,MATCH($B194,_角色基线!$A$2:$A$100,0)),"")</f>
        <v>艾德琳</v>
      </c>
      <c r="N194" s="4" t="str">
        <f>IFERROR(INDEX(_角色基线!$C$2:$C$100,MATCH($B194,_角色基线!$A$2:$A$100,0)),"")</f>
        <v>Support</v>
      </c>
      <c r="O194" s="4">
        <f>IFERROR(INDEX(_怪物基线!$B$2:$B$501,MATCH(INT($L194),_怪物基线!$A$2:$A$501,0)),"")</f>
        <v>244399</v>
      </c>
      <c r="P194" s="4">
        <f>IFERROR(INDEX(_怪物基线!$C$2:$C$501,MATCH(INT($L194),_怪物基线!$A$2:$A$501,0)),"")</f>
        <v>17225</v>
      </c>
      <c r="Q194" s="4">
        <f>IFERROR(INDEX(_怪物基线!$D$2:$D$501,MATCH(INT($L194),_怪物基线!$A$2:$A$501,0)),"")</f>
        <v>21402</v>
      </c>
      <c r="R194" s="4">
        <f>参数!$B$10</f>
        <v>4</v>
      </c>
      <c r="S194" s="4">
        <f>参数!$C$10</f>
        <v>1.2</v>
      </c>
      <c r="T194" s="4">
        <f>参数!$D$10</f>
        <v>1</v>
      </c>
      <c r="U194" s="4">
        <f t="shared" si="14"/>
        <v>977596</v>
      </c>
      <c r="V194" s="4">
        <f t="shared" si="15"/>
        <v>20670</v>
      </c>
      <c r="W194" s="4">
        <f t="shared" si="16"/>
        <v>21402</v>
      </c>
      <c r="X194" s="4">
        <f>IFERROR(INDEX(参数!$B$5:$B$7,MATCH($N194,参数!$A$5:$A$7,0)),"")</f>
        <v>1.25</v>
      </c>
      <c r="Y194" s="4">
        <f>IFERROR(INDEX(参数!$C$5:$C$7,MATCH($N194,参数!$A$5:$A$7,0)),"")</f>
        <v>1</v>
      </c>
      <c r="Z194" s="4">
        <f>IFERROR(INDEX(参数!$D$5:$D$7,MATCH($N194,参数!$A$5:$A$7,0)),"")</f>
        <v>1.25</v>
      </c>
      <c r="AA194" s="4">
        <f>IFERROR(INDEX(楼层配置!$E$5:$E$104,MATCH($K194,楼层配置!$B$5:$B$104,0)),1)</f>
        <v>1</v>
      </c>
      <c r="AB194" s="4">
        <f>IFERROR(INDEX(楼层配置!$F$5:$F$104,MATCH($K194,楼层配置!$B$5:$B$104,0)),1)</f>
        <v>1</v>
      </c>
      <c r="AC194" s="4">
        <f>IFERROR(INDEX(楼层配置!$G$5:$G$104,MATCH($K194,楼层配置!$B$5:$B$104,0)),1)</f>
        <v>1</v>
      </c>
      <c r="AD194" s="6">
        <f t="shared" si="17"/>
        <v>1.20934037721658</v>
      </c>
      <c r="AE194" s="6">
        <f t="shared" si="18"/>
        <v>0.921539462675467</v>
      </c>
      <c r="AF194" s="6">
        <f t="shared" si="19"/>
        <v>1.10969166469521</v>
      </c>
      <c r="AG194" s="4" t="str">
        <f t="shared" si="20"/>
        <v>有效</v>
      </c>
    </row>
    <row r="195" ht="14.25" customHeight="1" spans="1:33">
      <c r="A195" s="4">
        <v>191</v>
      </c>
      <c r="B195" s="4">
        <v>1002</v>
      </c>
      <c r="C195" s="4">
        <v>29</v>
      </c>
      <c r="D195" s="5">
        <f>IFERROR(ROUND($U195*$X195*$AA195*参数!$B$13,0),"")</f>
        <v>1542120</v>
      </c>
      <c r="E195" s="5">
        <f>IFERROR(ROUND($V195*$Y195*$AB195*参数!$C$13,0),"")</f>
        <v>21412</v>
      </c>
      <c r="F195" s="5">
        <f>IFERROR(ROUND($W195*$Z195*$AC195*参数!$D$13,0),"")</f>
        <v>32957</v>
      </c>
      <c r="G195" s="4">
        <v>700034</v>
      </c>
      <c r="H195" s="4">
        <v>11137</v>
      </c>
      <c r="I195" s="4">
        <v>15672</v>
      </c>
      <c r="J195" s="4">
        <v>39</v>
      </c>
      <c r="K195" s="4">
        <v>39</v>
      </c>
      <c r="L195" s="4">
        <f>IFERROR(INDEX(楼层配置!$D$5:$D$104,MATCH($K195,楼层配置!$B$5:$B$104,0)),"")</f>
        <v>258</v>
      </c>
      <c r="M195" s="4" t="str">
        <f>IFERROR(INDEX(_角色基线!$B$2:$B$100,MATCH($B195,_角色基线!$A$2:$A$100,0)),"")</f>
        <v>大暑</v>
      </c>
      <c r="N195" s="4" t="str">
        <f>IFERROR(INDEX(_角色基线!$C$2:$C$100,MATCH($B195,_角色基线!$A$2:$A$100,0)),"")</f>
        <v>Tank</v>
      </c>
      <c r="O195" s="4">
        <f>IFERROR(INDEX(_怪物基线!$B$2:$B$501,MATCH(INT($L195),_怪物基线!$A$2:$A$501,0)),"")</f>
        <v>257020</v>
      </c>
      <c r="P195" s="4">
        <f>IFERROR(INDEX(_怪物基线!$C$2:$C$501,MATCH(INT($L195),_怪物基线!$A$2:$A$501,0)),"")</f>
        <v>17843</v>
      </c>
      <c r="Q195" s="4">
        <f>IFERROR(INDEX(_怪物基线!$D$2:$D$501,MATCH(INT($L195),_怪物基线!$A$2:$A$501,0)),"")</f>
        <v>21971</v>
      </c>
      <c r="R195" s="4">
        <f>参数!$B$10</f>
        <v>4</v>
      </c>
      <c r="S195" s="4">
        <f>参数!$C$10</f>
        <v>1.2</v>
      </c>
      <c r="T195" s="4">
        <f>参数!$D$10</f>
        <v>1</v>
      </c>
      <c r="U195" s="4">
        <f t="shared" si="14"/>
        <v>1028080</v>
      </c>
      <c r="V195" s="4">
        <f t="shared" si="15"/>
        <v>21411.6</v>
      </c>
      <c r="W195" s="4">
        <f t="shared" si="16"/>
        <v>21971</v>
      </c>
      <c r="X195" s="4">
        <f>IFERROR(INDEX(参数!$B$5:$B$7,MATCH($N195,参数!$A$5:$A$7,0)),"")</f>
        <v>1.5</v>
      </c>
      <c r="Y195" s="4">
        <f>IFERROR(INDEX(参数!$C$5:$C$7,MATCH($N195,参数!$A$5:$A$7,0)),"")</f>
        <v>1</v>
      </c>
      <c r="Z195" s="4">
        <f>IFERROR(INDEX(参数!$D$5:$D$7,MATCH($N195,参数!$A$5:$A$7,0)),"")</f>
        <v>1.5</v>
      </c>
      <c r="AA195" s="4">
        <f>IFERROR(INDEX(楼层配置!$E$5:$E$104,MATCH($K195,楼层配置!$B$5:$B$104,0)),1)</f>
        <v>1</v>
      </c>
      <c r="AB195" s="4">
        <f>IFERROR(INDEX(楼层配置!$F$5:$F$104,MATCH($K195,楼层配置!$B$5:$B$104,0)),1)</f>
        <v>1</v>
      </c>
      <c r="AC195" s="4">
        <f>IFERROR(INDEX(楼层配置!$G$5:$G$104,MATCH($K195,楼层配置!$B$5:$B$104,0)),1)</f>
        <v>1</v>
      </c>
      <c r="AD195" s="6">
        <f t="shared" si="17"/>
        <v>1.20292157238077</v>
      </c>
      <c r="AE195" s="6">
        <f t="shared" si="18"/>
        <v>0.922600341204992</v>
      </c>
      <c r="AF195" s="6">
        <f t="shared" si="19"/>
        <v>1.10292240939255</v>
      </c>
      <c r="AG195" s="4" t="str">
        <f t="shared" si="20"/>
        <v>有效</v>
      </c>
    </row>
    <row r="196" ht="14.25" customHeight="1" spans="1:33">
      <c r="A196" s="4">
        <v>192</v>
      </c>
      <c r="B196" s="4">
        <v>1002</v>
      </c>
      <c r="C196" s="4">
        <v>29</v>
      </c>
      <c r="D196" s="5">
        <f>IFERROR(ROUND($U196*$X196*$AA196*参数!$B$13,0),"")</f>
        <v>1542120</v>
      </c>
      <c r="E196" s="5">
        <f>IFERROR(ROUND($V196*$Y196*$AB196*参数!$C$13,0),"")</f>
        <v>21412</v>
      </c>
      <c r="F196" s="5">
        <f>IFERROR(ROUND($W196*$Z196*$AC196*参数!$D$13,0),"")</f>
        <v>32957</v>
      </c>
      <c r="G196" s="4">
        <v>700034</v>
      </c>
      <c r="H196" s="4">
        <v>11137</v>
      </c>
      <c r="I196" s="4">
        <v>15672</v>
      </c>
      <c r="J196" s="4">
        <v>39</v>
      </c>
      <c r="K196" s="4">
        <v>39</v>
      </c>
      <c r="L196" s="4">
        <f>IFERROR(INDEX(楼层配置!$D$5:$D$104,MATCH($K196,楼层配置!$B$5:$B$104,0)),"")</f>
        <v>258</v>
      </c>
      <c r="M196" s="4" t="str">
        <f>IFERROR(INDEX(_角色基线!$B$2:$B$100,MATCH($B196,_角色基线!$A$2:$A$100,0)),"")</f>
        <v>大暑</v>
      </c>
      <c r="N196" s="4" t="str">
        <f>IFERROR(INDEX(_角色基线!$C$2:$C$100,MATCH($B196,_角色基线!$A$2:$A$100,0)),"")</f>
        <v>Tank</v>
      </c>
      <c r="O196" s="4">
        <f>IFERROR(INDEX(_怪物基线!$B$2:$B$501,MATCH(INT($L196),_怪物基线!$A$2:$A$501,0)),"")</f>
        <v>257020</v>
      </c>
      <c r="P196" s="4">
        <f>IFERROR(INDEX(_怪物基线!$C$2:$C$501,MATCH(INT($L196),_怪物基线!$A$2:$A$501,0)),"")</f>
        <v>17843</v>
      </c>
      <c r="Q196" s="4">
        <f>IFERROR(INDEX(_怪物基线!$D$2:$D$501,MATCH(INT($L196),_怪物基线!$A$2:$A$501,0)),"")</f>
        <v>21971</v>
      </c>
      <c r="R196" s="4">
        <f>参数!$B$10</f>
        <v>4</v>
      </c>
      <c r="S196" s="4">
        <f>参数!$C$10</f>
        <v>1.2</v>
      </c>
      <c r="T196" s="4">
        <f>参数!$D$10</f>
        <v>1</v>
      </c>
      <c r="U196" s="4">
        <f t="shared" si="14"/>
        <v>1028080</v>
      </c>
      <c r="V196" s="4">
        <f t="shared" si="15"/>
        <v>21411.6</v>
      </c>
      <c r="W196" s="4">
        <f t="shared" si="16"/>
        <v>21971</v>
      </c>
      <c r="X196" s="4">
        <f>IFERROR(INDEX(参数!$B$5:$B$7,MATCH($N196,参数!$A$5:$A$7,0)),"")</f>
        <v>1.5</v>
      </c>
      <c r="Y196" s="4">
        <f>IFERROR(INDEX(参数!$C$5:$C$7,MATCH($N196,参数!$A$5:$A$7,0)),"")</f>
        <v>1</v>
      </c>
      <c r="Z196" s="4">
        <f>IFERROR(INDEX(参数!$D$5:$D$7,MATCH($N196,参数!$A$5:$A$7,0)),"")</f>
        <v>1.5</v>
      </c>
      <c r="AA196" s="4">
        <f>IFERROR(INDEX(楼层配置!$E$5:$E$104,MATCH($K196,楼层配置!$B$5:$B$104,0)),1)</f>
        <v>1</v>
      </c>
      <c r="AB196" s="4">
        <f>IFERROR(INDEX(楼层配置!$F$5:$F$104,MATCH($K196,楼层配置!$B$5:$B$104,0)),1)</f>
        <v>1</v>
      </c>
      <c r="AC196" s="4">
        <f>IFERROR(INDEX(楼层配置!$G$5:$G$104,MATCH($K196,楼层配置!$B$5:$B$104,0)),1)</f>
        <v>1</v>
      </c>
      <c r="AD196" s="6">
        <f t="shared" si="17"/>
        <v>1.20292157238077</v>
      </c>
      <c r="AE196" s="6">
        <f t="shared" si="18"/>
        <v>0.922600341204992</v>
      </c>
      <c r="AF196" s="6">
        <f t="shared" si="19"/>
        <v>1.10292240939255</v>
      </c>
      <c r="AG196" s="4" t="str">
        <f t="shared" si="20"/>
        <v>有效</v>
      </c>
    </row>
    <row r="197" ht="14.25" customHeight="1" spans="1:33">
      <c r="A197" s="4">
        <v>193</v>
      </c>
      <c r="B197" s="4">
        <v>1024</v>
      </c>
      <c r="C197" s="4">
        <v>29</v>
      </c>
      <c r="D197" s="5">
        <f>IFERROR(ROUND($U197*$X197*$AA197*参数!$B$13,0),"")</f>
        <v>1028080</v>
      </c>
      <c r="E197" s="5">
        <f>IFERROR(ROUND($V197*$Y197*$AB197*参数!$C$13,0),"")</f>
        <v>25694</v>
      </c>
      <c r="F197" s="5">
        <f>IFERROR(ROUND($W197*$Z197*$AC197*参数!$D$13,0),"")</f>
        <v>21971</v>
      </c>
      <c r="G197" s="4">
        <v>466689</v>
      </c>
      <c r="H197" s="4">
        <v>13364</v>
      </c>
      <c r="I197" s="4">
        <v>10448</v>
      </c>
      <c r="J197" s="4">
        <v>39</v>
      </c>
      <c r="K197" s="4">
        <v>39</v>
      </c>
      <c r="L197" s="4">
        <f>IFERROR(INDEX(楼层配置!$D$5:$D$104,MATCH($K197,楼层配置!$B$5:$B$104,0)),"")</f>
        <v>258</v>
      </c>
      <c r="M197" s="4" t="str">
        <f>IFERROR(INDEX(_角色基线!$B$2:$B$100,MATCH($B197,_角色基线!$A$2:$A$100,0)),"")</f>
        <v>卡薇</v>
      </c>
      <c r="N197" s="4" t="str">
        <f>IFERROR(INDEX(_角色基线!$C$2:$C$100,MATCH($B197,_角色基线!$A$2:$A$100,0)),"")</f>
        <v>DPS</v>
      </c>
      <c r="O197" s="4">
        <f>IFERROR(INDEX(_怪物基线!$B$2:$B$501,MATCH(INT($L197),_怪物基线!$A$2:$A$501,0)),"")</f>
        <v>257020</v>
      </c>
      <c r="P197" s="4">
        <f>IFERROR(INDEX(_怪物基线!$C$2:$C$501,MATCH(INT($L197),_怪物基线!$A$2:$A$501,0)),"")</f>
        <v>17843</v>
      </c>
      <c r="Q197" s="4">
        <f>IFERROR(INDEX(_怪物基线!$D$2:$D$501,MATCH(INT($L197),_怪物基线!$A$2:$A$501,0)),"")</f>
        <v>21971</v>
      </c>
      <c r="R197" s="4">
        <f>参数!$B$10</f>
        <v>4</v>
      </c>
      <c r="S197" s="4">
        <f>参数!$C$10</f>
        <v>1.2</v>
      </c>
      <c r="T197" s="4">
        <f>参数!$D$10</f>
        <v>1</v>
      </c>
      <c r="U197" s="4">
        <f t="shared" ref="U197:U260" si="21">IF($O197="","",$O197*$R197)</f>
        <v>1028080</v>
      </c>
      <c r="V197" s="4">
        <f t="shared" ref="V197:V260" si="22">IF($P197="","",$P197*$S197)</f>
        <v>21411.6</v>
      </c>
      <c r="W197" s="4">
        <f t="shared" ref="W197:W260" si="23">IF($Q197="","",$Q197*$T197)</f>
        <v>21971</v>
      </c>
      <c r="X197" s="4">
        <f>IFERROR(INDEX(参数!$B$5:$B$7,MATCH($N197,参数!$A$5:$A$7,0)),"")</f>
        <v>1</v>
      </c>
      <c r="Y197" s="4">
        <f>IFERROR(INDEX(参数!$C$5:$C$7,MATCH($N197,参数!$A$5:$A$7,0)),"")</f>
        <v>1.2</v>
      </c>
      <c r="Z197" s="4">
        <f>IFERROR(INDEX(参数!$D$5:$D$7,MATCH($N197,参数!$A$5:$A$7,0)),"")</f>
        <v>1</v>
      </c>
      <c r="AA197" s="4">
        <f>IFERROR(INDEX(楼层配置!$E$5:$E$104,MATCH($K197,楼层配置!$B$5:$B$104,0)),1)</f>
        <v>1</v>
      </c>
      <c r="AB197" s="4">
        <f>IFERROR(INDEX(楼层配置!$F$5:$F$104,MATCH($K197,楼层配置!$B$5:$B$104,0)),1)</f>
        <v>1</v>
      </c>
      <c r="AC197" s="4">
        <f>IFERROR(INDEX(楼层配置!$G$5:$G$104,MATCH($K197,楼层配置!$B$5:$B$104,0)),1)</f>
        <v>1</v>
      </c>
      <c r="AD197" s="6">
        <f t="shared" ref="AD197:AD260" si="24">IFERROR($D197/$G197-1,"")</f>
        <v>1.20292314582088</v>
      </c>
      <c r="AE197" s="6">
        <f t="shared" ref="AE197:AE260" si="25">IFERROR($E197/$H197-1,"")</f>
        <v>0.922627955701886</v>
      </c>
      <c r="AF197" s="6">
        <f t="shared" ref="AF197:AF260" si="26">IFERROR($F197/$I197-1,"")</f>
        <v>1.10289050535988</v>
      </c>
      <c r="AG197" s="4" t="str">
        <f t="shared" ref="AG197:AG260" si="27">IF(AND($A197&gt;=1,$L197&gt;=1,$L197&lt;=500,OR($N197="Tank",$N197="DPS",$N197="Support"),ISNUMBER($D197),ISNUMBER($E197),ISNUMBER($F197)),"有效","异常")</f>
        <v>有效</v>
      </c>
    </row>
    <row r="198" ht="14.25" customHeight="1" spans="1:33">
      <c r="A198" s="4">
        <v>194</v>
      </c>
      <c r="B198" s="4">
        <v>1021</v>
      </c>
      <c r="C198" s="4">
        <v>29</v>
      </c>
      <c r="D198" s="5">
        <f>IFERROR(ROUND($U198*$X198*$AA198*参数!$B$13,0),"")</f>
        <v>1028080</v>
      </c>
      <c r="E198" s="5">
        <f>IFERROR(ROUND($V198*$Y198*$AB198*参数!$C$13,0),"")</f>
        <v>25694</v>
      </c>
      <c r="F198" s="5">
        <f>IFERROR(ROUND($W198*$Z198*$AC198*参数!$D$13,0),"")</f>
        <v>21971</v>
      </c>
      <c r="G198" s="4">
        <v>466689</v>
      </c>
      <c r="H198" s="4">
        <v>13364</v>
      </c>
      <c r="I198" s="4">
        <v>10448</v>
      </c>
      <c r="J198" s="4">
        <v>39</v>
      </c>
      <c r="K198" s="4">
        <v>39</v>
      </c>
      <c r="L198" s="4">
        <f>IFERROR(INDEX(楼层配置!$D$5:$D$104,MATCH($K198,楼层配置!$B$5:$B$104,0)),"")</f>
        <v>258</v>
      </c>
      <c r="M198" s="4" t="str">
        <f>IFERROR(INDEX(_角色基线!$B$2:$B$100,MATCH($B198,_角色基线!$A$2:$A$100,0)),"")</f>
        <v>梅梅</v>
      </c>
      <c r="N198" s="4" t="str">
        <f>IFERROR(INDEX(_角色基线!$C$2:$C$100,MATCH($B198,_角色基线!$A$2:$A$100,0)),"")</f>
        <v>DPS</v>
      </c>
      <c r="O198" s="4">
        <f>IFERROR(INDEX(_怪物基线!$B$2:$B$501,MATCH(INT($L198),_怪物基线!$A$2:$A$501,0)),"")</f>
        <v>257020</v>
      </c>
      <c r="P198" s="4">
        <f>IFERROR(INDEX(_怪物基线!$C$2:$C$501,MATCH(INT($L198),_怪物基线!$A$2:$A$501,0)),"")</f>
        <v>17843</v>
      </c>
      <c r="Q198" s="4">
        <f>IFERROR(INDEX(_怪物基线!$D$2:$D$501,MATCH(INT($L198),_怪物基线!$A$2:$A$501,0)),"")</f>
        <v>21971</v>
      </c>
      <c r="R198" s="4">
        <f>参数!$B$10</f>
        <v>4</v>
      </c>
      <c r="S198" s="4">
        <f>参数!$C$10</f>
        <v>1.2</v>
      </c>
      <c r="T198" s="4">
        <f>参数!$D$10</f>
        <v>1</v>
      </c>
      <c r="U198" s="4">
        <f t="shared" si="21"/>
        <v>1028080</v>
      </c>
      <c r="V198" s="4">
        <f t="shared" si="22"/>
        <v>21411.6</v>
      </c>
      <c r="W198" s="4">
        <f t="shared" si="23"/>
        <v>21971</v>
      </c>
      <c r="X198" s="4">
        <f>IFERROR(INDEX(参数!$B$5:$B$7,MATCH($N198,参数!$A$5:$A$7,0)),"")</f>
        <v>1</v>
      </c>
      <c r="Y198" s="4">
        <f>IFERROR(INDEX(参数!$C$5:$C$7,MATCH($N198,参数!$A$5:$A$7,0)),"")</f>
        <v>1.2</v>
      </c>
      <c r="Z198" s="4">
        <f>IFERROR(INDEX(参数!$D$5:$D$7,MATCH($N198,参数!$A$5:$A$7,0)),"")</f>
        <v>1</v>
      </c>
      <c r="AA198" s="4">
        <f>IFERROR(INDEX(楼层配置!$E$5:$E$104,MATCH($K198,楼层配置!$B$5:$B$104,0)),1)</f>
        <v>1</v>
      </c>
      <c r="AB198" s="4">
        <f>IFERROR(INDEX(楼层配置!$F$5:$F$104,MATCH($K198,楼层配置!$B$5:$B$104,0)),1)</f>
        <v>1</v>
      </c>
      <c r="AC198" s="4">
        <f>IFERROR(INDEX(楼层配置!$G$5:$G$104,MATCH($K198,楼层配置!$B$5:$B$104,0)),1)</f>
        <v>1</v>
      </c>
      <c r="AD198" s="6">
        <f t="shared" si="24"/>
        <v>1.20292314582088</v>
      </c>
      <c r="AE198" s="6">
        <f t="shared" si="25"/>
        <v>0.922627955701886</v>
      </c>
      <c r="AF198" s="6">
        <f t="shared" si="26"/>
        <v>1.10289050535988</v>
      </c>
      <c r="AG198" s="4" t="str">
        <f t="shared" si="27"/>
        <v>有效</v>
      </c>
    </row>
    <row r="199" ht="14.25" customHeight="1" spans="1:33">
      <c r="A199" s="4">
        <v>195</v>
      </c>
      <c r="B199" s="4">
        <v>1026</v>
      </c>
      <c r="C199" s="4">
        <v>29</v>
      </c>
      <c r="D199" s="5">
        <f>IFERROR(ROUND($U199*$X199*$AA199*参数!$B$13,0),"")</f>
        <v>1028080</v>
      </c>
      <c r="E199" s="5">
        <f>IFERROR(ROUND($V199*$Y199*$AB199*参数!$C$13,0),"")</f>
        <v>25694</v>
      </c>
      <c r="F199" s="5">
        <f>IFERROR(ROUND($W199*$Z199*$AC199*参数!$D$13,0),"")</f>
        <v>21971</v>
      </c>
      <c r="G199" s="4">
        <v>466689</v>
      </c>
      <c r="H199" s="4">
        <v>13364</v>
      </c>
      <c r="I199" s="4">
        <v>10448</v>
      </c>
      <c r="J199" s="4">
        <v>39</v>
      </c>
      <c r="K199" s="4">
        <v>39</v>
      </c>
      <c r="L199" s="4">
        <f>IFERROR(INDEX(楼层配置!$D$5:$D$104,MATCH($K199,楼层配置!$B$5:$B$104,0)),"")</f>
        <v>258</v>
      </c>
      <c r="M199" s="4" t="str">
        <f>IFERROR(INDEX(_角色基线!$B$2:$B$100,MATCH($B199,_角色基线!$A$2:$A$100,0)),"")</f>
        <v>乔一</v>
      </c>
      <c r="N199" s="4" t="str">
        <f>IFERROR(INDEX(_角色基线!$C$2:$C$100,MATCH($B199,_角色基线!$A$2:$A$100,0)),"")</f>
        <v>DPS</v>
      </c>
      <c r="O199" s="4">
        <f>IFERROR(INDEX(_怪物基线!$B$2:$B$501,MATCH(INT($L199),_怪物基线!$A$2:$A$501,0)),"")</f>
        <v>257020</v>
      </c>
      <c r="P199" s="4">
        <f>IFERROR(INDEX(_怪物基线!$C$2:$C$501,MATCH(INT($L199),_怪物基线!$A$2:$A$501,0)),"")</f>
        <v>17843</v>
      </c>
      <c r="Q199" s="4">
        <f>IFERROR(INDEX(_怪物基线!$D$2:$D$501,MATCH(INT($L199),_怪物基线!$A$2:$A$501,0)),"")</f>
        <v>21971</v>
      </c>
      <c r="R199" s="4">
        <f>参数!$B$10</f>
        <v>4</v>
      </c>
      <c r="S199" s="4">
        <f>参数!$C$10</f>
        <v>1.2</v>
      </c>
      <c r="T199" s="4">
        <f>参数!$D$10</f>
        <v>1</v>
      </c>
      <c r="U199" s="4">
        <f t="shared" si="21"/>
        <v>1028080</v>
      </c>
      <c r="V199" s="4">
        <f t="shared" si="22"/>
        <v>21411.6</v>
      </c>
      <c r="W199" s="4">
        <f t="shared" si="23"/>
        <v>21971</v>
      </c>
      <c r="X199" s="4">
        <f>IFERROR(INDEX(参数!$B$5:$B$7,MATCH($N199,参数!$A$5:$A$7,0)),"")</f>
        <v>1</v>
      </c>
      <c r="Y199" s="4">
        <f>IFERROR(INDEX(参数!$C$5:$C$7,MATCH($N199,参数!$A$5:$A$7,0)),"")</f>
        <v>1.2</v>
      </c>
      <c r="Z199" s="4">
        <f>IFERROR(INDEX(参数!$D$5:$D$7,MATCH($N199,参数!$A$5:$A$7,0)),"")</f>
        <v>1</v>
      </c>
      <c r="AA199" s="4">
        <f>IFERROR(INDEX(楼层配置!$E$5:$E$104,MATCH($K199,楼层配置!$B$5:$B$104,0)),1)</f>
        <v>1</v>
      </c>
      <c r="AB199" s="4">
        <f>IFERROR(INDEX(楼层配置!$F$5:$F$104,MATCH($K199,楼层配置!$B$5:$B$104,0)),1)</f>
        <v>1</v>
      </c>
      <c r="AC199" s="4">
        <f>IFERROR(INDEX(楼层配置!$G$5:$G$104,MATCH($K199,楼层配置!$B$5:$B$104,0)),1)</f>
        <v>1</v>
      </c>
      <c r="AD199" s="6">
        <f t="shared" si="24"/>
        <v>1.20292314582088</v>
      </c>
      <c r="AE199" s="6">
        <f t="shared" si="25"/>
        <v>0.922627955701886</v>
      </c>
      <c r="AF199" s="6">
        <f t="shared" si="26"/>
        <v>1.10289050535988</v>
      </c>
      <c r="AG199" s="4" t="str">
        <f t="shared" si="27"/>
        <v>有效</v>
      </c>
    </row>
    <row r="200" ht="14.25" customHeight="1" spans="1:33">
      <c r="A200" s="4">
        <v>196</v>
      </c>
      <c r="B200" s="4">
        <v>1002</v>
      </c>
      <c r="C200" s="4">
        <v>30</v>
      </c>
      <c r="D200" s="5">
        <f>IFERROR(ROUND($U200*$X200*$AA200*参数!$B$13,0),"")</f>
        <v>1620642</v>
      </c>
      <c r="E200" s="5">
        <f>IFERROR(ROUND($V200*$Y200*$AB200*参数!$C$13,0),"")</f>
        <v>22172</v>
      </c>
      <c r="F200" s="5">
        <f>IFERROR(ROUND($W200*$Z200*$AC200*参数!$D$13,0),"")</f>
        <v>33821</v>
      </c>
      <c r="G200" s="4">
        <v>737719</v>
      </c>
      <c r="H200" s="4">
        <v>11526</v>
      </c>
      <c r="I200" s="4">
        <v>16131</v>
      </c>
      <c r="J200" s="4">
        <v>40</v>
      </c>
      <c r="K200" s="4">
        <v>40</v>
      </c>
      <c r="L200" s="4">
        <f>IFERROR(INDEX(楼层配置!$D$5:$D$104,MATCH($K200,楼层配置!$B$5:$B$104,0)),"")</f>
        <v>263</v>
      </c>
      <c r="M200" s="4" t="str">
        <f>IFERROR(INDEX(_角色基线!$B$2:$B$100,MATCH($B200,_角色基线!$A$2:$A$100,0)),"")</f>
        <v>大暑</v>
      </c>
      <c r="N200" s="4" t="str">
        <f>IFERROR(INDEX(_角色基线!$C$2:$C$100,MATCH($B200,_角色基线!$A$2:$A$100,0)),"")</f>
        <v>Tank</v>
      </c>
      <c r="O200" s="4">
        <f>IFERROR(INDEX(_怪物基线!$B$2:$B$501,MATCH(INT($L200),_怪物基线!$A$2:$A$501,0)),"")</f>
        <v>270107</v>
      </c>
      <c r="P200" s="4">
        <f>IFERROR(INDEX(_怪物基线!$C$2:$C$501,MATCH(INT($L200),_怪物基线!$A$2:$A$501,0)),"")</f>
        <v>18477</v>
      </c>
      <c r="Q200" s="4">
        <f>IFERROR(INDEX(_怪物基线!$D$2:$D$501,MATCH(INT($L200),_怪物基线!$A$2:$A$501,0)),"")</f>
        <v>22547</v>
      </c>
      <c r="R200" s="4">
        <f>参数!$B$10</f>
        <v>4</v>
      </c>
      <c r="S200" s="4">
        <f>参数!$C$10</f>
        <v>1.2</v>
      </c>
      <c r="T200" s="4">
        <f>参数!$D$10</f>
        <v>1</v>
      </c>
      <c r="U200" s="4">
        <f t="shared" si="21"/>
        <v>1080428</v>
      </c>
      <c r="V200" s="4">
        <f t="shared" si="22"/>
        <v>22172.4</v>
      </c>
      <c r="W200" s="4">
        <f t="shared" si="23"/>
        <v>22547</v>
      </c>
      <c r="X200" s="4">
        <f>IFERROR(INDEX(参数!$B$5:$B$7,MATCH($N200,参数!$A$5:$A$7,0)),"")</f>
        <v>1.5</v>
      </c>
      <c r="Y200" s="4">
        <f>IFERROR(INDEX(参数!$C$5:$C$7,MATCH($N200,参数!$A$5:$A$7,0)),"")</f>
        <v>1</v>
      </c>
      <c r="Z200" s="4">
        <f>IFERROR(INDEX(参数!$D$5:$D$7,MATCH($N200,参数!$A$5:$A$7,0)),"")</f>
        <v>1.5</v>
      </c>
      <c r="AA200" s="4">
        <f>IFERROR(INDEX(楼层配置!$E$5:$E$104,MATCH($K200,楼层配置!$B$5:$B$104,0)),1)</f>
        <v>1</v>
      </c>
      <c r="AB200" s="4">
        <f>IFERROR(INDEX(楼层配置!$F$5:$F$104,MATCH($K200,楼层配置!$B$5:$B$104,0)),1)</f>
        <v>1</v>
      </c>
      <c r="AC200" s="4">
        <f>IFERROR(INDEX(楼层配置!$G$5:$G$104,MATCH($K200,楼层配置!$B$5:$B$104,0)),1)</f>
        <v>1</v>
      </c>
      <c r="AD200" s="6">
        <f t="shared" si="24"/>
        <v>1.19682833165474</v>
      </c>
      <c r="AE200" s="6">
        <f t="shared" si="25"/>
        <v>0.923650876279715</v>
      </c>
      <c r="AF200" s="6">
        <f t="shared" si="26"/>
        <v>1.09664620916248</v>
      </c>
      <c r="AG200" s="4" t="str">
        <f t="shared" si="27"/>
        <v>有效</v>
      </c>
    </row>
    <row r="201" ht="14.25" customHeight="1" spans="1:33">
      <c r="A201" s="4">
        <v>197</v>
      </c>
      <c r="B201" s="4">
        <v>1026</v>
      </c>
      <c r="C201" s="4">
        <v>30</v>
      </c>
      <c r="D201" s="5">
        <f>IFERROR(ROUND($U201*$X201*$AA201*参数!$B$13,0),"")</f>
        <v>1080428</v>
      </c>
      <c r="E201" s="5">
        <f>IFERROR(ROUND($V201*$Y201*$AB201*参数!$C$13,0),"")</f>
        <v>26607</v>
      </c>
      <c r="F201" s="5">
        <f>IFERROR(ROUND($W201*$Z201*$AC201*参数!$D$13,0),"")</f>
        <v>22547</v>
      </c>
      <c r="G201" s="4">
        <v>491812</v>
      </c>
      <c r="H201" s="4">
        <v>13831</v>
      </c>
      <c r="I201" s="4">
        <v>10754</v>
      </c>
      <c r="J201" s="4">
        <v>40</v>
      </c>
      <c r="K201" s="4">
        <v>40</v>
      </c>
      <c r="L201" s="4">
        <f>IFERROR(INDEX(楼层配置!$D$5:$D$104,MATCH($K201,楼层配置!$B$5:$B$104,0)),"")</f>
        <v>263</v>
      </c>
      <c r="M201" s="4" t="str">
        <f>IFERROR(INDEX(_角色基线!$B$2:$B$100,MATCH($B201,_角色基线!$A$2:$A$100,0)),"")</f>
        <v>乔一</v>
      </c>
      <c r="N201" s="4" t="str">
        <f>IFERROR(INDEX(_角色基线!$C$2:$C$100,MATCH($B201,_角色基线!$A$2:$A$100,0)),"")</f>
        <v>DPS</v>
      </c>
      <c r="O201" s="4">
        <f>IFERROR(INDEX(_怪物基线!$B$2:$B$501,MATCH(INT($L201),_怪物基线!$A$2:$A$501,0)),"")</f>
        <v>270107</v>
      </c>
      <c r="P201" s="4">
        <f>IFERROR(INDEX(_怪物基线!$C$2:$C$501,MATCH(INT($L201),_怪物基线!$A$2:$A$501,0)),"")</f>
        <v>18477</v>
      </c>
      <c r="Q201" s="4">
        <f>IFERROR(INDEX(_怪物基线!$D$2:$D$501,MATCH(INT($L201),_怪物基线!$A$2:$A$501,0)),"")</f>
        <v>22547</v>
      </c>
      <c r="R201" s="4">
        <f>参数!$B$10</f>
        <v>4</v>
      </c>
      <c r="S201" s="4">
        <f>参数!$C$10</f>
        <v>1.2</v>
      </c>
      <c r="T201" s="4">
        <f>参数!$D$10</f>
        <v>1</v>
      </c>
      <c r="U201" s="4">
        <f t="shared" si="21"/>
        <v>1080428</v>
      </c>
      <c r="V201" s="4">
        <f t="shared" si="22"/>
        <v>22172.4</v>
      </c>
      <c r="W201" s="4">
        <f t="shared" si="23"/>
        <v>22547</v>
      </c>
      <c r="X201" s="4">
        <f>IFERROR(INDEX(参数!$B$5:$B$7,MATCH($N201,参数!$A$5:$A$7,0)),"")</f>
        <v>1</v>
      </c>
      <c r="Y201" s="4">
        <f>IFERROR(INDEX(参数!$C$5:$C$7,MATCH($N201,参数!$A$5:$A$7,0)),"")</f>
        <v>1.2</v>
      </c>
      <c r="Z201" s="4">
        <f>IFERROR(INDEX(参数!$D$5:$D$7,MATCH($N201,参数!$A$5:$A$7,0)),"")</f>
        <v>1</v>
      </c>
      <c r="AA201" s="4">
        <f>IFERROR(INDEX(楼层配置!$E$5:$E$104,MATCH($K201,楼层配置!$B$5:$B$104,0)),1)</f>
        <v>1</v>
      </c>
      <c r="AB201" s="4">
        <f>IFERROR(INDEX(楼层配置!$F$5:$F$104,MATCH($K201,楼层配置!$B$5:$B$104,0)),1)</f>
        <v>1</v>
      </c>
      <c r="AC201" s="4">
        <f>IFERROR(INDEX(楼层配置!$G$5:$G$104,MATCH($K201,楼层配置!$B$5:$B$104,0)),1)</f>
        <v>1</v>
      </c>
      <c r="AD201" s="6">
        <f t="shared" si="24"/>
        <v>1.19683130952478</v>
      </c>
      <c r="AE201" s="6">
        <f t="shared" si="25"/>
        <v>0.923722073602776</v>
      </c>
      <c r="AF201" s="6">
        <f t="shared" si="26"/>
        <v>1.09661521294402</v>
      </c>
      <c r="AG201" s="4" t="str">
        <f t="shared" si="27"/>
        <v>有效</v>
      </c>
    </row>
    <row r="202" ht="14.25" customHeight="1" spans="1:33">
      <c r="A202" s="4">
        <v>198</v>
      </c>
      <c r="B202" s="4">
        <v>1029</v>
      </c>
      <c r="C202" s="4">
        <v>30</v>
      </c>
      <c r="D202" s="5">
        <f>IFERROR(ROUND($U202*$X202*$AA202*参数!$B$13,0),"")</f>
        <v>1350535</v>
      </c>
      <c r="E202" s="5">
        <f>IFERROR(ROUND($V202*$Y202*$AB202*参数!$C$13,0),"")</f>
        <v>22172</v>
      </c>
      <c r="F202" s="5">
        <f>IFERROR(ROUND($W202*$Z202*$AC202*参数!$D$13,0),"")</f>
        <v>28184</v>
      </c>
      <c r="G202" s="4">
        <v>614766</v>
      </c>
      <c r="H202" s="4">
        <v>11526</v>
      </c>
      <c r="I202" s="4">
        <v>13443</v>
      </c>
      <c r="J202" s="4">
        <v>40</v>
      </c>
      <c r="K202" s="4">
        <v>40</v>
      </c>
      <c r="L202" s="4">
        <f>IFERROR(INDEX(楼层配置!$D$5:$D$104,MATCH($K202,楼层配置!$B$5:$B$104,0)),"")</f>
        <v>263</v>
      </c>
      <c r="M202" s="4" t="str">
        <f>IFERROR(INDEX(_角色基线!$B$2:$B$100,MATCH($B202,_角色基线!$A$2:$A$100,0)),"")</f>
        <v>凯兰</v>
      </c>
      <c r="N202" s="4" t="str">
        <f>IFERROR(INDEX(_角色基线!$C$2:$C$100,MATCH($B202,_角色基线!$A$2:$A$100,0)),"")</f>
        <v>Support</v>
      </c>
      <c r="O202" s="4">
        <f>IFERROR(INDEX(_怪物基线!$B$2:$B$501,MATCH(INT($L202),_怪物基线!$A$2:$A$501,0)),"")</f>
        <v>270107</v>
      </c>
      <c r="P202" s="4">
        <f>IFERROR(INDEX(_怪物基线!$C$2:$C$501,MATCH(INT($L202),_怪物基线!$A$2:$A$501,0)),"")</f>
        <v>18477</v>
      </c>
      <c r="Q202" s="4">
        <f>IFERROR(INDEX(_怪物基线!$D$2:$D$501,MATCH(INT($L202),_怪物基线!$A$2:$A$501,0)),"")</f>
        <v>22547</v>
      </c>
      <c r="R202" s="4">
        <f>参数!$B$10</f>
        <v>4</v>
      </c>
      <c r="S202" s="4">
        <f>参数!$C$10</f>
        <v>1.2</v>
      </c>
      <c r="T202" s="4">
        <f>参数!$D$10</f>
        <v>1</v>
      </c>
      <c r="U202" s="4">
        <f t="shared" si="21"/>
        <v>1080428</v>
      </c>
      <c r="V202" s="4">
        <f t="shared" si="22"/>
        <v>22172.4</v>
      </c>
      <c r="W202" s="4">
        <f t="shared" si="23"/>
        <v>22547</v>
      </c>
      <c r="X202" s="4">
        <f>IFERROR(INDEX(参数!$B$5:$B$7,MATCH($N202,参数!$A$5:$A$7,0)),"")</f>
        <v>1.25</v>
      </c>
      <c r="Y202" s="4">
        <f>IFERROR(INDEX(参数!$C$5:$C$7,MATCH($N202,参数!$A$5:$A$7,0)),"")</f>
        <v>1</v>
      </c>
      <c r="Z202" s="4">
        <f>IFERROR(INDEX(参数!$D$5:$D$7,MATCH($N202,参数!$A$5:$A$7,0)),"")</f>
        <v>1.25</v>
      </c>
      <c r="AA202" s="4">
        <f>IFERROR(INDEX(楼层配置!$E$5:$E$104,MATCH($K202,楼层配置!$B$5:$B$104,0)),1)</f>
        <v>1</v>
      </c>
      <c r="AB202" s="4">
        <f>IFERROR(INDEX(楼层配置!$F$5:$F$104,MATCH($K202,楼层配置!$B$5:$B$104,0)),1)</f>
        <v>1</v>
      </c>
      <c r="AC202" s="4">
        <f>IFERROR(INDEX(楼层配置!$G$5:$G$104,MATCH($K202,楼层配置!$B$5:$B$104,0)),1)</f>
        <v>1</v>
      </c>
      <c r="AD202" s="6">
        <f t="shared" si="24"/>
        <v>1.1968277360817</v>
      </c>
      <c r="AE202" s="6">
        <f t="shared" si="25"/>
        <v>0.923650876279715</v>
      </c>
      <c r="AF202" s="6">
        <f t="shared" si="26"/>
        <v>1.09655582831213</v>
      </c>
      <c r="AG202" s="4" t="str">
        <f t="shared" si="27"/>
        <v>有效</v>
      </c>
    </row>
    <row r="203" ht="14.25" customHeight="1" spans="1:33">
      <c r="A203" s="4">
        <v>199</v>
      </c>
      <c r="B203" s="4">
        <v>1018</v>
      </c>
      <c r="C203" s="4">
        <v>30</v>
      </c>
      <c r="D203" s="5">
        <f>IFERROR(ROUND($U203*$X203*$AA203*参数!$B$13,0),"")</f>
        <v>1350535</v>
      </c>
      <c r="E203" s="5">
        <f>IFERROR(ROUND($V203*$Y203*$AB203*参数!$C$13,0),"")</f>
        <v>22172</v>
      </c>
      <c r="F203" s="5">
        <f>IFERROR(ROUND($W203*$Z203*$AC203*参数!$D$13,0),"")</f>
        <v>28184</v>
      </c>
      <c r="G203" s="4">
        <v>614766</v>
      </c>
      <c r="H203" s="4">
        <v>11526</v>
      </c>
      <c r="I203" s="4">
        <v>13443</v>
      </c>
      <c r="J203" s="4">
        <v>40</v>
      </c>
      <c r="K203" s="4">
        <v>40</v>
      </c>
      <c r="L203" s="4">
        <f>IFERROR(INDEX(楼层配置!$D$5:$D$104,MATCH($K203,楼层配置!$B$5:$B$104,0)),"")</f>
        <v>263</v>
      </c>
      <c r="M203" s="4" t="str">
        <f>IFERROR(INDEX(_角色基线!$B$2:$B$100,MATCH($B203,_角色基线!$A$2:$A$100,0)),"")</f>
        <v>埃莉诺</v>
      </c>
      <c r="N203" s="4" t="str">
        <f>IFERROR(INDEX(_角色基线!$C$2:$C$100,MATCH($B203,_角色基线!$A$2:$A$100,0)),"")</f>
        <v>Support</v>
      </c>
      <c r="O203" s="4">
        <f>IFERROR(INDEX(_怪物基线!$B$2:$B$501,MATCH(INT($L203),_怪物基线!$A$2:$A$501,0)),"")</f>
        <v>270107</v>
      </c>
      <c r="P203" s="4">
        <f>IFERROR(INDEX(_怪物基线!$C$2:$C$501,MATCH(INT($L203),_怪物基线!$A$2:$A$501,0)),"")</f>
        <v>18477</v>
      </c>
      <c r="Q203" s="4">
        <f>IFERROR(INDEX(_怪物基线!$D$2:$D$501,MATCH(INT($L203),_怪物基线!$A$2:$A$501,0)),"")</f>
        <v>22547</v>
      </c>
      <c r="R203" s="4">
        <f>参数!$B$10</f>
        <v>4</v>
      </c>
      <c r="S203" s="4">
        <f>参数!$C$10</f>
        <v>1.2</v>
      </c>
      <c r="T203" s="4">
        <f>参数!$D$10</f>
        <v>1</v>
      </c>
      <c r="U203" s="4">
        <f t="shared" si="21"/>
        <v>1080428</v>
      </c>
      <c r="V203" s="4">
        <f t="shared" si="22"/>
        <v>22172.4</v>
      </c>
      <c r="W203" s="4">
        <f t="shared" si="23"/>
        <v>22547</v>
      </c>
      <c r="X203" s="4">
        <f>IFERROR(INDEX(参数!$B$5:$B$7,MATCH($N203,参数!$A$5:$A$7,0)),"")</f>
        <v>1.25</v>
      </c>
      <c r="Y203" s="4">
        <f>IFERROR(INDEX(参数!$C$5:$C$7,MATCH($N203,参数!$A$5:$A$7,0)),"")</f>
        <v>1</v>
      </c>
      <c r="Z203" s="4">
        <f>IFERROR(INDEX(参数!$D$5:$D$7,MATCH($N203,参数!$A$5:$A$7,0)),"")</f>
        <v>1.25</v>
      </c>
      <c r="AA203" s="4">
        <f>IFERROR(INDEX(楼层配置!$E$5:$E$104,MATCH($K203,楼层配置!$B$5:$B$104,0)),1)</f>
        <v>1</v>
      </c>
      <c r="AB203" s="4">
        <f>IFERROR(INDEX(楼层配置!$F$5:$F$104,MATCH($K203,楼层配置!$B$5:$B$104,0)),1)</f>
        <v>1</v>
      </c>
      <c r="AC203" s="4">
        <f>IFERROR(INDEX(楼层配置!$G$5:$G$104,MATCH($K203,楼层配置!$B$5:$B$104,0)),1)</f>
        <v>1</v>
      </c>
      <c r="AD203" s="6">
        <f t="shared" si="24"/>
        <v>1.1968277360817</v>
      </c>
      <c r="AE203" s="6">
        <f t="shared" si="25"/>
        <v>0.923650876279715</v>
      </c>
      <c r="AF203" s="6">
        <f t="shared" si="26"/>
        <v>1.09655582831213</v>
      </c>
      <c r="AG203" s="4" t="str">
        <f t="shared" si="27"/>
        <v>有效</v>
      </c>
    </row>
    <row r="204" ht="14.25" customHeight="1" spans="1:33">
      <c r="A204" s="4">
        <v>200</v>
      </c>
      <c r="B204" s="4">
        <v>1012</v>
      </c>
      <c r="C204" s="4">
        <v>30</v>
      </c>
      <c r="D204" s="5">
        <f>IFERROR(ROUND($U204*$X204*$AA204*参数!$B$13,0),"")</f>
        <v>1350535</v>
      </c>
      <c r="E204" s="5">
        <f>IFERROR(ROUND($V204*$Y204*$AB204*参数!$C$13,0),"")</f>
        <v>22172</v>
      </c>
      <c r="F204" s="5">
        <f>IFERROR(ROUND($W204*$Z204*$AC204*参数!$D$13,0),"")</f>
        <v>28184</v>
      </c>
      <c r="G204" s="4">
        <v>614766</v>
      </c>
      <c r="H204" s="4">
        <v>11526</v>
      </c>
      <c r="I204" s="4">
        <v>13443</v>
      </c>
      <c r="J204" s="4">
        <v>40</v>
      </c>
      <c r="K204" s="4">
        <v>40</v>
      </c>
      <c r="L204" s="4">
        <f>IFERROR(INDEX(楼层配置!$D$5:$D$104,MATCH($K204,楼层配置!$B$5:$B$104,0)),"")</f>
        <v>263</v>
      </c>
      <c r="M204" s="4" t="str">
        <f>IFERROR(INDEX(_角色基线!$B$2:$B$100,MATCH($B204,_角色基线!$A$2:$A$100,0)),"")</f>
        <v>艾德琳</v>
      </c>
      <c r="N204" s="4" t="str">
        <f>IFERROR(INDEX(_角色基线!$C$2:$C$100,MATCH($B204,_角色基线!$A$2:$A$100,0)),"")</f>
        <v>Support</v>
      </c>
      <c r="O204" s="4">
        <f>IFERROR(INDEX(_怪物基线!$B$2:$B$501,MATCH(INT($L204),_怪物基线!$A$2:$A$501,0)),"")</f>
        <v>270107</v>
      </c>
      <c r="P204" s="4">
        <f>IFERROR(INDEX(_怪物基线!$C$2:$C$501,MATCH(INT($L204),_怪物基线!$A$2:$A$501,0)),"")</f>
        <v>18477</v>
      </c>
      <c r="Q204" s="4">
        <f>IFERROR(INDEX(_怪物基线!$D$2:$D$501,MATCH(INT($L204),_怪物基线!$A$2:$A$501,0)),"")</f>
        <v>22547</v>
      </c>
      <c r="R204" s="4">
        <f>参数!$B$10</f>
        <v>4</v>
      </c>
      <c r="S204" s="4">
        <f>参数!$C$10</f>
        <v>1.2</v>
      </c>
      <c r="T204" s="4">
        <f>参数!$D$10</f>
        <v>1</v>
      </c>
      <c r="U204" s="4">
        <f t="shared" si="21"/>
        <v>1080428</v>
      </c>
      <c r="V204" s="4">
        <f t="shared" si="22"/>
        <v>22172.4</v>
      </c>
      <c r="W204" s="4">
        <f t="shared" si="23"/>
        <v>22547</v>
      </c>
      <c r="X204" s="4">
        <f>IFERROR(INDEX(参数!$B$5:$B$7,MATCH($N204,参数!$A$5:$A$7,0)),"")</f>
        <v>1.25</v>
      </c>
      <c r="Y204" s="4">
        <f>IFERROR(INDEX(参数!$C$5:$C$7,MATCH($N204,参数!$A$5:$A$7,0)),"")</f>
        <v>1</v>
      </c>
      <c r="Z204" s="4">
        <f>IFERROR(INDEX(参数!$D$5:$D$7,MATCH($N204,参数!$A$5:$A$7,0)),"")</f>
        <v>1.25</v>
      </c>
      <c r="AA204" s="4">
        <f>IFERROR(INDEX(楼层配置!$E$5:$E$104,MATCH($K204,楼层配置!$B$5:$B$104,0)),1)</f>
        <v>1</v>
      </c>
      <c r="AB204" s="4">
        <f>IFERROR(INDEX(楼层配置!$F$5:$F$104,MATCH($K204,楼层配置!$B$5:$B$104,0)),1)</f>
        <v>1</v>
      </c>
      <c r="AC204" s="4">
        <f>IFERROR(INDEX(楼层配置!$G$5:$G$104,MATCH($K204,楼层配置!$B$5:$B$104,0)),1)</f>
        <v>1</v>
      </c>
      <c r="AD204" s="6">
        <f t="shared" si="24"/>
        <v>1.1968277360817</v>
      </c>
      <c r="AE204" s="6">
        <f t="shared" si="25"/>
        <v>0.923650876279715</v>
      </c>
      <c r="AF204" s="6">
        <f t="shared" si="26"/>
        <v>1.09655582831213</v>
      </c>
      <c r="AG204" s="4" t="str">
        <f t="shared" si="27"/>
        <v>有效</v>
      </c>
    </row>
    <row r="205" ht="14.25" customHeight="1" spans="1:33">
      <c r="A205" s="4">
        <v>201</v>
      </c>
      <c r="B205" s="4">
        <v>1030</v>
      </c>
      <c r="C205" s="4">
        <v>30</v>
      </c>
      <c r="D205" s="5">
        <f>IFERROR(ROUND($U205*$X205*$AA205*参数!$B$13,0),"")</f>
        <v>1669122</v>
      </c>
      <c r="E205" s="5">
        <f>IFERROR(ROUND($V205*$Y205*$AB205*参数!$C$13,0),"")</f>
        <v>22639</v>
      </c>
      <c r="F205" s="5">
        <f>IFERROR(ROUND($W205*$Z205*$AC205*参数!$D$13,0),"")</f>
        <v>34343</v>
      </c>
      <c r="G205" s="4">
        <v>776800</v>
      </c>
      <c r="H205" s="4">
        <v>11923</v>
      </c>
      <c r="I205" s="4">
        <v>16594</v>
      </c>
      <c r="J205" s="4">
        <v>41</v>
      </c>
      <c r="K205" s="4">
        <v>41</v>
      </c>
      <c r="L205" s="4">
        <f>IFERROR(INDEX(楼层配置!$D$5:$D$104,MATCH($K205,楼层配置!$B$5:$B$104,0)),"")</f>
        <v>266</v>
      </c>
      <c r="M205" s="4" t="str">
        <f>IFERROR(INDEX(_角色基线!$B$2:$B$100,MATCH($B205,_角色基线!$A$2:$A$100,0)),"")</f>
        <v>莫莉</v>
      </c>
      <c r="N205" s="4" t="str">
        <f>IFERROR(INDEX(_角色基线!$C$2:$C$100,MATCH($B205,_角色基线!$A$2:$A$100,0)),"")</f>
        <v>Tank</v>
      </c>
      <c r="O205" s="4">
        <f>IFERROR(INDEX(_怪物基线!$B$2:$B$501,MATCH(INT($L205),_怪物基线!$A$2:$A$501,0)),"")</f>
        <v>278187</v>
      </c>
      <c r="P205" s="4">
        <f>IFERROR(INDEX(_怪物基线!$C$2:$C$501,MATCH(INT($L205),_怪物基线!$A$2:$A$501,0)),"")</f>
        <v>18866</v>
      </c>
      <c r="Q205" s="4">
        <f>IFERROR(INDEX(_怪物基线!$D$2:$D$501,MATCH(INT($L205),_怪物基线!$A$2:$A$501,0)),"")</f>
        <v>22895</v>
      </c>
      <c r="R205" s="4">
        <f>参数!$B$10</f>
        <v>4</v>
      </c>
      <c r="S205" s="4">
        <f>参数!$C$10</f>
        <v>1.2</v>
      </c>
      <c r="T205" s="4">
        <f>参数!$D$10</f>
        <v>1</v>
      </c>
      <c r="U205" s="4">
        <f t="shared" si="21"/>
        <v>1112748</v>
      </c>
      <c r="V205" s="4">
        <f t="shared" si="22"/>
        <v>22639.2</v>
      </c>
      <c r="W205" s="4">
        <f t="shared" si="23"/>
        <v>22895</v>
      </c>
      <c r="X205" s="4">
        <f>IFERROR(INDEX(参数!$B$5:$B$7,MATCH($N205,参数!$A$5:$A$7,0)),"")</f>
        <v>1.5</v>
      </c>
      <c r="Y205" s="4">
        <f>IFERROR(INDEX(参数!$C$5:$C$7,MATCH($N205,参数!$A$5:$A$7,0)),"")</f>
        <v>1</v>
      </c>
      <c r="Z205" s="4">
        <f>IFERROR(INDEX(参数!$D$5:$D$7,MATCH($N205,参数!$A$5:$A$7,0)),"")</f>
        <v>1.5</v>
      </c>
      <c r="AA205" s="4">
        <f>IFERROR(INDEX(楼层配置!$E$5:$E$104,MATCH($K205,楼层配置!$B$5:$B$104,0)),1)</f>
        <v>1</v>
      </c>
      <c r="AB205" s="4">
        <f>IFERROR(INDEX(楼层配置!$F$5:$F$104,MATCH($K205,楼层配置!$B$5:$B$104,0)),1)</f>
        <v>1</v>
      </c>
      <c r="AC205" s="4">
        <f>IFERROR(INDEX(楼层配置!$G$5:$G$104,MATCH($K205,楼层配置!$B$5:$B$104,0)),1)</f>
        <v>1</v>
      </c>
      <c r="AD205" s="6">
        <f t="shared" si="24"/>
        <v>1.14871524201854</v>
      </c>
      <c r="AE205" s="6">
        <f t="shared" si="25"/>
        <v>0.898767088819928</v>
      </c>
      <c r="AF205" s="6">
        <f t="shared" si="26"/>
        <v>1.06960347113414</v>
      </c>
      <c r="AG205" s="4" t="str">
        <f t="shared" si="27"/>
        <v>有效</v>
      </c>
    </row>
    <row r="206" ht="14.25" customHeight="1" spans="1:33">
      <c r="A206" s="4">
        <v>202</v>
      </c>
      <c r="B206" s="4">
        <v>1002</v>
      </c>
      <c r="C206" s="4">
        <v>30</v>
      </c>
      <c r="D206" s="5">
        <f>IFERROR(ROUND($U206*$X206*$AA206*参数!$B$13,0),"")</f>
        <v>1669122</v>
      </c>
      <c r="E206" s="5">
        <f>IFERROR(ROUND($V206*$Y206*$AB206*参数!$C$13,0),"")</f>
        <v>22639</v>
      </c>
      <c r="F206" s="5">
        <f>IFERROR(ROUND($W206*$Z206*$AC206*参数!$D$13,0),"")</f>
        <v>34343</v>
      </c>
      <c r="G206" s="4">
        <v>776800</v>
      </c>
      <c r="H206" s="4">
        <v>11923</v>
      </c>
      <c r="I206" s="4">
        <v>16594</v>
      </c>
      <c r="J206" s="4">
        <v>41</v>
      </c>
      <c r="K206" s="4">
        <v>41</v>
      </c>
      <c r="L206" s="4">
        <f>IFERROR(INDEX(楼层配置!$D$5:$D$104,MATCH($K206,楼层配置!$B$5:$B$104,0)),"")</f>
        <v>266</v>
      </c>
      <c r="M206" s="4" t="str">
        <f>IFERROR(INDEX(_角色基线!$B$2:$B$100,MATCH($B206,_角色基线!$A$2:$A$100,0)),"")</f>
        <v>大暑</v>
      </c>
      <c r="N206" s="4" t="str">
        <f>IFERROR(INDEX(_角色基线!$C$2:$C$100,MATCH($B206,_角色基线!$A$2:$A$100,0)),"")</f>
        <v>Tank</v>
      </c>
      <c r="O206" s="4">
        <f>IFERROR(INDEX(_怪物基线!$B$2:$B$501,MATCH(INT($L206),_怪物基线!$A$2:$A$501,0)),"")</f>
        <v>278187</v>
      </c>
      <c r="P206" s="4">
        <f>IFERROR(INDEX(_怪物基线!$C$2:$C$501,MATCH(INT($L206),_怪物基线!$A$2:$A$501,0)),"")</f>
        <v>18866</v>
      </c>
      <c r="Q206" s="4">
        <f>IFERROR(INDEX(_怪物基线!$D$2:$D$501,MATCH(INT($L206),_怪物基线!$A$2:$A$501,0)),"")</f>
        <v>22895</v>
      </c>
      <c r="R206" s="4">
        <f>参数!$B$10</f>
        <v>4</v>
      </c>
      <c r="S206" s="4">
        <f>参数!$C$10</f>
        <v>1.2</v>
      </c>
      <c r="T206" s="4">
        <f>参数!$D$10</f>
        <v>1</v>
      </c>
      <c r="U206" s="4">
        <f t="shared" si="21"/>
        <v>1112748</v>
      </c>
      <c r="V206" s="4">
        <f t="shared" si="22"/>
        <v>22639.2</v>
      </c>
      <c r="W206" s="4">
        <f t="shared" si="23"/>
        <v>22895</v>
      </c>
      <c r="X206" s="4">
        <f>IFERROR(INDEX(参数!$B$5:$B$7,MATCH($N206,参数!$A$5:$A$7,0)),"")</f>
        <v>1.5</v>
      </c>
      <c r="Y206" s="4">
        <f>IFERROR(INDEX(参数!$C$5:$C$7,MATCH($N206,参数!$A$5:$A$7,0)),"")</f>
        <v>1</v>
      </c>
      <c r="Z206" s="4">
        <f>IFERROR(INDEX(参数!$D$5:$D$7,MATCH($N206,参数!$A$5:$A$7,0)),"")</f>
        <v>1.5</v>
      </c>
      <c r="AA206" s="4">
        <f>IFERROR(INDEX(楼层配置!$E$5:$E$104,MATCH($K206,楼层配置!$B$5:$B$104,0)),1)</f>
        <v>1</v>
      </c>
      <c r="AB206" s="4">
        <f>IFERROR(INDEX(楼层配置!$F$5:$F$104,MATCH($K206,楼层配置!$B$5:$B$104,0)),1)</f>
        <v>1</v>
      </c>
      <c r="AC206" s="4">
        <f>IFERROR(INDEX(楼层配置!$G$5:$G$104,MATCH($K206,楼层配置!$B$5:$B$104,0)),1)</f>
        <v>1</v>
      </c>
      <c r="AD206" s="6">
        <f t="shared" si="24"/>
        <v>1.14871524201854</v>
      </c>
      <c r="AE206" s="6">
        <f t="shared" si="25"/>
        <v>0.898767088819928</v>
      </c>
      <c r="AF206" s="6">
        <f t="shared" si="26"/>
        <v>1.06960347113414</v>
      </c>
      <c r="AG206" s="4" t="str">
        <f t="shared" si="27"/>
        <v>有效</v>
      </c>
    </row>
    <row r="207" ht="14.25" customHeight="1" spans="1:33">
      <c r="A207" s="4">
        <v>203</v>
      </c>
      <c r="B207" s="4">
        <v>1011</v>
      </c>
      <c r="C207" s="4">
        <v>30</v>
      </c>
      <c r="D207" s="5">
        <f>IFERROR(ROUND($U207*$X207*$AA207*参数!$B$13,0),"")</f>
        <v>1390935</v>
      </c>
      <c r="E207" s="5">
        <f>IFERROR(ROUND($V207*$Y207*$AB207*参数!$C$13,0),"")</f>
        <v>22639</v>
      </c>
      <c r="F207" s="5">
        <f>IFERROR(ROUND($W207*$Z207*$AC207*参数!$D$13,0),"")</f>
        <v>28619</v>
      </c>
      <c r="G207" s="4">
        <v>647334</v>
      </c>
      <c r="H207" s="4">
        <v>11923</v>
      </c>
      <c r="I207" s="4">
        <v>13829</v>
      </c>
      <c r="J207" s="4">
        <v>41</v>
      </c>
      <c r="K207" s="4">
        <v>41</v>
      </c>
      <c r="L207" s="4">
        <f>IFERROR(INDEX(楼层配置!$D$5:$D$104,MATCH($K207,楼层配置!$B$5:$B$104,0)),"")</f>
        <v>266</v>
      </c>
      <c r="M207" s="4" t="str">
        <f>IFERROR(INDEX(_角色基线!$B$2:$B$100,MATCH($B207,_角色基线!$A$2:$A$100,0)),"")</f>
        <v>陈双双</v>
      </c>
      <c r="N207" s="4" t="str">
        <f>IFERROR(INDEX(_角色基线!$C$2:$C$100,MATCH($B207,_角色基线!$A$2:$A$100,0)),"")</f>
        <v>Support</v>
      </c>
      <c r="O207" s="4">
        <f>IFERROR(INDEX(_怪物基线!$B$2:$B$501,MATCH(INT($L207),_怪物基线!$A$2:$A$501,0)),"")</f>
        <v>278187</v>
      </c>
      <c r="P207" s="4">
        <f>IFERROR(INDEX(_怪物基线!$C$2:$C$501,MATCH(INT($L207),_怪物基线!$A$2:$A$501,0)),"")</f>
        <v>18866</v>
      </c>
      <c r="Q207" s="4">
        <f>IFERROR(INDEX(_怪物基线!$D$2:$D$501,MATCH(INT($L207),_怪物基线!$A$2:$A$501,0)),"")</f>
        <v>22895</v>
      </c>
      <c r="R207" s="4">
        <f>参数!$B$10</f>
        <v>4</v>
      </c>
      <c r="S207" s="4">
        <f>参数!$C$10</f>
        <v>1.2</v>
      </c>
      <c r="T207" s="4">
        <f>参数!$D$10</f>
        <v>1</v>
      </c>
      <c r="U207" s="4">
        <f t="shared" si="21"/>
        <v>1112748</v>
      </c>
      <c r="V207" s="4">
        <f t="shared" si="22"/>
        <v>22639.2</v>
      </c>
      <c r="W207" s="4">
        <f t="shared" si="23"/>
        <v>22895</v>
      </c>
      <c r="X207" s="4">
        <f>IFERROR(INDEX(参数!$B$5:$B$7,MATCH($N207,参数!$A$5:$A$7,0)),"")</f>
        <v>1.25</v>
      </c>
      <c r="Y207" s="4">
        <f>IFERROR(INDEX(参数!$C$5:$C$7,MATCH($N207,参数!$A$5:$A$7,0)),"")</f>
        <v>1</v>
      </c>
      <c r="Z207" s="4">
        <f>IFERROR(INDEX(参数!$D$5:$D$7,MATCH($N207,参数!$A$5:$A$7,0)),"")</f>
        <v>1.25</v>
      </c>
      <c r="AA207" s="4">
        <f>IFERROR(INDEX(楼层配置!$E$5:$E$104,MATCH($K207,楼层配置!$B$5:$B$104,0)),1)</f>
        <v>1</v>
      </c>
      <c r="AB207" s="4">
        <f>IFERROR(INDEX(楼层配置!$F$5:$F$104,MATCH($K207,楼层配置!$B$5:$B$104,0)),1)</f>
        <v>1</v>
      </c>
      <c r="AC207" s="4">
        <f>IFERROR(INDEX(楼层配置!$G$5:$G$104,MATCH($K207,楼层配置!$B$5:$B$104,0)),1)</f>
        <v>1</v>
      </c>
      <c r="AD207" s="6">
        <f t="shared" si="24"/>
        <v>1.14871302913179</v>
      </c>
      <c r="AE207" s="6">
        <f t="shared" si="25"/>
        <v>0.898767088819928</v>
      </c>
      <c r="AF207" s="6">
        <f t="shared" si="26"/>
        <v>1.06949164798612</v>
      </c>
      <c r="AG207" s="4" t="str">
        <f t="shared" si="27"/>
        <v>有效</v>
      </c>
    </row>
    <row r="208" ht="14.25" customHeight="1" spans="1:33">
      <c r="A208" s="4">
        <v>204</v>
      </c>
      <c r="B208" s="4">
        <v>1021</v>
      </c>
      <c r="C208" s="4">
        <v>30</v>
      </c>
      <c r="D208" s="5">
        <f>IFERROR(ROUND($U208*$X208*$AA208*参数!$B$13,0),"")</f>
        <v>1112748</v>
      </c>
      <c r="E208" s="5">
        <f>IFERROR(ROUND($V208*$Y208*$AB208*参数!$C$13,0),"")</f>
        <v>27167</v>
      </c>
      <c r="F208" s="5">
        <f>IFERROR(ROUND($W208*$Z208*$AC208*参数!$D$13,0),"")</f>
        <v>22895</v>
      </c>
      <c r="G208" s="4">
        <v>517867</v>
      </c>
      <c r="H208" s="4">
        <v>14307</v>
      </c>
      <c r="I208" s="4">
        <v>11063</v>
      </c>
      <c r="J208" s="4">
        <v>41</v>
      </c>
      <c r="K208" s="4">
        <v>41</v>
      </c>
      <c r="L208" s="4">
        <f>IFERROR(INDEX(楼层配置!$D$5:$D$104,MATCH($K208,楼层配置!$B$5:$B$104,0)),"")</f>
        <v>266</v>
      </c>
      <c r="M208" s="4" t="str">
        <f>IFERROR(INDEX(_角色基线!$B$2:$B$100,MATCH($B208,_角色基线!$A$2:$A$100,0)),"")</f>
        <v>梅梅</v>
      </c>
      <c r="N208" s="4" t="str">
        <f>IFERROR(INDEX(_角色基线!$C$2:$C$100,MATCH($B208,_角色基线!$A$2:$A$100,0)),"")</f>
        <v>DPS</v>
      </c>
      <c r="O208" s="4">
        <f>IFERROR(INDEX(_怪物基线!$B$2:$B$501,MATCH(INT($L208),_怪物基线!$A$2:$A$501,0)),"")</f>
        <v>278187</v>
      </c>
      <c r="P208" s="4">
        <f>IFERROR(INDEX(_怪物基线!$C$2:$C$501,MATCH(INT($L208),_怪物基线!$A$2:$A$501,0)),"")</f>
        <v>18866</v>
      </c>
      <c r="Q208" s="4">
        <f>IFERROR(INDEX(_怪物基线!$D$2:$D$501,MATCH(INT($L208),_怪物基线!$A$2:$A$501,0)),"")</f>
        <v>22895</v>
      </c>
      <c r="R208" s="4">
        <f>参数!$B$10</f>
        <v>4</v>
      </c>
      <c r="S208" s="4">
        <f>参数!$C$10</f>
        <v>1.2</v>
      </c>
      <c r="T208" s="4">
        <f>参数!$D$10</f>
        <v>1</v>
      </c>
      <c r="U208" s="4">
        <f t="shared" si="21"/>
        <v>1112748</v>
      </c>
      <c r="V208" s="4">
        <f t="shared" si="22"/>
        <v>22639.2</v>
      </c>
      <c r="W208" s="4">
        <f t="shared" si="23"/>
        <v>22895</v>
      </c>
      <c r="X208" s="4">
        <f>IFERROR(INDEX(参数!$B$5:$B$7,MATCH($N208,参数!$A$5:$A$7,0)),"")</f>
        <v>1</v>
      </c>
      <c r="Y208" s="4">
        <f>IFERROR(INDEX(参数!$C$5:$C$7,MATCH($N208,参数!$A$5:$A$7,0)),"")</f>
        <v>1.2</v>
      </c>
      <c r="Z208" s="4">
        <f>IFERROR(INDEX(参数!$D$5:$D$7,MATCH($N208,参数!$A$5:$A$7,0)),"")</f>
        <v>1</v>
      </c>
      <c r="AA208" s="4">
        <f>IFERROR(INDEX(楼层配置!$E$5:$E$104,MATCH($K208,楼层配置!$B$5:$B$104,0)),1)</f>
        <v>1</v>
      </c>
      <c r="AB208" s="4">
        <f>IFERROR(INDEX(楼层配置!$F$5:$F$104,MATCH($K208,楼层配置!$B$5:$B$104,0)),1)</f>
        <v>1</v>
      </c>
      <c r="AC208" s="4">
        <f>IFERROR(INDEX(楼层配置!$G$5:$G$104,MATCH($K208,楼层配置!$B$5:$B$104,0)),1)</f>
        <v>1</v>
      </c>
      <c r="AD208" s="6">
        <f t="shared" si="24"/>
        <v>1.14871385896379</v>
      </c>
      <c r="AE208" s="6">
        <f t="shared" si="25"/>
        <v>0.898860697560635</v>
      </c>
      <c r="AF208" s="6">
        <f t="shared" si="26"/>
        <v>1.06951098255446</v>
      </c>
      <c r="AG208" s="4" t="str">
        <f t="shared" si="27"/>
        <v>有效</v>
      </c>
    </row>
    <row r="209" ht="14.25" customHeight="1" spans="1:33">
      <c r="A209" s="4">
        <v>205</v>
      </c>
      <c r="B209" s="4">
        <v>1015</v>
      </c>
      <c r="C209" s="4">
        <v>30</v>
      </c>
      <c r="D209" s="5">
        <f>IFERROR(ROUND($U209*$X209*$AA209*参数!$B$13,0),"")</f>
        <v>1390935</v>
      </c>
      <c r="E209" s="5">
        <f>IFERROR(ROUND($V209*$Y209*$AB209*参数!$C$13,0),"")</f>
        <v>22639</v>
      </c>
      <c r="F209" s="5">
        <f>IFERROR(ROUND($W209*$Z209*$AC209*参数!$D$13,0),"")</f>
        <v>28619</v>
      </c>
      <c r="G209" s="4">
        <v>647334</v>
      </c>
      <c r="H209" s="4">
        <v>11923</v>
      </c>
      <c r="I209" s="4">
        <v>13829</v>
      </c>
      <c r="J209" s="4">
        <v>41</v>
      </c>
      <c r="K209" s="4">
        <v>41</v>
      </c>
      <c r="L209" s="4">
        <f>IFERROR(INDEX(楼层配置!$D$5:$D$104,MATCH($K209,楼层配置!$B$5:$B$104,0)),"")</f>
        <v>266</v>
      </c>
      <c r="M209" s="4" t="str">
        <f>IFERROR(INDEX(_角色基线!$B$2:$B$100,MATCH($B209,_角色基线!$A$2:$A$100,0)),"")</f>
        <v>阿莱克西娅</v>
      </c>
      <c r="N209" s="4" t="str">
        <f>IFERROR(INDEX(_角色基线!$C$2:$C$100,MATCH($B209,_角色基线!$A$2:$A$100,0)),"")</f>
        <v>Support</v>
      </c>
      <c r="O209" s="4">
        <f>IFERROR(INDEX(_怪物基线!$B$2:$B$501,MATCH(INT($L209),_怪物基线!$A$2:$A$501,0)),"")</f>
        <v>278187</v>
      </c>
      <c r="P209" s="4">
        <f>IFERROR(INDEX(_怪物基线!$C$2:$C$501,MATCH(INT($L209),_怪物基线!$A$2:$A$501,0)),"")</f>
        <v>18866</v>
      </c>
      <c r="Q209" s="4">
        <f>IFERROR(INDEX(_怪物基线!$D$2:$D$501,MATCH(INT($L209),_怪物基线!$A$2:$A$501,0)),"")</f>
        <v>22895</v>
      </c>
      <c r="R209" s="4">
        <f>参数!$B$10</f>
        <v>4</v>
      </c>
      <c r="S209" s="4">
        <f>参数!$C$10</f>
        <v>1.2</v>
      </c>
      <c r="T209" s="4">
        <f>参数!$D$10</f>
        <v>1</v>
      </c>
      <c r="U209" s="4">
        <f t="shared" si="21"/>
        <v>1112748</v>
      </c>
      <c r="V209" s="4">
        <f t="shared" si="22"/>
        <v>22639.2</v>
      </c>
      <c r="W209" s="4">
        <f t="shared" si="23"/>
        <v>22895</v>
      </c>
      <c r="X209" s="4">
        <f>IFERROR(INDEX(参数!$B$5:$B$7,MATCH($N209,参数!$A$5:$A$7,0)),"")</f>
        <v>1.25</v>
      </c>
      <c r="Y209" s="4">
        <f>IFERROR(INDEX(参数!$C$5:$C$7,MATCH($N209,参数!$A$5:$A$7,0)),"")</f>
        <v>1</v>
      </c>
      <c r="Z209" s="4">
        <f>IFERROR(INDEX(参数!$D$5:$D$7,MATCH($N209,参数!$A$5:$A$7,0)),"")</f>
        <v>1.25</v>
      </c>
      <c r="AA209" s="4">
        <f>IFERROR(INDEX(楼层配置!$E$5:$E$104,MATCH($K209,楼层配置!$B$5:$B$104,0)),1)</f>
        <v>1</v>
      </c>
      <c r="AB209" s="4">
        <f>IFERROR(INDEX(楼层配置!$F$5:$F$104,MATCH($K209,楼层配置!$B$5:$B$104,0)),1)</f>
        <v>1</v>
      </c>
      <c r="AC209" s="4">
        <f>IFERROR(INDEX(楼层配置!$G$5:$G$104,MATCH($K209,楼层配置!$B$5:$B$104,0)),1)</f>
        <v>1</v>
      </c>
      <c r="AD209" s="6">
        <f t="shared" si="24"/>
        <v>1.14871302913179</v>
      </c>
      <c r="AE209" s="6">
        <f t="shared" si="25"/>
        <v>0.898767088819928</v>
      </c>
      <c r="AF209" s="6">
        <f t="shared" si="26"/>
        <v>1.06949164798612</v>
      </c>
      <c r="AG209" s="4" t="str">
        <f t="shared" si="27"/>
        <v>有效</v>
      </c>
    </row>
    <row r="210" ht="14.25" customHeight="1" spans="1:33">
      <c r="A210" s="4">
        <v>206</v>
      </c>
      <c r="B210" s="4">
        <v>1002</v>
      </c>
      <c r="C210" s="4">
        <v>31</v>
      </c>
      <c r="D210" s="5">
        <f>IFERROR(ROUND($U210*$X210*$AA210*参数!$B$13,0),"")</f>
        <v>1769238</v>
      </c>
      <c r="E210" s="5">
        <f>IFERROR(ROUND($V210*$Y210*$AB210*参数!$C$13,0),"")</f>
        <v>23596</v>
      </c>
      <c r="F210" s="5">
        <f>IFERROR(ROUND($W210*$Z210*$AC210*参数!$D$13,0),"")</f>
        <v>35396</v>
      </c>
      <c r="G210" s="4">
        <v>817329</v>
      </c>
      <c r="H210" s="4">
        <v>12328</v>
      </c>
      <c r="I210" s="4">
        <v>17062</v>
      </c>
      <c r="J210" s="4">
        <v>42</v>
      </c>
      <c r="K210" s="4">
        <v>42</v>
      </c>
      <c r="L210" s="4">
        <f>IFERROR(INDEX(楼层配置!$D$5:$D$104,MATCH($K210,楼层配置!$B$5:$B$104,0)),"")</f>
        <v>272</v>
      </c>
      <c r="M210" s="4" t="str">
        <f>IFERROR(INDEX(_角色基线!$B$2:$B$100,MATCH($B210,_角色基线!$A$2:$A$100,0)),"")</f>
        <v>大暑</v>
      </c>
      <c r="N210" s="4" t="str">
        <f>IFERROR(INDEX(_角色基线!$C$2:$C$100,MATCH($B210,_角色基线!$A$2:$A$100,0)),"")</f>
        <v>Tank</v>
      </c>
      <c r="O210" s="4">
        <f>IFERROR(INDEX(_怪物基线!$B$2:$B$501,MATCH(INT($L210),_怪物基线!$A$2:$A$501,0)),"")</f>
        <v>294873</v>
      </c>
      <c r="P210" s="4">
        <f>IFERROR(INDEX(_怪物基线!$C$2:$C$501,MATCH(INT($L210),_怪物基线!$A$2:$A$501,0)),"")</f>
        <v>19663</v>
      </c>
      <c r="Q210" s="4">
        <f>IFERROR(INDEX(_怪物基线!$D$2:$D$501,MATCH(INT($L210),_怪物基线!$A$2:$A$501,0)),"")</f>
        <v>23597</v>
      </c>
      <c r="R210" s="4">
        <f>参数!$B$10</f>
        <v>4</v>
      </c>
      <c r="S210" s="4">
        <f>参数!$C$10</f>
        <v>1.2</v>
      </c>
      <c r="T210" s="4">
        <f>参数!$D$10</f>
        <v>1</v>
      </c>
      <c r="U210" s="4">
        <f t="shared" si="21"/>
        <v>1179492</v>
      </c>
      <c r="V210" s="4">
        <f t="shared" si="22"/>
        <v>23595.6</v>
      </c>
      <c r="W210" s="4">
        <f t="shared" si="23"/>
        <v>23597</v>
      </c>
      <c r="X210" s="4">
        <f>IFERROR(INDEX(参数!$B$5:$B$7,MATCH($N210,参数!$A$5:$A$7,0)),"")</f>
        <v>1.5</v>
      </c>
      <c r="Y210" s="4">
        <f>IFERROR(INDEX(参数!$C$5:$C$7,MATCH($N210,参数!$A$5:$A$7,0)),"")</f>
        <v>1</v>
      </c>
      <c r="Z210" s="4">
        <f>IFERROR(INDEX(参数!$D$5:$D$7,MATCH($N210,参数!$A$5:$A$7,0)),"")</f>
        <v>1.5</v>
      </c>
      <c r="AA210" s="4">
        <f>IFERROR(INDEX(楼层配置!$E$5:$E$104,MATCH($K210,楼层配置!$B$5:$B$104,0)),1)</f>
        <v>1</v>
      </c>
      <c r="AB210" s="4">
        <f>IFERROR(INDEX(楼层配置!$F$5:$F$104,MATCH($K210,楼层配置!$B$5:$B$104,0)),1)</f>
        <v>1</v>
      </c>
      <c r="AC210" s="4">
        <f>IFERROR(INDEX(楼层配置!$G$5:$G$104,MATCH($K210,楼层配置!$B$5:$B$104,0)),1)</f>
        <v>1</v>
      </c>
      <c r="AD210" s="6">
        <f t="shared" si="24"/>
        <v>1.16465829549667</v>
      </c>
      <c r="AE210" s="6">
        <f t="shared" si="25"/>
        <v>0.914016872160935</v>
      </c>
      <c r="AF210" s="6">
        <f t="shared" si="26"/>
        <v>1.07455163521275</v>
      </c>
      <c r="AG210" s="4" t="str">
        <f t="shared" si="27"/>
        <v>有效</v>
      </c>
    </row>
    <row r="211" ht="14.25" customHeight="1" spans="1:33">
      <c r="A211" s="4">
        <v>207</v>
      </c>
      <c r="B211" s="4">
        <v>1011</v>
      </c>
      <c r="C211" s="4">
        <v>31</v>
      </c>
      <c r="D211" s="5">
        <f>IFERROR(ROUND($U211*$X211*$AA211*参数!$B$13,0),"")</f>
        <v>1474365</v>
      </c>
      <c r="E211" s="5">
        <f>IFERROR(ROUND($V211*$Y211*$AB211*参数!$C$13,0),"")</f>
        <v>23596</v>
      </c>
      <c r="F211" s="5">
        <f>IFERROR(ROUND($W211*$Z211*$AC211*参数!$D$13,0),"")</f>
        <v>29496</v>
      </c>
      <c r="G211" s="4">
        <v>681108</v>
      </c>
      <c r="H211" s="4">
        <v>12328</v>
      </c>
      <c r="I211" s="4">
        <v>14219</v>
      </c>
      <c r="J211" s="4">
        <v>42</v>
      </c>
      <c r="K211" s="4">
        <v>42</v>
      </c>
      <c r="L211" s="4">
        <f>IFERROR(INDEX(楼层配置!$D$5:$D$104,MATCH($K211,楼层配置!$B$5:$B$104,0)),"")</f>
        <v>272</v>
      </c>
      <c r="M211" s="4" t="str">
        <f>IFERROR(INDEX(_角色基线!$B$2:$B$100,MATCH($B211,_角色基线!$A$2:$A$100,0)),"")</f>
        <v>陈双双</v>
      </c>
      <c r="N211" s="4" t="str">
        <f>IFERROR(INDEX(_角色基线!$C$2:$C$100,MATCH($B211,_角色基线!$A$2:$A$100,0)),"")</f>
        <v>Support</v>
      </c>
      <c r="O211" s="4">
        <f>IFERROR(INDEX(_怪物基线!$B$2:$B$501,MATCH(INT($L211),_怪物基线!$A$2:$A$501,0)),"")</f>
        <v>294873</v>
      </c>
      <c r="P211" s="4">
        <f>IFERROR(INDEX(_怪物基线!$C$2:$C$501,MATCH(INT($L211),_怪物基线!$A$2:$A$501,0)),"")</f>
        <v>19663</v>
      </c>
      <c r="Q211" s="4">
        <f>IFERROR(INDEX(_怪物基线!$D$2:$D$501,MATCH(INT($L211),_怪物基线!$A$2:$A$501,0)),"")</f>
        <v>23597</v>
      </c>
      <c r="R211" s="4">
        <f>参数!$B$10</f>
        <v>4</v>
      </c>
      <c r="S211" s="4">
        <f>参数!$C$10</f>
        <v>1.2</v>
      </c>
      <c r="T211" s="4">
        <f>参数!$D$10</f>
        <v>1</v>
      </c>
      <c r="U211" s="4">
        <f t="shared" si="21"/>
        <v>1179492</v>
      </c>
      <c r="V211" s="4">
        <f t="shared" si="22"/>
        <v>23595.6</v>
      </c>
      <c r="W211" s="4">
        <f t="shared" si="23"/>
        <v>23597</v>
      </c>
      <c r="X211" s="4">
        <f>IFERROR(INDEX(参数!$B$5:$B$7,MATCH($N211,参数!$A$5:$A$7,0)),"")</f>
        <v>1.25</v>
      </c>
      <c r="Y211" s="4">
        <f>IFERROR(INDEX(参数!$C$5:$C$7,MATCH($N211,参数!$A$5:$A$7,0)),"")</f>
        <v>1</v>
      </c>
      <c r="Z211" s="4">
        <f>IFERROR(INDEX(参数!$D$5:$D$7,MATCH($N211,参数!$A$5:$A$7,0)),"")</f>
        <v>1.25</v>
      </c>
      <c r="AA211" s="4">
        <f>IFERROR(INDEX(楼层配置!$E$5:$E$104,MATCH($K211,楼层配置!$B$5:$B$104,0)),1)</f>
        <v>1</v>
      </c>
      <c r="AB211" s="4">
        <f>IFERROR(INDEX(楼层配置!$F$5:$F$104,MATCH($K211,楼层配置!$B$5:$B$104,0)),1)</f>
        <v>1</v>
      </c>
      <c r="AC211" s="4">
        <f>IFERROR(INDEX(楼层配置!$G$5:$G$104,MATCH($K211,楼层配置!$B$5:$B$104,0)),1)</f>
        <v>1</v>
      </c>
      <c r="AD211" s="6">
        <f t="shared" si="24"/>
        <v>1.16465670642541</v>
      </c>
      <c r="AE211" s="6">
        <f t="shared" si="25"/>
        <v>0.914016872160935</v>
      </c>
      <c r="AF211" s="6">
        <f t="shared" si="26"/>
        <v>1.07440748294535</v>
      </c>
      <c r="AG211" s="4" t="str">
        <f t="shared" si="27"/>
        <v>有效</v>
      </c>
    </row>
    <row r="212" ht="14.25" customHeight="1" spans="1:33">
      <c r="A212" s="4">
        <v>208</v>
      </c>
      <c r="B212" s="4">
        <v>1021</v>
      </c>
      <c r="C212" s="4">
        <v>31</v>
      </c>
      <c r="D212" s="5">
        <f>IFERROR(ROUND($U212*$X212*$AA212*参数!$B$13,0),"")</f>
        <v>1179492</v>
      </c>
      <c r="E212" s="5">
        <f>IFERROR(ROUND($V212*$Y212*$AB212*参数!$C$13,0),"")</f>
        <v>28315</v>
      </c>
      <c r="F212" s="5">
        <f>IFERROR(ROUND($W212*$Z212*$AC212*参数!$D$13,0),"")</f>
        <v>23597</v>
      </c>
      <c r="G212" s="4">
        <v>544886</v>
      </c>
      <c r="H212" s="4">
        <v>14793</v>
      </c>
      <c r="I212" s="4">
        <v>11375</v>
      </c>
      <c r="J212" s="4">
        <v>42</v>
      </c>
      <c r="K212" s="4">
        <v>42</v>
      </c>
      <c r="L212" s="4">
        <f>IFERROR(INDEX(楼层配置!$D$5:$D$104,MATCH($K212,楼层配置!$B$5:$B$104,0)),"")</f>
        <v>272</v>
      </c>
      <c r="M212" s="4" t="str">
        <f>IFERROR(INDEX(_角色基线!$B$2:$B$100,MATCH($B212,_角色基线!$A$2:$A$100,0)),"")</f>
        <v>梅梅</v>
      </c>
      <c r="N212" s="4" t="str">
        <f>IFERROR(INDEX(_角色基线!$C$2:$C$100,MATCH($B212,_角色基线!$A$2:$A$100,0)),"")</f>
        <v>DPS</v>
      </c>
      <c r="O212" s="4">
        <f>IFERROR(INDEX(_怪物基线!$B$2:$B$501,MATCH(INT($L212),_怪物基线!$A$2:$A$501,0)),"")</f>
        <v>294873</v>
      </c>
      <c r="P212" s="4">
        <f>IFERROR(INDEX(_怪物基线!$C$2:$C$501,MATCH(INT($L212),_怪物基线!$A$2:$A$501,0)),"")</f>
        <v>19663</v>
      </c>
      <c r="Q212" s="4">
        <f>IFERROR(INDEX(_怪物基线!$D$2:$D$501,MATCH(INT($L212),_怪物基线!$A$2:$A$501,0)),"")</f>
        <v>23597</v>
      </c>
      <c r="R212" s="4">
        <f>参数!$B$10</f>
        <v>4</v>
      </c>
      <c r="S212" s="4">
        <f>参数!$C$10</f>
        <v>1.2</v>
      </c>
      <c r="T212" s="4">
        <f>参数!$D$10</f>
        <v>1</v>
      </c>
      <c r="U212" s="4">
        <f t="shared" si="21"/>
        <v>1179492</v>
      </c>
      <c r="V212" s="4">
        <f t="shared" si="22"/>
        <v>23595.6</v>
      </c>
      <c r="W212" s="4">
        <f t="shared" si="23"/>
        <v>23597</v>
      </c>
      <c r="X212" s="4">
        <f>IFERROR(INDEX(参数!$B$5:$B$7,MATCH($N212,参数!$A$5:$A$7,0)),"")</f>
        <v>1</v>
      </c>
      <c r="Y212" s="4">
        <f>IFERROR(INDEX(参数!$C$5:$C$7,MATCH($N212,参数!$A$5:$A$7,0)),"")</f>
        <v>1.2</v>
      </c>
      <c r="Z212" s="4">
        <f>IFERROR(INDEX(参数!$D$5:$D$7,MATCH($N212,参数!$A$5:$A$7,0)),"")</f>
        <v>1</v>
      </c>
      <c r="AA212" s="4">
        <f>IFERROR(INDEX(楼层配置!$E$5:$E$104,MATCH($K212,楼层配置!$B$5:$B$104,0)),1)</f>
        <v>1</v>
      </c>
      <c r="AB212" s="4">
        <f>IFERROR(INDEX(楼层配置!$F$5:$F$104,MATCH($K212,楼层配置!$B$5:$B$104,0)),1)</f>
        <v>1</v>
      </c>
      <c r="AC212" s="4">
        <f>IFERROR(INDEX(楼层配置!$G$5:$G$104,MATCH($K212,楼层配置!$B$5:$B$104,0)),1)</f>
        <v>1</v>
      </c>
      <c r="AD212" s="6">
        <f t="shared" si="24"/>
        <v>1.16465829549667</v>
      </c>
      <c r="AE212" s="6">
        <f t="shared" si="25"/>
        <v>0.914080984249307</v>
      </c>
      <c r="AF212" s="6">
        <f t="shared" si="26"/>
        <v>1.07446153846154</v>
      </c>
      <c r="AG212" s="4" t="str">
        <f t="shared" si="27"/>
        <v>有效</v>
      </c>
    </row>
    <row r="213" ht="14.25" customHeight="1" spans="1:33">
      <c r="A213" s="4">
        <v>209</v>
      </c>
      <c r="B213" s="4">
        <v>1040</v>
      </c>
      <c r="C213" s="4">
        <v>31</v>
      </c>
      <c r="D213" s="5">
        <f>IFERROR(ROUND($U213*$X213*$AA213*参数!$B$13,0),"")</f>
        <v>1474365</v>
      </c>
      <c r="E213" s="5">
        <f>IFERROR(ROUND($V213*$Y213*$AB213*参数!$C$13,0),"")</f>
        <v>23596</v>
      </c>
      <c r="F213" s="5">
        <f>IFERROR(ROUND($W213*$Z213*$AC213*参数!$D$13,0),"")</f>
        <v>29496</v>
      </c>
      <c r="G213" s="4">
        <v>681108</v>
      </c>
      <c r="H213" s="4">
        <v>12328</v>
      </c>
      <c r="I213" s="4">
        <v>14219</v>
      </c>
      <c r="J213" s="4">
        <v>42</v>
      </c>
      <c r="K213" s="4">
        <v>42</v>
      </c>
      <c r="L213" s="4">
        <f>IFERROR(INDEX(楼层配置!$D$5:$D$104,MATCH($K213,楼层配置!$B$5:$B$104,0)),"")</f>
        <v>272</v>
      </c>
      <c r="M213" s="4" t="str">
        <f>IFERROR(INDEX(_角色基线!$B$2:$B$100,MATCH($B213,_角色基线!$A$2:$A$100,0)),"")</f>
        <v>小寒</v>
      </c>
      <c r="N213" s="4" t="str">
        <f>IFERROR(INDEX(_角色基线!$C$2:$C$100,MATCH($B213,_角色基线!$A$2:$A$100,0)),"")</f>
        <v>Support</v>
      </c>
      <c r="O213" s="4">
        <f>IFERROR(INDEX(_怪物基线!$B$2:$B$501,MATCH(INT($L213),_怪物基线!$A$2:$A$501,0)),"")</f>
        <v>294873</v>
      </c>
      <c r="P213" s="4">
        <f>IFERROR(INDEX(_怪物基线!$C$2:$C$501,MATCH(INT($L213),_怪物基线!$A$2:$A$501,0)),"")</f>
        <v>19663</v>
      </c>
      <c r="Q213" s="4">
        <f>IFERROR(INDEX(_怪物基线!$D$2:$D$501,MATCH(INT($L213),_怪物基线!$A$2:$A$501,0)),"")</f>
        <v>23597</v>
      </c>
      <c r="R213" s="4">
        <f>参数!$B$10</f>
        <v>4</v>
      </c>
      <c r="S213" s="4">
        <f>参数!$C$10</f>
        <v>1.2</v>
      </c>
      <c r="T213" s="4">
        <f>参数!$D$10</f>
        <v>1</v>
      </c>
      <c r="U213" s="4">
        <f t="shared" si="21"/>
        <v>1179492</v>
      </c>
      <c r="V213" s="4">
        <f t="shared" si="22"/>
        <v>23595.6</v>
      </c>
      <c r="W213" s="4">
        <f t="shared" si="23"/>
        <v>23597</v>
      </c>
      <c r="X213" s="4">
        <f>IFERROR(INDEX(参数!$B$5:$B$7,MATCH($N213,参数!$A$5:$A$7,0)),"")</f>
        <v>1.25</v>
      </c>
      <c r="Y213" s="4">
        <f>IFERROR(INDEX(参数!$C$5:$C$7,MATCH($N213,参数!$A$5:$A$7,0)),"")</f>
        <v>1</v>
      </c>
      <c r="Z213" s="4">
        <f>IFERROR(INDEX(参数!$D$5:$D$7,MATCH($N213,参数!$A$5:$A$7,0)),"")</f>
        <v>1.25</v>
      </c>
      <c r="AA213" s="4">
        <f>IFERROR(INDEX(楼层配置!$E$5:$E$104,MATCH($K213,楼层配置!$B$5:$B$104,0)),1)</f>
        <v>1</v>
      </c>
      <c r="AB213" s="4">
        <f>IFERROR(INDEX(楼层配置!$F$5:$F$104,MATCH($K213,楼层配置!$B$5:$B$104,0)),1)</f>
        <v>1</v>
      </c>
      <c r="AC213" s="4">
        <f>IFERROR(INDEX(楼层配置!$G$5:$G$104,MATCH($K213,楼层配置!$B$5:$B$104,0)),1)</f>
        <v>1</v>
      </c>
      <c r="AD213" s="6">
        <f t="shared" si="24"/>
        <v>1.16465670642541</v>
      </c>
      <c r="AE213" s="6">
        <f t="shared" si="25"/>
        <v>0.914016872160935</v>
      </c>
      <c r="AF213" s="6">
        <f t="shared" si="26"/>
        <v>1.07440748294535</v>
      </c>
      <c r="AG213" s="4" t="str">
        <f t="shared" si="27"/>
        <v>有效</v>
      </c>
    </row>
    <row r="214" ht="14.25" customHeight="1" spans="1:33">
      <c r="A214" s="4">
        <v>210</v>
      </c>
      <c r="B214" s="4">
        <v>1012</v>
      </c>
      <c r="C214" s="4">
        <v>31</v>
      </c>
      <c r="D214" s="5">
        <f>IFERROR(ROUND($U214*$X214*$AA214*参数!$B$13,0),"")</f>
        <v>1474365</v>
      </c>
      <c r="E214" s="5">
        <f>IFERROR(ROUND($V214*$Y214*$AB214*参数!$C$13,0),"")</f>
        <v>23596</v>
      </c>
      <c r="F214" s="5">
        <f>IFERROR(ROUND($W214*$Z214*$AC214*参数!$D$13,0),"")</f>
        <v>29496</v>
      </c>
      <c r="G214" s="4">
        <v>681108</v>
      </c>
      <c r="H214" s="4">
        <v>12328</v>
      </c>
      <c r="I214" s="4">
        <v>14219</v>
      </c>
      <c r="J214" s="4">
        <v>42</v>
      </c>
      <c r="K214" s="4">
        <v>42</v>
      </c>
      <c r="L214" s="4">
        <f>IFERROR(INDEX(楼层配置!$D$5:$D$104,MATCH($K214,楼层配置!$B$5:$B$104,0)),"")</f>
        <v>272</v>
      </c>
      <c r="M214" s="4" t="str">
        <f>IFERROR(INDEX(_角色基线!$B$2:$B$100,MATCH($B214,_角色基线!$A$2:$A$100,0)),"")</f>
        <v>艾德琳</v>
      </c>
      <c r="N214" s="4" t="str">
        <f>IFERROR(INDEX(_角色基线!$C$2:$C$100,MATCH($B214,_角色基线!$A$2:$A$100,0)),"")</f>
        <v>Support</v>
      </c>
      <c r="O214" s="4">
        <f>IFERROR(INDEX(_怪物基线!$B$2:$B$501,MATCH(INT($L214),_怪物基线!$A$2:$A$501,0)),"")</f>
        <v>294873</v>
      </c>
      <c r="P214" s="4">
        <f>IFERROR(INDEX(_怪物基线!$C$2:$C$501,MATCH(INT($L214),_怪物基线!$A$2:$A$501,0)),"")</f>
        <v>19663</v>
      </c>
      <c r="Q214" s="4">
        <f>IFERROR(INDEX(_怪物基线!$D$2:$D$501,MATCH(INT($L214),_怪物基线!$A$2:$A$501,0)),"")</f>
        <v>23597</v>
      </c>
      <c r="R214" s="4">
        <f>参数!$B$10</f>
        <v>4</v>
      </c>
      <c r="S214" s="4">
        <f>参数!$C$10</f>
        <v>1.2</v>
      </c>
      <c r="T214" s="4">
        <f>参数!$D$10</f>
        <v>1</v>
      </c>
      <c r="U214" s="4">
        <f t="shared" si="21"/>
        <v>1179492</v>
      </c>
      <c r="V214" s="4">
        <f t="shared" si="22"/>
        <v>23595.6</v>
      </c>
      <c r="W214" s="4">
        <f t="shared" si="23"/>
        <v>23597</v>
      </c>
      <c r="X214" s="4">
        <f>IFERROR(INDEX(参数!$B$5:$B$7,MATCH($N214,参数!$A$5:$A$7,0)),"")</f>
        <v>1.25</v>
      </c>
      <c r="Y214" s="4">
        <f>IFERROR(INDEX(参数!$C$5:$C$7,MATCH($N214,参数!$A$5:$A$7,0)),"")</f>
        <v>1</v>
      </c>
      <c r="Z214" s="4">
        <f>IFERROR(INDEX(参数!$D$5:$D$7,MATCH($N214,参数!$A$5:$A$7,0)),"")</f>
        <v>1.25</v>
      </c>
      <c r="AA214" s="4">
        <f>IFERROR(INDEX(楼层配置!$E$5:$E$104,MATCH($K214,楼层配置!$B$5:$B$104,0)),1)</f>
        <v>1</v>
      </c>
      <c r="AB214" s="4">
        <f>IFERROR(INDEX(楼层配置!$F$5:$F$104,MATCH($K214,楼层配置!$B$5:$B$104,0)),1)</f>
        <v>1</v>
      </c>
      <c r="AC214" s="4">
        <f>IFERROR(INDEX(楼层配置!$G$5:$G$104,MATCH($K214,楼层配置!$B$5:$B$104,0)),1)</f>
        <v>1</v>
      </c>
      <c r="AD214" s="6">
        <f t="shared" si="24"/>
        <v>1.16465670642541</v>
      </c>
      <c r="AE214" s="6">
        <f t="shared" si="25"/>
        <v>0.914016872160935</v>
      </c>
      <c r="AF214" s="6">
        <f t="shared" si="26"/>
        <v>1.07440748294535</v>
      </c>
      <c r="AG214" s="4" t="str">
        <f t="shared" si="27"/>
        <v>有效</v>
      </c>
    </row>
    <row r="215" ht="14.25" customHeight="1" spans="1:33">
      <c r="A215" s="4">
        <v>211</v>
      </c>
      <c r="B215" s="4">
        <v>1002</v>
      </c>
      <c r="C215" s="4">
        <v>31</v>
      </c>
      <c r="D215" s="5">
        <f>IFERROR(ROUND($U215*$X215*$AA215*参数!$B$13,0),"")</f>
        <v>1820904</v>
      </c>
      <c r="E215" s="5">
        <f>IFERROR(ROUND($V215*$Y215*$AB215*参数!$C$13,0),"")</f>
        <v>24086</v>
      </c>
      <c r="F215" s="5">
        <f>IFERROR(ROUND($W215*$Z215*$AC215*参数!$D$13,0),"")</f>
        <v>35927</v>
      </c>
      <c r="G215" s="4">
        <v>859320</v>
      </c>
      <c r="H215" s="4">
        <v>12740</v>
      </c>
      <c r="I215" s="4">
        <v>17534</v>
      </c>
      <c r="J215" s="4">
        <v>43</v>
      </c>
      <c r="K215" s="4">
        <v>43</v>
      </c>
      <c r="L215" s="4">
        <f>IFERROR(INDEX(楼层配置!$D$5:$D$104,MATCH($K215,楼层配置!$B$5:$B$104,0)),"")</f>
        <v>275</v>
      </c>
      <c r="M215" s="4" t="str">
        <f>IFERROR(INDEX(_角色基线!$B$2:$B$100,MATCH($B215,_角色基线!$A$2:$A$100,0)),"")</f>
        <v>大暑</v>
      </c>
      <c r="N215" s="4" t="str">
        <f>IFERROR(INDEX(_角色基线!$C$2:$C$100,MATCH($B215,_角色基线!$A$2:$A$100,0)),"")</f>
        <v>Tank</v>
      </c>
      <c r="O215" s="4">
        <f>IFERROR(INDEX(_怪物基线!$B$2:$B$501,MATCH(INT($L215),_怪物基线!$A$2:$A$501,0)),"")</f>
        <v>303484</v>
      </c>
      <c r="P215" s="4">
        <f>IFERROR(INDEX(_怪物基线!$C$2:$C$501,MATCH(INT($L215),_怪物基线!$A$2:$A$501,0)),"")</f>
        <v>20072</v>
      </c>
      <c r="Q215" s="4">
        <f>IFERROR(INDEX(_怪物基线!$D$2:$D$501,MATCH(INT($L215),_怪物基线!$A$2:$A$501,0)),"")</f>
        <v>23951</v>
      </c>
      <c r="R215" s="4">
        <f>参数!$B$10</f>
        <v>4</v>
      </c>
      <c r="S215" s="4">
        <f>参数!$C$10</f>
        <v>1.2</v>
      </c>
      <c r="T215" s="4">
        <f>参数!$D$10</f>
        <v>1</v>
      </c>
      <c r="U215" s="4">
        <f t="shared" si="21"/>
        <v>1213936</v>
      </c>
      <c r="V215" s="4">
        <f t="shared" si="22"/>
        <v>24086.4</v>
      </c>
      <c r="W215" s="4">
        <f t="shared" si="23"/>
        <v>23951</v>
      </c>
      <c r="X215" s="4">
        <f>IFERROR(INDEX(参数!$B$5:$B$7,MATCH($N215,参数!$A$5:$A$7,0)),"")</f>
        <v>1.5</v>
      </c>
      <c r="Y215" s="4">
        <f>IFERROR(INDEX(参数!$C$5:$C$7,MATCH($N215,参数!$A$5:$A$7,0)),"")</f>
        <v>1</v>
      </c>
      <c r="Z215" s="4">
        <f>IFERROR(INDEX(参数!$D$5:$D$7,MATCH($N215,参数!$A$5:$A$7,0)),"")</f>
        <v>1.5</v>
      </c>
      <c r="AA215" s="4">
        <f>IFERROR(INDEX(楼层配置!$E$5:$E$104,MATCH($K215,楼层配置!$B$5:$B$104,0)),1)</f>
        <v>1</v>
      </c>
      <c r="AB215" s="4">
        <f>IFERROR(INDEX(楼层配置!$F$5:$F$104,MATCH($K215,楼层配置!$B$5:$B$104,0)),1)</f>
        <v>1</v>
      </c>
      <c r="AC215" s="4">
        <f>IFERROR(INDEX(楼层配置!$G$5:$G$104,MATCH($K215,楼层配置!$B$5:$B$104,0)),1)</f>
        <v>1</v>
      </c>
      <c r="AD215" s="6">
        <f t="shared" si="24"/>
        <v>1.11900572545734</v>
      </c>
      <c r="AE215" s="6">
        <f t="shared" si="25"/>
        <v>0.890580847723705</v>
      </c>
      <c r="AF215" s="6">
        <f t="shared" si="26"/>
        <v>1.04899053267937</v>
      </c>
      <c r="AG215" s="4" t="str">
        <f t="shared" si="27"/>
        <v>有效</v>
      </c>
    </row>
    <row r="216" ht="14.25" customHeight="1" spans="1:33">
      <c r="A216" s="4">
        <v>212</v>
      </c>
      <c r="B216" s="4">
        <v>1030</v>
      </c>
      <c r="C216" s="4">
        <v>31</v>
      </c>
      <c r="D216" s="5">
        <f>IFERROR(ROUND($U216*$X216*$AA216*参数!$B$13,0),"")</f>
        <v>1820904</v>
      </c>
      <c r="E216" s="5">
        <f>IFERROR(ROUND($V216*$Y216*$AB216*参数!$C$13,0),"")</f>
        <v>24086</v>
      </c>
      <c r="F216" s="5">
        <f>IFERROR(ROUND($W216*$Z216*$AC216*参数!$D$13,0),"")</f>
        <v>35927</v>
      </c>
      <c r="G216" s="4">
        <v>859320</v>
      </c>
      <c r="H216" s="4">
        <v>12740</v>
      </c>
      <c r="I216" s="4">
        <v>17534</v>
      </c>
      <c r="J216" s="4">
        <v>43</v>
      </c>
      <c r="K216" s="4">
        <v>43</v>
      </c>
      <c r="L216" s="4">
        <f>IFERROR(INDEX(楼层配置!$D$5:$D$104,MATCH($K216,楼层配置!$B$5:$B$104,0)),"")</f>
        <v>275</v>
      </c>
      <c r="M216" s="4" t="str">
        <f>IFERROR(INDEX(_角色基线!$B$2:$B$100,MATCH($B216,_角色基线!$A$2:$A$100,0)),"")</f>
        <v>莫莉</v>
      </c>
      <c r="N216" s="4" t="str">
        <f>IFERROR(INDEX(_角色基线!$C$2:$C$100,MATCH($B216,_角色基线!$A$2:$A$100,0)),"")</f>
        <v>Tank</v>
      </c>
      <c r="O216" s="4">
        <f>IFERROR(INDEX(_怪物基线!$B$2:$B$501,MATCH(INT($L216),_怪物基线!$A$2:$A$501,0)),"")</f>
        <v>303484</v>
      </c>
      <c r="P216" s="4">
        <f>IFERROR(INDEX(_怪物基线!$C$2:$C$501,MATCH(INT($L216),_怪物基线!$A$2:$A$501,0)),"")</f>
        <v>20072</v>
      </c>
      <c r="Q216" s="4">
        <f>IFERROR(INDEX(_怪物基线!$D$2:$D$501,MATCH(INT($L216),_怪物基线!$A$2:$A$501,0)),"")</f>
        <v>23951</v>
      </c>
      <c r="R216" s="4">
        <f>参数!$B$10</f>
        <v>4</v>
      </c>
      <c r="S216" s="4">
        <f>参数!$C$10</f>
        <v>1.2</v>
      </c>
      <c r="T216" s="4">
        <f>参数!$D$10</f>
        <v>1</v>
      </c>
      <c r="U216" s="4">
        <f t="shared" si="21"/>
        <v>1213936</v>
      </c>
      <c r="V216" s="4">
        <f t="shared" si="22"/>
        <v>24086.4</v>
      </c>
      <c r="W216" s="4">
        <f t="shared" si="23"/>
        <v>23951</v>
      </c>
      <c r="X216" s="4">
        <f>IFERROR(INDEX(参数!$B$5:$B$7,MATCH($N216,参数!$A$5:$A$7,0)),"")</f>
        <v>1.5</v>
      </c>
      <c r="Y216" s="4">
        <f>IFERROR(INDEX(参数!$C$5:$C$7,MATCH($N216,参数!$A$5:$A$7,0)),"")</f>
        <v>1</v>
      </c>
      <c r="Z216" s="4">
        <f>IFERROR(INDEX(参数!$D$5:$D$7,MATCH($N216,参数!$A$5:$A$7,0)),"")</f>
        <v>1.5</v>
      </c>
      <c r="AA216" s="4">
        <f>IFERROR(INDEX(楼层配置!$E$5:$E$104,MATCH($K216,楼层配置!$B$5:$B$104,0)),1)</f>
        <v>1</v>
      </c>
      <c r="AB216" s="4">
        <f>IFERROR(INDEX(楼层配置!$F$5:$F$104,MATCH($K216,楼层配置!$B$5:$B$104,0)),1)</f>
        <v>1</v>
      </c>
      <c r="AC216" s="4">
        <f>IFERROR(INDEX(楼层配置!$G$5:$G$104,MATCH($K216,楼层配置!$B$5:$B$104,0)),1)</f>
        <v>1</v>
      </c>
      <c r="AD216" s="6">
        <f t="shared" si="24"/>
        <v>1.11900572545734</v>
      </c>
      <c r="AE216" s="6">
        <f t="shared" si="25"/>
        <v>0.890580847723705</v>
      </c>
      <c r="AF216" s="6">
        <f t="shared" si="26"/>
        <v>1.04899053267937</v>
      </c>
      <c r="AG216" s="4" t="str">
        <f t="shared" si="27"/>
        <v>有效</v>
      </c>
    </row>
    <row r="217" ht="14.25" customHeight="1" spans="1:33">
      <c r="A217" s="4">
        <v>213</v>
      </c>
      <c r="B217" s="4">
        <v>1015</v>
      </c>
      <c r="C217" s="4">
        <v>31</v>
      </c>
      <c r="D217" s="5">
        <f>IFERROR(ROUND($U217*$X217*$AA217*参数!$B$13,0),"")</f>
        <v>1517420</v>
      </c>
      <c r="E217" s="5">
        <f>IFERROR(ROUND($V217*$Y217*$AB217*参数!$C$13,0),"")</f>
        <v>24086</v>
      </c>
      <c r="F217" s="5">
        <f>IFERROR(ROUND($W217*$Z217*$AC217*参数!$D$13,0),"")</f>
        <v>29939</v>
      </c>
      <c r="G217" s="4">
        <v>716100</v>
      </c>
      <c r="H217" s="4">
        <v>12740</v>
      </c>
      <c r="I217" s="4">
        <v>14612</v>
      </c>
      <c r="J217" s="4">
        <v>43</v>
      </c>
      <c r="K217" s="4">
        <v>43</v>
      </c>
      <c r="L217" s="4">
        <f>IFERROR(INDEX(楼层配置!$D$5:$D$104,MATCH($K217,楼层配置!$B$5:$B$104,0)),"")</f>
        <v>275</v>
      </c>
      <c r="M217" s="4" t="str">
        <f>IFERROR(INDEX(_角色基线!$B$2:$B$100,MATCH($B217,_角色基线!$A$2:$A$100,0)),"")</f>
        <v>阿莱克西娅</v>
      </c>
      <c r="N217" s="4" t="str">
        <f>IFERROR(INDEX(_角色基线!$C$2:$C$100,MATCH($B217,_角色基线!$A$2:$A$100,0)),"")</f>
        <v>Support</v>
      </c>
      <c r="O217" s="4">
        <f>IFERROR(INDEX(_怪物基线!$B$2:$B$501,MATCH(INT($L217),_怪物基线!$A$2:$A$501,0)),"")</f>
        <v>303484</v>
      </c>
      <c r="P217" s="4">
        <f>IFERROR(INDEX(_怪物基线!$C$2:$C$501,MATCH(INT($L217),_怪物基线!$A$2:$A$501,0)),"")</f>
        <v>20072</v>
      </c>
      <c r="Q217" s="4">
        <f>IFERROR(INDEX(_怪物基线!$D$2:$D$501,MATCH(INT($L217),_怪物基线!$A$2:$A$501,0)),"")</f>
        <v>23951</v>
      </c>
      <c r="R217" s="4">
        <f>参数!$B$10</f>
        <v>4</v>
      </c>
      <c r="S217" s="4">
        <f>参数!$C$10</f>
        <v>1.2</v>
      </c>
      <c r="T217" s="4">
        <f>参数!$D$10</f>
        <v>1</v>
      </c>
      <c r="U217" s="4">
        <f t="shared" si="21"/>
        <v>1213936</v>
      </c>
      <c r="V217" s="4">
        <f t="shared" si="22"/>
        <v>24086.4</v>
      </c>
      <c r="W217" s="4">
        <f t="shared" si="23"/>
        <v>23951</v>
      </c>
      <c r="X217" s="4">
        <f>IFERROR(INDEX(参数!$B$5:$B$7,MATCH($N217,参数!$A$5:$A$7,0)),"")</f>
        <v>1.25</v>
      </c>
      <c r="Y217" s="4">
        <f>IFERROR(INDEX(参数!$C$5:$C$7,MATCH($N217,参数!$A$5:$A$7,0)),"")</f>
        <v>1</v>
      </c>
      <c r="Z217" s="4">
        <f>IFERROR(INDEX(参数!$D$5:$D$7,MATCH($N217,参数!$A$5:$A$7,0)),"")</f>
        <v>1.25</v>
      </c>
      <c r="AA217" s="4">
        <f>IFERROR(INDEX(楼层配置!$E$5:$E$104,MATCH($K217,楼层配置!$B$5:$B$104,0)),1)</f>
        <v>1</v>
      </c>
      <c r="AB217" s="4">
        <f>IFERROR(INDEX(楼层配置!$F$5:$F$104,MATCH($K217,楼层配置!$B$5:$B$104,0)),1)</f>
        <v>1</v>
      </c>
      <c r="AC217" s="4">
        <f>IFERROR(INDEX(楼层配置!$G$5:$G$104,MATCH($K217,楼层配置!$B$5:$B$104,0)),1)</f>
        <v>1</v>
      </c>
      <c r="AD217" s="6">
        <f t="shared" si="24"/>
        <v>1.11900572545734</v>
      </c>
      <c r="AE217" s="6">
        <f t="shared" si="25"/>
        <v>0.890580847723705</v>
      </c>
      <c r="AF217" s="6">
        <f t="shared" si="26"/>
        <v>1.04893238434164</v>
      </c>
      <c r="AG217" s="4" t="str">
        <f t="shared" si="27"/>
        <v>有效</v>
      </c>
    </row>
    <row r="218" ht="14.25" customHeight="1" spans="1:33">
      <c r="A218" s="4">
        <v>214</v>
      </c>
      <c r="B218" s="4">
        <v>1026</v>
      </c>
      <c r="C218" s="4">
        <v>31</v>
      </c>
      <c r="D218" s="5">
        <f>IFERROR(ROUND($U218*$X218*$AA218*参数!$B$13,0),"")</f>
        <v>1213936</v>
      </c>
      <c r="E218" s="5">
        <f>IFERROR(ROUND($V218*$Y218*$AB218*参数!$C$13,0),"")</f>
        <v>28904</v>
      </c>
      <c r="F218" s="5">
        <f>IFERROR(ROUND($W218*$Z218*$AC218*参数!$D$13,0),"")</f>
        <v>23951</v>
      </c>
      <c r="G218" s="4">
        <v>572880</v>
      </c>
      <c r="H218" s="4">
        <v>15288</v>
      </c>
      <c r="I218" s="4">
        <v>11689</v>
      </c>
      <c r="J218" s="4">
        <v>43</v>
      </c>
      <c r="K218" s="4">
        <v>43</v>
      </c>
      <c r="L218" s="4">
        <f>IFERROR(INDEX(楼层配置!$D$5:$D$104,MATCH($K218,楼层配置!$B$5:$B$104,0)),"")</f>
        <v>275</v>
      </c>
      <c r="M218" s="4" t="str">
        <f>IFERROR(INDEX(_角色基线!$B$2:$B$100,MATCH($B218,_角色基线!$A$2:$A$100,0)),"")</f>
        <v>乔一</v>
      </c>
      <c r="N218" s="4" t="str">
        <f>IFERROR(INDEX(_角色基线!$C$2:$C$100,MATCH($B218,_角色基线!$A$2:$A$100,0)),"")</f>
        <v>DPS</v>
      </c>
      <c r="O218" s="4">
        <f>IFERROR(INDEX(_怪物基线!$B$2:$B$501,MATCH(INT($L218),_怪物基线!$A$2:$A$501,0)),"")</f>
        <v>303484</v>
      </c>
      <c r="P218" s="4">
        <f>IFERROR(INDEX(_怪物基线!$C$2:$C$501,MATCH(INT($L218),_怪物基线!$A$2:$A$501,0)),"")</f>
        <v>20072</v>
      </c>
      <c r="Q218" s="4">
        <f>IFERROR(INDEX(_怪物基线!$D$2:$D$501,MATCH(INT($L218),_怪物基线!$A$2:$A$501,0)),"")</f>
        <v>23951</v>
      </c>
      <c r="R218" s="4">
        <f>参数!$B$10</f>
        <v>4</v>
      </c>
      <c r="S218" s="4">
        <f>参数!$C$10</f>
        <v>1.2</v>
      </c>
      <c r="T218" s="4">
        <f>参数!$D$10</f>
        <v>1</v>
      </c>
      <c r="U218" s="4">
        <f t="shared" si="21"/>
        <v>1213936</v>
      </c>
      <c r="V218" s="4">
        <f t="shared" si="22"/>
        <v>24086.4</v>
      </c>
      <c r="W218" s="4">
        <f t="shared" si="23"/>
        <v>23951</v>
      </c>
      <c r="X218" s="4">
        <f>IFERROR(INDEX(参数!$B$5:$B$7,MATCH($N218,参数!$A$5:$A$7,0)),"")</f>
        <v>1</v>
      </c>
      <c r="Y218" s="4">
        <f>IFERROR(INDEX(参数!$C$5:$C$7,MATCH($N218,参数!$A$5:$A$7,0)),"")</f>
        <v>1.2</v>
      </c>
      <c r="Z218" s="4">
        <f>IFERROR(INDEX(参数!$D$5:$D$7,MATCH($N218,参数!$A$5:$A$7,0)),"")</f>
        <v>1</v>
      </c>
      <c r="AA218" s="4">
        <f>IFERROR(INDEX(楼层配置!$E$5:$E$104,MATCH($K218,楼层配置!$B$5:$B$104,0)),1)</f>
        <v>1</v>
      </c>
      <c r="AB218" s="4">
        <f>IFERROR(INDEX(楼层配置!$F$5:$F$104,MATCH($K218,楼层配置!$B$5:$B$104,0)),1)</f>
        <v>1</v>
      </c>
      <c r="AC218" s="4">
        <f>IFERROR(INDEX(楼层配置!$G$5:$G$104,MATCH($K218,楼层配置!$B$5:$B$104,0)),1)</f>
        <v>1</v>
      </c>
      <c r="AD218" s="6">
        <f t="shared" si="24"/>
        <v>1.11900572545734</v>
      </c>
      <c r="AE218" s="6">
        <f t="shared" si="25"/>
        <v>0.890633176347462</v>
      </c>
      <c r="AF218" s="6">
        <f t="shared" si="26"/>
        <v>1.0490204465737</v>
      </c>
      <c r="AG218" s="4" t="str">
        <f t="shared" si="27"/>
        <v>有效</v>
      </c>
    </row>
    <row r="219" ht="14.25" customHeight="1" spans="1:33">
      <c r="A219" s="4">
        <v>215</v>
      </c>
      <c r="B219" s="4">
        <v>1020</v>
      </c>
      <c r="C219" s="4">
        <v>31</v>
      </c>
      <c r="D219" s="5">
        <f>IFERROR(ROUND($U219*$X219*$AA219*参数!$B$13,0),"")</f>
        <v>1517420</v>
      </c>
      <c r="E219" s="5">
        <f>IFERROR(ROUND($V219*$Y219*$AB219*参数!$C$13,0),"")</f>
        <v>24086</v>
      </c>
      <c r="F219" s="5">
        <f>IFERROR(ROUND($W219*$Z219*$AC219*参数!$D$13,0),"")</f>
        <v>29939</v>
      </c>
      <c r="G219" s="4">
        <v>716100</v>
      </c>
      <c r="H219" s="4">
        <v>12740</v>
      </c>
      <c r="I219" s="4">
        <v>14612</v>
      </c>
      <c r="J219" s="4">
        <v>43</v>
      </c>
      <c r="K219" s="4">
        <v>43</v>
      </c>
      <c r="L219" s="4">
        <f>IFERROR(INDEX(楼层配置!$D$5:$D$104,MATCH($K219,楼层配置!$B$5:$B$104,0)),"")</f>
        <v>275</v>
      </c>
      <c r="M219" s="4" t="str">
        <f>IFERROR(INDEX(_角色基线!$B$2:$B$100,MATCH($B219,_角色基线!$A$2:$A$100,0)),"")</f>
        <v>卡斯帕</v>
      </c>
      <c r="N219" s="4" t="str">
        <f>IFERROR(INDEX(_角色基线!$C$2:$C$100,MATCH($B219,_角色基线!$A$2:$A$100,0)),"")</f>
        <v>Support</v>
      </c>
      <c r="O219" s="4">
        <f>IFERROR(INDEX(_怪物基线!$B$2:$B$501,MATCH(INT($L219),_怪物基线!$A$2:$A$501,0)),"")</f>
        <v>303484</v>
      </c>
      <c r="P219" s="4">
        <f>IFERROR(INDEX(_怪物基线!$C$2:$C$501,MATCH(INT($L219),_怪物基线!$A$2:$A$501,0)),"")</f>
        <v>20072</v>
      </c>
      <c r="Q219" s="4">
        <f>IFERROR(INDEX(_怪物基线!$D$2:$D$501,MATCH(INT($L219),_怪物基线!$A$2:$A$501,0)),"")</f>
        <v>23951</v>
      </c>
      <c r="R219" s="4">
        <f>参数!$B$10</f>
        <v>4</v>
      </c>
      <c r="S219" s="4">
        <f>参数!$C$10</f>
        <v>1.2</v>
      </c>
      <c r="T219" s="4">
        <f>参数!$D$10</f>
        <v>1</v>
      </c>
      <c r="U219" s="4">
        <f t="shared" si="21"/>
        <v>1213936</v>
      </c>
      <c r="V219" s="4">
        <f t="shared" si="22"/>
        <v>24086.4</v>
      </c>
      <c r="W219" s="4">
        <f t="shared" si="23"/>
        <v>23951</v>
      </c>
      <c r="X219" s="4">
        <f>IFERROR(INDEX(参数!$B$5:$B$7,MATCH($N219,参数!$A$5:$A$7,0)),"")</f>
        <v>1.25</v>
      </c>
      <c r="Y219" s="4">
        <f>IFERROR(INDEX(参数!$C$5:$C$7,MATCH($N219,参数!$A$5:$A$7,0)),"")</f>
        <v>1</v>
      </c>
      <c r="Z219" s="4">
        <f>IFERROR(INDEX(参数!$D$5:$D$7,MATCH($N219,参数!$A$5:$A$7,0)),"")</f>
        <v>1.25</v>
      </c>
      <c r="AA219" s="4">
        <f>IFERROR(INDEX(楼层配置!$E$5:$E$104,MATCH($K219,楼层配置!$B$5:$B$104,0)),1)</f>
        <v>1</v>
      </c>
      <c r="AB219" s="4">
        <f>IFERROR(INDEX(楼层配置!$F$5:$F$104,MATCH($K219,楼层配置!$B$5:$B$104,0)),1)</f>
        <v>1</v>
      </c>
      <c r="AC219" s="4">
        <f>IFERROR(INDEX(楼层配置!$G$5:$G$104,MATCH($K219,楼层配置!$B$5:$B$104,0)),1)</f>
        <v>1</v>
      </c>
      <c r="AD219" s="6">
        <f t="shared" si="24"/>
        <v>1.11900572545734</v>
      </c>
      <c r="AE219" s="6">
        <f t="shared" si="25"/>
        <v>0.890580847723705</v>
      </c>
      <c r="AF219" s="6">
        <f t="shared" si="26"/>
        <v>1.04893238434164</v>
      </c>
      <c r="AG219" s="4" t="str">
        <f t="shared" si="27"/>
        <v>有效</v>
      </c>
    </row>
    <row r="220" ht="14.25" customHeight="1" spans="1:33">
      <c r="A220" s="4">
        <v>216</v>
      </c>
      <c r="B220" s="4">
        <v>1030</v>
      </c>
      <c r="C220" s="4">
        <v>32</v>
      </c>
      <c r="D220" s="5">
        <f>IFERROR(ROUND($U220*$X220*$AA220*参数!$B$13,0),"")</f>
        <v>1891488</v>
      </c>
      <c r="E220" s="5">
        <f>IFERROR(ROUND($V220*$Y220*$AB220*参数!$C$13,0),"")</f>
        <v>24754</v>
      </c>
      <c r="F220" s="5">
        <f>IFERROR(ROUND($W220*$Z220*$AC220*参数!$D$13,0),"")</f>
        <v>36639</v>
      </c>
      <c r="G220" s="4">
        <v>902822</v>
      </c>
      <c r="H220" s="4">
        <v>13163</v>
      </c>
      <c r="I220" s="4">
        <v>18010</v>
      </c>
      <c r="J220" s="4">
        <v>44</v>
      </c>
      <c r="K220" s="4">
        <v>44</v>
      </c>
      <c r="L220" s="4">
        <f>IFERROR(INDEX(楼层配置!$D$5:$D$104,MATCH($K220,楼层配置!$B$5:$B$104,0)),"")</f>
        <v>279</v>
      </c>
      <c r="M220" s="4" t="str">
        <f>IFERROR(INDEX(_角色基线!$B$2:$B$100,MATCH($B220,_角色基线!$A$2:$A$100,0)),"")</f>
        <v>莫莉</v>
      </c>
      <c r="N220" s="4" t="str">
        <f>IFERROR(INDEX(_角色基线!$C$2:$C$100,MATCH($B220,_角色基线!$A$2:$A$100,0)),"")</f>
        <v>Tank</v>
      </c>
      <c r="O220" s="4">
        <f>IFERROR(INDEX(_怪物基线!$B$2:$B$501,MATCH(INT($L220),_怪物基线!$A$2:$A$501,0)),"")</f>
        <v>315248</v>
      </c>
      <c r="P220" s="4">
        <f>IFERROR(INDEX(_怪物基线!$C$2:$C$501,MATCH(INT($L220),_怪物基线!$A$2:$A$501,0)),"")</f>
        <v>20628</v>
      </c>
      <c r="Q220" s="4">
        <f>IFERROR(INDEX(_怪物基线!$D$2:$D$501,MATCH(INT($L220),_怪物基线!$A$2:$A$501,0)),"")</f>
        <v>24426</v>
      </c>
      <c r="R220" s="4">
        <f>参数!$B$10</f>
        <v>4</v>
      </c>
      <c r="S220" s="4">
        <f>参数!$C$10</f>
        <v>1.2</v>
      </c>
      <c r="T220" s="4">
        <f>参数!$D$10</f>
        <v>1</v>
      </c>
      <c r="U220" s="4">
        <f t="shared" si="21"/>
        <v>1260992</v>
      </c>
      <c r="V220" s="4">
        <f t="shared" si="22"/>
        <v>24753.6</v>
      </c>
      <c r="W220" s="4">
        <f t="shared" si="23"/>
        <v>24426</v>
      </c>
      <c r="X220" s="4">
        <f>IFERROR(INDEX(参数!$B$5:$B$7,MATCH($N220,参数!$A$5:$A$7,0)),"")</f>
        <v>1.5</v>
      </c>
      <c r="Y220" s="4">
        <f>IFERROR(INDEX(参数!$C$5:$C$7,MATCH($N220,参数!$A$5:$A$7,0)),"")</f>
        <v>1</v>
      </c>
      <c r="Z220" s="4">
        <f>IFERROR(INDEX(参数!$D$5:$D$7,MATCH($N220,参数!$A$5:$A$7,0)),"")</f>
        <v>1.5</v>
      </c>
      <c r="AA220" s="4">
        <f>IFERROR(INDEX(楼层配置!$E$5:$E$104,MATCH($K220,楼层配置!$B$5:$B$104,0)),1)</f>
        <v>1</v>
      </c>
      <c r="AB220" s="4">
        <f>IFERROR(INDEX(楼层配置!$F$5:$F$104,MATCH($K220,楼层配置!$B$5:$B$104,0)),1)</f>
        <v>1</v>
      </c>
      <c r="AC220" s="4">
        <f>IFERROR(INDEX(楼层配置!$G$5:$G$104,MATCH($K220,楼层配置!$B$5:$B$104,0)),1)</f>
        <v>1</v>
      </c>
      <c r="AD220" s="6">
        <f t="shared" si="24"/>
        <v>1.09508408080441</v>
      </c>
      <c r="AE220" s="6">
        <f t="shared" si="25"/>
        <v>0.880574337157183</v>
      </c>
      <c r="AF220" s="6">
        <f t="shared" si="26"/>
        <v>1.03436979455858</v>
      </c>
      <c r="AG220" s="4" t="str">
        <f t="shared" si="27"/>
        <v>有效</v>
      </c>
    </row>
    <row r="221" ht="14.25" customHeight="1" spans="1:33">
      <c r="A221" s="4">
        <v>217</v>
      </c>
      <c r="B221" s="4">
        <v>1030</v>
      </c>
      <c r="C221" s="4">
        <v>32</v>
      </c>
      <c r="D221" s="5">
        <f>IFERROR(ROUND($U221*$X221*$AA221*参数!$B$13,0),"")</f>
        <v>1891488</v>
      </c>
      <c r="E221" s="5">
        <f>IFERROR(ROUND($V221*$Y221*$AB221*参数!$C$13,0),"")</f>
        <v>24754</v>
      </c>
      <c r="F221" s="5">
        <f>IFERROR(ROUND($W221*$Z221*$AC221*参数!$D$13,0),"")</f>
        <v>36639</v>
      </c>
      <c r="G221" s="4">
        <v>902822</v>
      </c>
      <c r="H221" s="4">
        <v>13163</v>
      </c>
      <c r="I221" s="4">
        <v>18010</v>
      </c>
      <c r="J221" s="4">
        <v>44</v>
      </c>
      <c r="K221" s="4">
        <v>44</v>
      </c>
      <c r="L221" s="4">
        <f>IFERROR(INDEX(楼层配置!$D$5:$D$104,MATCH($K221,楼层配置!$B$5:$B$104,0)),"")</f>
        <v>279</v>
      </c>
      <c r="M221" s="4" t="str">
        <f>IFERROR(INDEX(_角色基线!$B$2:$B$100,MATCH($B221,_角色基线!$A$2:$A$100,0)),"")</f>
        <v>莫莉</v>
      </c>
      <c r="N221" s="4" t="str">
        <f>IFERROR(INDEX(_角色基线!$C$2:$C$100,MATCH($B221,_角色基线!$A$2:$A$100,0)),"")</f>
        <v>Tank</v>
      </c>
      <c r="O221" s="4">
        <f>IFERROR(INDEX(_怪物基线!$B$2:$B$501,MATCH(INT($L221),_怪物基线!$A$2:$A$501,0)),"")</f>
        <v>315248</v>
      </c>
      <c r="P221" s="4">
        <f>IFERROR(INDEX(_怪物基线!$C$2:$C$501,MATCH(INT($L221),_怪物基线!$A$2:$A$501,0)),"")</f>
        <v>20628</v>
      </c>
      <c r="Q221" s="4">
        <f>IFERROR(INDEX(_怪物基线!$D$2:$D$501,MATCH(INT($L221),_怪物基线!$A$2:$A$501,0)),"")</f>
        <v>24426</v>
      </c>
      <c r="R221" s="4">
        <f>参数!$B$10</f>
        <v>4</v>
      </c>
      <c r="S221" s="4">
        <f>参数!$C$10</f>
        <v>1.2</v>
      </c>
      <c r="T221" s="4">
        <f>参数!$D$10</f>
        <v>1</v>
      </c>
      <c r="U221" s="4">
        <f t="shared" si="21"/>
        <v>1260992</v>
      </c>
      <c r="V221" s="4">
        <f t="shared" si="22"/>
        <v>24753.6</v>
      </c>
      <c r="W221" s="4">
        <f t="shared" si="23"/>
        <v>24426</v>
      </c>
      <c r="X221" s="4">
        <f>IFERROR(INDEX(参数!$B$5:$B$7,MATCH($N221,参数!$A$5:$A$7,0)),"")</f>
        <v>1.5</v>
      </c>
      <c r="Y221" s="4">
        <f>IFERROR(INDEX(参数!$C$5:$C$7,MATCH($N221,参数!$A$5:$A$7,0)),"")</f>
        <v>1</v>
      </c>
      <c r="Z221" s="4">
        <f>IFERROR(INDEX(参数!$D$5:$D$7,MATCH($N221,参数!$A$5:$A$7,0)),"")</f>
        <v>1.5</v>
      </c>
      <c r="AA221" s="4">
        <f>IFERROR(INDEX(楼层配置!$E$5:$E$104,MATCH($K221,楼层配置!$B$5:$B$104,0)),1)</f>
        <v>1</v>
      </c>
      <c r="AB221" s="4">
        <f>IFERROR(INDEX(楼层配置!$F$5:$F$104,MATCH($K221,楼层配置!$B$5:$B$104,0)),1)</f>
        <v>1</v>
      </c>
      <c r="AC221" s="4">
        <f>IFERROR(INDEX(楼层配置!$G$5:$G$104,MATCH($K221,楼层配置!$B$5:$B$104,0)),1)</f>
        <v>1</v>
      </c>
      <c r="AD221" s="6">
        <f t="shared" si="24"/>
        <v>1.09508408080441</v>
      </c>
      <c r="AE221" s="6">
        <f t="shared" si="25"/>
        <v>0.880574337157183</v>
      </c>
      <c r="AF221" s="6">
        <f t="shared" si="26"/>
        <v>1.03436979455858</v>
      </c>
      <c r="AG221" s="4" t="str">
        <f t="shared" si="27"/>
        <v>有效</v>
      </c>
    </row>
    <row r="222" ht="14.25" customHeight="1" spans="1:33">
      <c r="A222" s="4">
        <v>218</v>
      </c>
      <c r="B222" s="4">
        <v>1024</v>
      </c>
      <c r="C222" s="4">
        <v>32</v>
      </c>
      <c r="D222" s="5">
        <f>IFERROR(ROUND($U222*$X222*$AA222*参数!$B$13,0),"")</f>
        <v>1260992</v>
      </c>
      <c r="E222" s="5">
        <f>IFERROR(ROUND($V222*$Y222*$AB222*参数!$C$13,0),"")</f>
        <v>29704</v>
      </c>
      <c r="F222" s="5">
        <f>IFERROR(ROUND($W222*$Z222*$AC222*参数!$D$13,0),"")</f>
        <v>24426</v>
      </c>
      <c r="G222" s="4">
        <v>601881</v>
      </c>
      <c r="H222" s="4">
        <v>15795</v>
      </c>
      <c r="I222" s="4">
        <v>12007</v>
      </c>
      <c r="J222" s="4">
        <v>44</v>
      </c>
      <c r="K222" s="4">
        <v>44</v>
      </c>
      <c r="L222" s="4">
        <f>IFERROR(INDEX(楼层配置!$D$5:$D$104,MATCH($K222,楼层配置!$B$5:$B$104,0)),"")</f>
        <v>279</v>
      </c>
      <c r="M222" s="4" t="str">
        <f>IFERROR(INDEX(_角色基线!$B$2:$B$100,MATCH($B222,_角色基线!$A$2:$A$100,0)),"")</f>
        <v>卡薇</v>
      </c>
      <c r="N222" s="4" t="str">
        <f>IFERROR(INDEX(_角色基线!$C$2:$C$100,MATCH($B222,_角色基线!$A$2:$A$100,0)),"")</f>
        <v>DPS</v>
      </c>
      <c r="O222" s="4">
        <f>IFERROR(INDEX(_怪物基线!$B$2:$B$501,MATCH(INT($L222),_怪物基线!$A$2:$A$501,0)),"")</f>
        <v>315248</v>
      </c>
      <c r="P222" s="4">
        <f>IFERROR(INDEX(_怪物基线!$C$2:$C$501,MATCH(INT($L222),_怪物基线!$A$2:$A$501,0)),"")</f>
        <v>20628</v>
      </c>
      <c r="Q222" s="4">
        <f>IFERROR(INDEX(_怪物基线!$D$2:$D$501,MATCH(INT($L222),_怪物基线!$A$2:$A$501,0)),"")</f>
        <v>24426</v>
      </c>
      <c r="R222" s="4">
        <f>参数!$B$10</f>
        <v>4</v>
      </c>
      <c r="S222" s="4">
        <f>参数!$C$10</f>
        <v>1.2</v>
      </c>
      <c r="T222" s="4">
        <f>参数!$D$10</f>
        <v>1</v>
      </c>
      <c r="U222" s="4">
        <f t="shared" si="21"/>
        <v>1260992</v>
      </c>
      <c r="V222" s="4">
        <f t="shared" si="22"/>
        <v>24753.6</v>
      </c>
      <c r="W222" s="4">
        <f t="shared" si="23"/>
        <v>24426</v>
      </c>
      <c r="X222" s="4">
        <f>IFERROR(INDEX(参数!$B$5:$B$7,MATCH($N222,参数!$A$5:$A$7,0)),"")</f>
        <v>1</v>
      </c>
      <c r="Y222" s="4">
        <f>IFERROR(INDEX(参数!$C$5:$C$7,MATCH($N222,参数!$A$5:$A$7,0)),"")</f>
        <v>1.2</v>
      </c>
      <c r="Z222" s="4">
        <f>IFERROR(INDEX(参数!$D$5:$D$7,MATCH($N222,参数!$A$5:$A$7,0)),"")</f>
        <v>1</v>
      </c>
      <c r="AA222" s="4">
        <f>IFERROR(INDEX(楼层配置!$E$5:$E$104,MATCH($K222,楼层配置!$B$5:$B$104,0)),1)</f>
        <v>1</v>
      </c>
      <c r="AB222" s="4">
        <f>IFERROR(INDEX(楼层配置!$F$5:$F$104,MATCH($K222,楼层配置!$B$5:$B$104,0)),1)</f>
        <v>1</v>
      </c>
      <c r="AC222" s="4">
        <f>IFERROR(INDEX(楼层配置!$G$5:$G$104,MATCH($K222,楼层配置!$B$5:$B$104,0)),1)</f>
        <v>1</v>
      </c>
      <c r="AD222" s="6">
        <f t="shared" si="24"/>
        <v>1.09508524110248</v>
      </c>
      <c r="AE222" s="6">
        <f t="shared" si="25"/>
        <v>0.880595125039569</v>
      </c>
      <c r="AF222" s="6">
        <f t="shared" si="26"/>
        <v>1.03431331723161</v>
      </c>
      <c r="AG222" s="4" t="str">
        <f t="shared" si="27"/>
        <v>有效</v>
      </c>
    </row>
    <row r="223" ht="14.25" customHeight="1" spans="1:33">
      <c r="A223" s="4">
        <v>219</v>
      </c>
      <c r="B223" s="4">
        <v>1020</v>
      </c>
      <c r="C223" s="4">
        <v>32</v>
      </c>
      <c r="D223" s="5">
        <f>IFERROR(ROUND($U223*$X223*$AA223*参数!$B$13,0),"")</f>
        <v>1576240</v>
      </c>
      <c r="E223" s="5">
        <f>IFERROR(ROUND($V223*$Y223*$AB223*参数!$C$13,0),"")</f>
        <v>24754</v>
      </c>
      <c r="F223" s="5">
        <f>IFERROR(ROUND($W223*$Z223*$AC223*参数!$D$13,0),"")</f>
        <v>30533</v>
      </c>
      <c r="G223" s="4">
        <v>752352</v>
      </c>
      <c r="H223" s="4">
        <v>13163</v>
      </c>
      <c r="I223" s="4">
        <v>15009</v>
      </c>
      <c r="J223" s="4">
        <v>44</v>
      </c>
      <c r="K223" s="4">
        <v>44</v>
      </c>
      <c r="L223" s="4">
        <f>IFERROR(INDEX(楼层配置!$D$5:$D$104,MATCH($K223,楼层配置!$B$5:$B$104,0)),"")</f>
        <v>279</v>
      </c>
      <c r="M223" s="4" t="str">
        <f>IFERROR(INDEX(_角色基线!$B$2:$B$100,MATCH($B223,_角色基线!$A$2:$A$100,0)),"")</f>
        <v>卡斯帕</v>
      </c>
      <c r="N223" s="4" t="str">
        <f>IFERROR(INDEX(_角色基线!$C$2:$C$100,MATCH($B223,_角色基线!$A$2:$A$100,0)),"")</f>
        <v>Support</v>
      </c>
      <c r="O223" s="4">
        <f>IFERROR(INDEX(_怪物基线!$B$2:$B$501,MATCH(INT($L223),_怪物基线!$A$2:$A$501,0)),"")</f>
        <v>315248</v>
      </c>
      <c r="P223" s="4">
        <f>IFERROR(INDEX(_怪物基线!$C$2:$C$501,MATCH(INT($L223),_怪物基线!$A$2:$A$501,0)),"")</f>
        <v>20628</v>
      </c>
      <c r="Q223" s="4">
        <f>IFERROR(INDEX(_怪物基线!$D$2:$D$501,MATCH(INT($L223),_怪物基线!$A$2:$A$501,0)),"")</f>
        <v>24426</v>
      </c>
      <c r="R223" s="4">
        <f>参数!$B$10</f>
        <v>4</v>
      </c>
      <c r="S223" s="4">
        <f>参数!$C$10</f>
        <v>1.2</v>
      </c>
      <c r="T223" s="4">
        <f>参数!$D$10</f>
        <v>1</v>
      </c>
      <c r="U223" s="4">
        <f t="shared" si="21"/>
        <v>1260992</v>
      </c>
      <c r="V223" s="4">
        <f t="shared" si="22"/>
        <v>24753.6</v>
      </c>
      <c r="W223" s="4">
        <f t="shared" si="23"/>
        <v>24426</v>
      </c>
      <c r="X223" s="4">
        <f>IFERROR(INDEX(参数!$B$5:$B$7,MATCH($N223,参数!$A$5:$A$7,0)),"")</f>
        <v>1.25</v>
      </c>
      <c r="Y223" s="4">
        <f>IFERROR(INDEX(参数!$C$5:$C$7,MATCH($N223,参数!$A$5:$A$7,0)),"")</f>
        <v>1</v>
      </c>
      <c r="Z223" s="4">
        <f>IFERROR(INDEX(参数!$D$5:$D$7,MATCH($N223,参数!$A$5:$A$7,0)),"")</f>
        <v>1.25</v>
      </c>
      <c r="AA223" s="4">
        <f>IFERROR(INDEX(楼层配置!$E$5:$E$104,MATCH($K223,楼层配置!$B$5:$B$104,0)),1)</f>
        <v>1</v>
      </c>
      <c r="AB223" s="4">
        <f>IFERROR(INDEX(楼层配置!$F$5:$F$104,MATCH($K223,楼层配置!$B$5:$B$104,0)),1)</f>
        <v>1</v>
      </c>
      <c r="AC223" s="4">
        <f>IFERROR(INDEX(楼层配置!$G$5:$G$104,MATCH($K223,楼层配置!$B$5:$B$104,0)),1)</f>
        <v>1</v>
      </c>
      <c r="AD223" s="6">
        <f t="shared" si="24"/>
        <v>1.09508315256688</v>
      </c>
      <c r="AE223" s="6">
        <f t="shared" si="25"/>
        <v>0.880574337157183</v>
      </c>
      <c r="AF223" s="6">
        <f t="shared" si="26"/>
        <v>1.03431274568592</v>
      </c>
      <c r="AG223" s="4" t="str">
        <f t="shared" si="27"/>
        <v>有效</v>
      </c>
    </row>
    <row r="224" ht="14.25" customHeight="1" spans="1:33">
      <c r="A224" s="4">
        <v>220</v>
      </c>
      <c r="B224" s="4">
        <v>1011</v>
      </c>
      <c r="C224" s="4">
        <v>32</v>
      </c>
      <c r="D224" s="5">
        <f>IFERROR(ROUND($U224*$X224*$AA224*参数!$B$13,0),"")</f>
        <v>1576240</v>
      </c>
      <c r="E224" s="5">
        <f>IFERROR(ROUND($V224*$Y224*$AB224*参数!$C$13,0),"")</f>
        <v>24754</v>
      </c>
      <c r="F224" s="5">
        <f>IFERROR(ROUND($W224*$Z224*$AC224*参数!$D$13,0),"")</f>
        <v>30533</v>
      </c>
      <c r="G224" s="4">
        <v>752352</v>
      </c>
      <c r="H224" s="4">
        <v>13163</v>
      </c>
      <c r="I224" s="4">
        <v>15009</v>
      </c>
      <c r="J224" s="4">
        <v>44</v>
      </c>
      <c r="K224" s="4">
        <v>44</v>
      </c>
      <c r="L224" s="4">
        <f>IFERROR(INDEX(楼层配置!$D$5:$D$104,MATCH($K224,楼层配置!$B$5:$B$104,0)),"")</f>
        <v>279</v>
      </c>
      <c r="M224" s="4" t="str">
        <f>IFERROR(INDEX(_角色基线!$B$2:$B$100,MATCH($B224,_角色基线!$A$2:$A$100,0)),"")</f>
        <v>陈双双</v>
      </c>
      <c r="N224" s="4" t="str">
        <f>IFERROR(INDEX(_角色基线!$C$2:$C$100,MATCH($B224,_角色基线!$A$2:$A$100,0)),"")</f>
        <v>Support</v>
      </c>
      <c r="O224" s="4">
        <f>IFERROR(INDEX(_怪物基线!$B$2:$B$501,MATCH(INT($L224),_怪物基线!$A$2:$A$501,0)),"")</f>
        <v>315248</v>
      </c>
      <c r="P224" s="4">
        <f>IFERROR(INDEX(_怪物基线!$C$2:$C$501,MATCH(INT($L224),_怪物基线!$A$2:$A$501,0)),"")</f>
        <v>20628</v>
      </c>
      <c r="Q224" s="4">
        <f>IFERROR(INDEX(_怪物基线!$D$2:$D$501,MATCH(INT($L224),_怪物基线!$A$2:$A$501,0)),"")</f>
        <v>24426</v>
      </c>
      <c r="R224" s="4">
        <f>参数!$B$10</f>
        <v>4</v>
      </c>
      <c r="S224" s="4">
        <f>参数!$C$10</f>
        <v>1.2</v>
      </c>
      <c r="T224" s="4">
        <f>参数!$D$10</f>
        <v>1</v>
      </c>
      <c r="U224" s="4">
        <f t="shared" si="21"/>
        <v>1260992</v>
      </c>
      <c r="V224" s="4">
        <f t="shared" si="22"/>
        <v>24753.6</v>
      </c>
      <c r="W224" s="4">
        <f t="shared" si="23"/>
        <v>24426</v>
      </c>
      <c r="X224" s="4">
        <f>IFERROR(INDEX(参数!$B$5:$B$7,MATCH($N224,参数!$A$5:$A$7,0)),"")</f>
        <v>1.25</v>
      </c>
      <c r="Y224" s="4">
        <f>IFERROR(INDEX(参数!$C$5:$C$7,MATCH($N224,参数!$A$5:$A$7,0)),"")</f>
        <v>1</v>
      </c>
      <c r="Z224" s="4">
        <f>IFERROR(INDEX(参数!$D$5:$D$7,MATCH($N224,参数!$A$5:$A$7,0)),"")</f>
        <v>1.25</v>
      </c>
      <c r="AA224" s="4">
        <f>IFERROR(INDEX(楼层配置!$E$5:$E$104,MATCH($K224,楼层配置!$B$5:$B$104,0)),1)</f>
        <v>1</v>
      </c>
      <c r="AB224" s="4">
        <f>IFERROR(INDEX(楼层配置!$F$5:$F$104,MATCH($K224,楼层配置!$B$5:$B$104,0)),1)</f>
        <v>1</v>
      </c>
      <c r="AC224" s="4">
        <f>IFERROR(INDEX(楼层配置!$G$5:$G$104,MATCH($K224,楼层配置!$B$5:$B$104,0)),1)</f>
        <v>1</v>
      </c>
      <c r="AD224" s="6">
        <f t="shared" si="24"/>
        <v>1.09508315256688</v>
      </c>
      <c r="AE224" s="6">
        <f t="shared" si="25"/>
        <v>0.880574337157183</v>
      </c>
      <c r="AF224" s="6">
        <f t="shared" si="26"/>
        <v>1.03431274568592</v>
      </c>
      <c r="AG224" s="4" t="str">
        <f t="shared" si="27"/>
        <v>有效</v>
      </c>
    </row>
    <row r="225" ht="14.25" customHeight="1" spans="1:33">
      <c r="A225" s="4">
        <v>221</v>
      </c>
      <c r="B225" s="4">
        <v>1030</v>
      </c>
      <c r="C225" s="4">
        <v>32</v>
      </c>
      <c r="D225" s="5">
        <f>IFERROR(ROUND($U225*$X225*$AA225*参数!$B$13,0),"")</f>
        <v>1945722</v>
      </c>
      <c r="E225" s="5">
        <f>IFERROR(ROUND($V225*$Y225*$AB225*参数!$C$13,0),"")</f>
        <v>25264</v>
      </c>
      <c r="F225" s="5">
        <f>IFERROR(ROUND($W225*$Z225*$AC225*参数!$D$13,0),"")</f>
        <v>37178</v>
      </c>
      <c r="G225" s="4">
        <v>947858</v>
      </c>
      <c r="H225" s="4">
        <v>13592</v>
      </c>
      <c r="I225" s="4">
        <v>18492</v>
      </c>
      <c r="J225" s="4">
        <v>45</v>
      </c>
      <c r="K225" s="4">
        <v>45</v>
      </c>
      <c r="L225" s="4">
        <f>IFERROR(INDEX(楼层配置!$D$5:$D$104,MATCH($K225,楼层配置!$B$5:$B$104,0)),"")</f>
        <v>282</v>
      </c>
      <c r="M225" s="4" t="str">
        <f>IFERROR(INDEX(_角色基线!$B$2:$B$100,MATCH($B225,_角色基线!$A$2:$A$100,0)),"")</f>
        <v>莫莉</v>
      </c>
      <c r="N225" s="4" t="str">
        <f>IFERROR(INDEX(_角色基线!$C$2:$C$100,MATCH($B225,_角色基线!$A$2:$A$100,0)),"")</f>
        <v>Tank</v>
      </c>
      <c r="O225" s="4">
        <f>IFERROR(INDEX(_怪物基线!$B$2:$B$501,MATCH(INT($L225),_怪物基线!$A$2:$A$501,0)),"")</f>
        <v>324287</v>
      </c>
      <c r="P225" s="4">
        <f>IFERROR(INDEX(_怪物基线!$C$2:$C$501,MATCH(INT($L225),_怪物基线!$A$2:$A$501,0)),"")</f>
        <v>21053</v>
      </c>
      <c r="Q225" s="4">
        <f>IFERROR(INDEX(_怪物基线!$D$2:$D$501,MATCH(INT($L225),_怪物基线!$A$2:$A$501,0)),"")</f>
        <v>24785</v>
      </c>
      <c r="R225" s="4">
        <f>参数!$B$10</f>
        <v>4</v>
      </c>
      <c r="S225" s="4">
        <f>参数!$C$10</f>
        <v>1.2</v>
      </c>
      <c r="T225" s="4">
        <f>参数!$D$10</f>
        <v>1</v>
      </c>
      <c r="U225" s="4">
        <f t="shared" si="21"/>
        <v>1297148</v>
      </c>
      <c r="V225" s="4">
        <f t="shared" si="22"/>
        <v>25263.6</v>
      </c>
      <c r="W225" s="4">
        <f t="shared" si="23"/>
        <v>24785</v>
      </c>
      <c r="X225" s="4">
        <f>IFERROR(INDEX(参数!$B$5:$B$7,MATCH($N225,参数!$A$5:$A$7,0)),"")</f>
        <v>1.5</v>
      </c>
      <c r="Y225" s="4">
        <f>IFERROR(INDEX(参数!$C$5:$C$7,MATCH($N225,参数!$A$5:$A$7,0)),"")</f>
        <v>1</v>
      </c>
      <c r="Z225" s="4">
        <f>IFERROR(INDEX(参数!$D$5:$D$7,MATCH($N225,参数!$A$5:$A$7,0)),"")</f>
        <v>1.5</v>
      </c>
      <c r="AA225" s="4">
        <f>IFERROR(INDEX(楼层配置!$E$5:$E$104,MATCH($K225,楼层配置!$B$5:$B$104,0)),1)</f>
        <v>1</v>
      </c>
      <c r="AB225" s="4">
        <f>IFERROR(INDEX(楼层配置!$F$5:$F$104,MATCH($K225,楼层配置!$B$5:$B$104,0)),1)</f>
        <v>1</v>
      </c>
      <c r="AC225" s="4">
        <f>IFERROR(INDEX(楼层配置!$G$5:$G$104,MATCH($K225,楼层配置!$B$5:$B$104,0)),1)</f>
        <v>1</v>
      </c>
      <c r="AD225" s="6">
        <f t="shared" si="24"/>
        <v>1.05275684754467</v>
      </c>
      <c r="AE225" s="6">
        <f t="shared" si="25"/>
        <v>0.858740435550324</v>
      </c>
      <c r="AF225" s="6">
        <f t="shared" si="26"/>
        <v>1.01049102314514</v>
      </c>
      <c r="AG225" s="4" t="str">
        <f t="shared" si="27"/>
        <v>有效</v>
      </c>
    </row>
    <row r="226" ht="14.25" customHeight="1" spans="1:33">
      <c r="A226" s="4">
        <v>222</v>
      </c>
      <c r="B226" s="4">
        <v>1001</v>
      </c>
      <c r="C226" s="4">
        <v>32</v>
      </c>
      <c r="D226" s="5">
        <f>IFERROR(ROUND($U226*$X226*$AA226*参数!$B$13,0),"")</f>
        <v>1297148</v>
      </c>
      <c r="E226" s="5">
        <f>IFERROR(ROUND($V226*$Y226*$AB226*参数!$C$13,0),"")</f>
        <v>30316</v>
      </c>
      <c r="F226" s="5">
        <f>IFERROR(ROUND($W226*$Z226*$AC226*参数!$D$13,0),"")</f>
        <v>24785</v>
      </c>
      <c r="G226" s="4">
        <v>631905</v>
      </c>
      <c r="H226" s="4">
        <v>16310</v>
      </c>
      <c r="I226" s="4">
        <v>12328</v>
      </c>
      <c r="J226" s="4">
        <v>45</v>
      </c>
      <c r="K226" s="4">
        <v>45</v>
      </c>
      <c r="L226" s="4">
        <f>IFERROR(INDEX(楼层配置!$D$5:$D$104,MATCH($K226,楼层配置!$B$5:$B$104,0)),"")</f>
        <v>282</v>
      </c>
      <c r="M226" s="4" t="str">
        <f>IFERROR(INDEX(_角色基线!$B$2:$B$100,MATCH($B226,_角色基线!$A$2:$A$100,0)),"")</f>
        <v>星海</v>
      </c>
      <c r="N226" s="4" t="str">
        <f>IFERROR(INDEX(_角色基线!$C$2:$C$100,MATCH($B226,_角色基线!$A$2:$A$100,0)),"")</f>
        <v>DPS</v>
      </c>
      <c r="O226" s="4">
        <f>IFERROR(INDEX(_怪物基线!$B$2:$B$501,MATCH(INT($L226),_怪物基线!$A$2:$A$501,0)),"")</f>
        <v>324287</v>
      </c>
      <c r="P226" s="4">
        <f>IFERROR(INDEX(_怪物基线!$C$2:$C$501,MATCH(INT($L226),_怪物基线!$A$2:$A$501,0)),"")</f>
        <v>21053</v>
      </c>
      <c r="Q226" s="4">
        <f>IFERROR(INDEX(_怪物基线!$D$2:$D$501,MATCH(INT($L226),_怪物基线!$A$2:$A$501,0)),"")</f>
        <v>24785</v>
      </c>
      <c r="R226" s="4">
        <f>参数!$B$10</f>
        <v>4</v>
      </c>
      <c r="S226" s="4">
        <f>参数!$C$10</f>
        <v>1.2</v>
      </c>
      <c r="T226" s="4">
        <f>参数!$D$10</f>
        <v>1</v>
      </c>
      <c r="U226" s="4">
        <f t="shared" si="21"/>
        <v>1297148</v>
      </c>
      <c r="V226" s="4">
        <f t="shared" si="22"/>
        <v>25263.6</v>
      </c>
      <c r="W226" s="4">
        <f t="shared" si="23"/>
        <v>24785</v>
      </c>
      <c r="X226" s="4">
        <f>IFERROR(INDEX(参数!$B$5:$B$7,MATCH($N226,参数!$A$5:$A$7,0)),"")</f>
        <v>1</v>
      </c>
      <c r="Y226" s="4">
        <f>IFERROR(INDEX(参数!$C$5:$C$7,MATCH($N226,参数!$A$5:$A$7,0)),"")</f>
        <v>1.2</v>
      </c>
      <c r="Z226" s="4">
        <f>IFERROR(INDEX(参数!$D$5:$D$7,MATCH($N226,参数!$A$5:$A$7,0)),"")</f>
        <v>1</v>
      </c>
      <c r="AA226" s="4">
        <f>IFERROR(INDEX(楼层配置!$E$5:$E$104,MATCH($K226,楼层配置!$B$5:$B$104,0)),1)</f>
        <v>1</v>
      </c>
      <c r="AB226" s="4">
        <f>IFERROR(INDEX(楼层配置!$F$5:$F$104,MATCH($K226,楼层配置!$B$5:$B$104,0)),1)</f>
        <v>1</v>
      </c>
      <c r="AC226" s="4">
        <f>IFERROR(INDEX(楼层配置!$G$5:$G$104,MATCH($K226,楼层配置!$B$5:$B$104,0)),1)</f>
        <v>1</v>
      </c>
      <c r="AD226" s="6">
        <f t="shared" si="24"/>
        <v>1.05275793038511</v>
      </c>
      <c r="AE226" s="6">
        <f t="shared" si="25"/>
        <v>0.858736971183323</v>
      </c>
      <c r="AF226" s="6">
        <f t="shared" si="26"/>
        <v>1.0104639844257</v>
      </c>
      <c r="AG226" s="4" t="str">
        <f t="shared" si="27"/>
        <v>有效</v>
      </c>
    </row>
    <row r="227" ht="14.25" customHeight="1" spans="1:33">
      <c r="A227" s="4">
        <v>223</v>
      </c>
      <c r="B227" s="4">
        <v>1021</v>
      </c>
      <c r="C227" s="4">
        <v>32</v>
      </c>
      <c r="D227" s="5">
        <f>IFERROR(ROUND($U227*$X227*$AA227*参数!$B$13,0),"")</f>
        <v>1297148</v>
      </c>
      <c r="E227" s="5">
        <f>IFERROR(ROUND($V227*$Y227*$AB227*参数!$C$13,0),"")</f>
        <v>30316</v>
      </c>
      <c r="F227" s="5">
        <f>IFERROR(ROUND($W227*$Z227*$AC227*参数!$D$13,0),"")</f>
        <v>24785</v>
      </c>
      <c r="G227" s="4">
        <v>631905</v>
      </c>
      <c r="H227" s="4">
        <v>16310</v>
      </c>
      <c r="I227" s="4">
        <v>12328</v>
      </c>
      <c r="J227" s="4">
        <v>45</v>
      </c>
      <c r="K227" s="4">
        <v>45</v>
      </c>
      <c r="L227" s="4">
        <f>IFERROR(INDEX(楼层配置!$D$5:$D$104,MATCH($K227,楼层配置!$B$5:$B$104,0)),"")</f>
        <v>282</v>
      </c>
      <c r="M227" s="4" t="str">
        <f>IFERROR(INDEX(_角色基线!$B$2:$B$100,MATCH($B227,_角色基线!$A$2:$A$100,0)),"")</f>
        <v>梅梅</v>
      </c>
      <c r="N227" s="4" t="str">
        <f>IFERROR(INDEX(_角色基线!$C$2:$C$100,MATCH($B227,_角色基线!$A$2:$A$100,0)),"")</f>
        <v>DPS</v>
      </c>
      <c r="O227" s="4">
        <f>IFERROR(INDEX(_怪物基线!$B$2:$B$501,MATCH(INT($L227),_怪物基线!$A$2:$A$501,0)),"")</f>
        <v>324287</v>
      </c>
      <c r="P227" s="4">
        <f>IFERROR(INDEX(_怪物基线!$C$2:$C$501,MATCH(INT($L227),_怪物基线!$A$2:$A$501,0)),"")</f>
        <v>21053</v>
      </c>
      <c r="Q227" s="4">
        <f>IFERROR(INDEX(_怪物基线!$D$2:$D$501,MATCH(INT($L227),_怪物基线!$A$2:$A$501,0)),"")</f>
        <v>24785</v>
      </c>
      <c r="R227" s="4">
        <f>参数!$B$10</f>
        <v>4</v>
      </c>
      <c r="S227" s="4">
        <f>参数!$C$10</f>
        <v>1.2</v>
      </c>
      <c r="T227" s="4">
        <f>参数!$D$10</f>
        <v>1</v>
      </c>
      <c r="U227" s="4">
        <f t="shared" si="21"/>
        <v>1297148</v>
      </c>
      <c r="V227" s="4">
        <f t="shared" si="22"/>
        <v>25263.6</v>
      </c>
      <c r="W227" s="4">
        <f t="shared" si="23"/>
        <v>24785</v>
      </c>
      <c r="X227" s="4">
        <f>IFERROR(INDEX(参数!$B$5:$B$7,MATCH($N227,参数!$A$5:$A$7,0)),"")</f>
        <v>1</v>
      </c>
      <c r="Y227" s="4">
        <f>IFERROR(INDEX(参数!$C$5:$C$7,MATCH($N227,参数!$A$5:$A$7,0)),"")</f>
        <v>1.2</v>
      </c>
      <c r="Z227" s="4">
        <f>IFERROR(INDEX(参数!$D$5:$D$7,MATCH($N227,参数!$A$5:$A$7,0)),"")</f>
        <v>1</v>
      </c>
      <c r="AA227" s="4">
        <f>IFERROR(INDEX(楼层配置!$E$5:$E$104,MATCH($K227,楼层配置!$B$5:$B$104,0)),1)</f>
        <v>1</v>
      </c>
      <c r="AB227" s="4">
        <f>IFERROR(INDEX(楼层配置!$F$5:$F$104,MATCH($K227,楼层配置!$B$5:$B$104,0)),1)</f>
        <v>1</v>
      </c>
      <c r="AC227" s="4">
        <f>IFERROR(INDEX(楼层配置!$G$5:$G$104,MATCH($K227,楼层配置!$B$5:$B$104,0)),1)</f>
        <v>1</v>
      </c>
      <c r="AD227" s="6">
        <f t="shared" si="24"/>
        <v>1.05275793038511</v>
      </c>
      <c r="AE227" s="6">
        <f t="shared" si="25"/>
        <v>0.858736971183323</v>
      </c>
      <c r="AF227" s="6">
        <f t="shared" si="26"/>
        <v>1.0104639844257</v>
      </c>
      <c r="AG227" s="4" t="str">
        <f t="shared" si="27"/>
        <v>有效</v>
      </c>
    </row>
    <row r="228" ht="14.25" customHeight="1" spans="1:33">
      <c r="A228" s="4">
        <v>224</v>
      </c>
      <c r="B228" s="4">
        <v>1020</v>
      </c>
      <c r="C228" s="4">
        <v>32</v>
      </c>
      <c r="D228" s="5">
        <f>IFERROR(ROUND($U228*$X228*$AA228*参数!$B$13,0),"")</f>
        <v>1621435</v>
      </c>
      <c r="E228" s="5">
        <f>IFERROR(ROUND($V228*$Y228*$AB228*参数!$C$13,0),"")</f>
        <v>25264</v>
      </c>
      <c r="F228" s="5">
        <f>IFERROR(ROUND($W228*$Z228*$AC228*参数!$D$13,0),"")</f>
        <v>30981</v>
      </c>
      <c r="G228" s="4">
        <v>789882</v>
      </c>
      <c r="H228" s="4">
        <v>13592</v>
      </c>
      <c r="I228" s="4">
        <v>15410</v>
      </c>
      <c r="J228" s="4">
        <v>45</v>
      </c>
      <c r="K228" s="4">
        <v>45</v>
      </c>
      <c r="L228" s="4">
        <f>IFERROR(INDEX(楼层配置!$D$5:$D$104,MATCH($K228,楼层配置!$B$5:$B$104,0)),"")</f>
        <v>282</v>
      </c>
      <c r="M228" s="4" t="str">
        <f>IFERROR(INDEX(_角色基线!$B$2:$B$100,MATCH($B228,_角色基线!$A$2:$A$100,0)),"")</f>
        <v>卡斯帕</v>
      </c>
      <c r="N228" s="4" t="str">
        <f>IFERROR(INDEX(_角色基线!$C$2:$C$100,MATCH($B228,_角色基线!$A$2:$A$100,0)),"")</f>
        <v>Support</v>
      </c>
      <c r="O228" s="4">
        <f>IFERROR(INDEX(_怪物基线!$B$2:$B$501,MATCH(INT($L228),_怪物基线!$A$2:$A$501,0)),"")</f>
        <v>324287</v>
      </c>
      <c r="P228" s="4">
        <f>IFERROR(INDEX(_怪物基线!$C$2:$C$501,MATCH(INT($L228),_怪物基线!$A$2:$A$501,0)),"")</f>
        <v>21053</v>
      </c>
      <c r="Q228" s="4">
        <f>IFERROR(INDEX(_怪物基线!$D$2:$D$501,MATCH(INT($L228),_怪物基线!$A$2:$A$501,0)),"")</f>
        <v>24785</v>
      </c>
      <c r="R228" s="4">
        <f>参数!$B$10</f>
        <v>4</v>
      </c>
      <c r="S228" s="4">
        <f>参数!$C$10</f>
        <v>1.2</v>
      </c>
      <c r="T228" s="4">
        <f>参数!$D$10</f>
        <v>1</v>
      </c>
      <c r="U228" s="4">
        <f t="shared" si="21"/>
        <v>1297148</v>
      </c>
      <c r="V228" s="4">
        <f t="shared" si="22"/>
        <v>25263.6</v>
      </c>
      <c r="W228" s="4">
        <f t="shared" si="23"/>
        <v>24785</v>
      </c>
      <c r="X228" s="4">
        <f>IFERROR(INDEX(参数!$B$5:$B$7,MATCH($N228,参数!$A$5:$A$7,0)),"")</f>
        <v>1.25</v>
      </c>
      <c r="Y228" s="4">
        <f>IFERROR(INDEX(参数!$C$5:$C$7,MATCH($N228,参数!$A$5:$A$7,0)),"")</f>
        <v>1</v>
      </c>
      <c r="Z228" s="4">
        <f>IFERROR(INDEX(参数!$D$5:$D$7,MATCH($N228,参数!$A$5:$A$7,0)),"")</f>
        <v>1.25</v>
      </c>
      <c r="AA228" s="4">
        <f>IFERROR(INDEX(楼层配置!$E$5:$E$104,MATCH($K228,楼层配置!$B$5:$B$104,0)),1)</f>
        <v>1</v>
      </c>
      <c r="AB228" s="4">
        <f>IFERROR(INDEX(楼层配置!$F$5:$F$104,MATCH($K228,楼层配置!$B$5:$B$104,0)),1)</f>
        <v>1</v>
      </c>
      <c r="AC228" s="4">
        <f>IFERROR(INDEX(楼层配置!$G$5:$G$104,MATCH($K228,楼层配置!$B$5:$B$104,0)),1)</f>
        <v>1</v>
      </c>
      <c r="AD228" s="6">
        <f t="shared" si="24"/>
        <v>1.05275598127315</v>
      </c>
      <c r="AE228" s="6">
        <f t="shared" si="25"/>
        <v>0.858740435550324</v>
      </c>
      <c r="AF228" s="6">
        <f t="shared" si="26"/>
        <v>1.01044776119403</v>
      </c>
      <c r="AG228" s="4" t="str">
        <f t="shared" si="27"/>
        <v>有效</v>
      </c>
    </row>
    <row r="229" ht="14.25" customHeight="1" spans="1:33">
      <c r="A229" s="4">
        <v>225</v>
      </c>
      <c r="B229" s="4">
        <v>1011</v>
      </c>
      <c r="C229" s="4">
        <v>32</v>
      </c>
      <c r="D229" s="5">
        <f>IFERROR(ROUND($U229*$X229*$AA229*参数!$B$13,0),"")</f>
        <v>1621435</v>
      </c>
      <c r="E229" s="5">
        <f>IFERROR(ROUND($V229*$Y229*$AB229*参数!$C$13,0),"")</f>
        <v>25264</v>
      </c>
      <c r="F229" s="5">
        <f>IFERROR(ROUND($W229*$Z229*$AC229*参数!$D$13,0),"")</f>
        <v>30981</v>
      </c>
      <c r="G229" s="4">
        <v>789882</v>
      </c>
      <c r="H229" s="4">
        <v>13592</v>
      </c>
      <c r="I229" s="4">
        <v>15410</v>
      </c>
      <c r="J229" s="4">
        <v>45</v>
      </c>
      <c r="K229" s="4">
        <v>45</v>
      </c>
      <c r="L229" s="4">
        <f>IFERROR(INDEX(楼层配置!$D$5:$D$104,MATCH($K229,楼层配置!$B$5:$B$104,0)),"")</f>
        <v>282</v>
      </c>
      <c r="M229" s="4" t="str">
        <f>IFERROR(INDEX(_角色基线!$B$2:$B$100,MATCH($B229,_角色基线!$A$2:$A$100,0)),"")</f>
        <v>陈双双</v>
      </c>
      <c r="N229" s="4" t="str">
        <f>IFERROR(INDEX(_角色基线!$C$2:$C$100,MATCH($B229,_角色基线!$A$2:$A$100,0)),"")</f>
        <v>Support</v>
      </c>
      <c r="O229" s="4">
        <f>IFERROR(INDEX(_怪物基线!$B$2:$B$501,MATCH(INT($L229),_怪物基线!$A$2:$A$501,0)),"")</f>
        <v>324287</v>
      </c>
      <c r="P229" s="4">
        <f>IFERROR(INDEX(_怪物基线!$C$2:$C$501,MATCH(INT($L229),_怪物基线!$A$2:$A$501,0)),"")</f>
        <v>21053</v>
      </c>
      <c r="Q229" s="4">
        <f>IFERROR(INDEX(_怪物基线!$D$2:$D$501,MATCH(INT($L229),_怪物基线!$A$2:$A$501,0)),"")</f>
        <v>24785</v>
      </c>
      <c r="R229" s="4">
        <f>参数!$B$10</f>
        <v>4</v>
      </c>
      <c r="S229" s="4">
        <f>参数!$C$10</f>
        <v>1.2</v>
      </c>
      <c r="T229" s="4">
        <f>参数!$D$10</f>
        <v>1</v>
      </c>
      <c r="U229" s="4">
        <f t="shared" si="21"/>
        <v>1297148</v>
      </c>
      <c r="V229" s="4">
        <f t="shared" si="22"/>
        <v>25263.6</v>
      </c>
      <c r="W229" s="4">
        <f t="shared" si="23"/>
        <v>24785</v>
      </c>
      <c r="X229" s="4">
        <f>IFERROR(INDEX(参数!$B$5:$B$7,MATCH($N229,参数!$A$5:$A$7,0)),"")</f>
        <v>1.25</v>
      </c>
      <c r="Y229" s="4">
        <f>IFERROR(INDEX(参数!$C$5:$C$7,MATCH($N229,参数!$A$5:$A$7,0)),"")</f>
        <v>1</v>
      </c>
      <c r="Z229" s="4">
        <f>IFERROR(INDEX(参数!$D$5:$D$7,MATCH($N229,参数!$A$5:$A$7,0)),"")</f>
        <v>1.25</v>
      </c>
      <c r="AA229" s="4">
        <f>IFERROR(INDEX(楼层配置!$E$5:$E$104,MATCH($K229,楼层配置!$B$5:$B$104,0)),1)</f>
        <v>1</v>
      </c>
      <c r="AB229" s="4">
        <f>IFERROR(INDEX(楼层配置!$F$5:$F$104,MATCH($K229,楼层配置!$B$5:$B$104,0)),1)</f>
        <v>1</v>
      </c>
      <c r="AC229" s="4">
        <f>IFERROR(INDEX(楼层配置!$G$5:$G$104,MATCH($K229,楼层配置!$B$5:$B$104,0)),1)</f>
        <v>1</v>
      </c>
      <c r="AD229" s="6">
        <f t="shared" si="24"/>
        <v>1.05275598127315</v>
      </c>
      <c r="AE229" s="6">
        <f t="shared" si="25"/>
        <v>0.858740435550324</v>
      </c>
      <c r="AF229" s="6">
        <f t="shared" si="26"/>
        <v>1.01044776119403</v>
      </c>
      <c r="AG229" s="4" t="str">
        <f t="shared" si="27"/>
        <v>有效</v>
      </c>
    </row>
    <row r="230" ht="14.25" customHeight="1" spans="1:33">
      <c r="A230" s="4">
        <v>226</v>
      </c>
      <c r="B230" s="4">
        <v>1030</v>
      </c>
      <c r="C230" s="4">
        <v>33</v>
      </c>
      <c r="D230" s="5">
        <f>IFERROR(ROUND($U230*$X230*$AA230*参数!$B$13,0),"")</f>
        <v>2019792</v>
      </c>
      <c r="E230" s="5">
        <f>IFERROR(ROUND($V230*$Y230*$AB230*参数!$C$13,0),"")</f>
        <v>25956</v>
      </c>
      <c r="F230" s="5">
        <f>IFERROR(ROUND($W230*$Z230*$AC230*参数!$D$13,0),"")</f>
        <v>37901</v>
      </c>
      <c r="G230" s="4">
        <v>994471</v>
      </c>
      <c r="H230" s="4">
        <v>14033</v>
      </c>
      <c r="I230" s="4">
        <v>18976</v>
      </c>
      <c r="J230" s="4">
        <v>46</v>
      </c>
      <c r="K230" s="4">
        <v>46</v>
      </c>
      <c r="L230" s="4">
        <f>IFERROR(INDEX(楼层配置!$D$5:$D$104,MATCH($K230,楼层配置!$B$5:$B$104,0)),"")</f>
        <v>286</v>
      </c>
      <c r="M230" s="4" t="str">
        <f>IFERROR(INDEX(_角色基线!$B$2:$B$100,MATCH($B230,_角色基线!$A$2:$A$100,0)),"")</f>
        <v>莫莉</v>
      </c>
      <c r="N230" s="4" t="str">
        <f>IFERROR(INDEX(_角色基线!$C$2:$C$100,MATCH($B230,_角色基线!$A$2:$A$100,0)),"")</f>
        <v>Tank</v>
      </c>
      <c r="O230" s="4">
        <f>IFERROR(INDEX(_怪物基线!$B$2:$B$501,MATCH(INT($L230),_怪物基线!$A$2:$A$501,0)),"")</f>
        <v>336632</v>
      </c>
      <c r="P230" s="4">
        <f>IFERROR(INDEX(_怪物基线!$C$2:$C$501,MATCH(INT($L230),_怪物基线!$A$2:$A$501,0)),"")</f>
        <v>21630</v>
      </c>
      <c r="Q230" s="4">
        <f>IFERROR(INDEX(_怪物基线!$D$2:$D$501,MATCH(INT($L230),_怪物基线!$A$2:$A$501,0)),"")</f>
        <v>25267</v>
      </c>
      <c r="R230" s="4">
        <f>参数!$B$10</f>
        <v>4</v>
      </c>
      <c r="S230" s="4">
        <f>参数!$C$10</f>
        <v>1.2</v>
      </c>
      <c r="T230" s="4">
        <f>参数!$D$10</f>
        <v>1</v>
      </c>
      <c r="U230" s="4">
        <f t="shared" si="21"/>
        <v>1346528</v>
      </c>
      <c r="V230" s="4">
        <f t="shared" si="22"/>
        <v>25956</v>
      </c>
      <c r="W230" s="4">
        <f t="shared" si="23"/>
        <v>25267</v>
      </c>
      <c r="X230" s="4">
        <f>IFERROR(INDEX(参数!$B$5:$B$7,MATCH($N230,参数!$A$5:$A$7,0)),"")</f>
        <v>1.5</v>
      </c>
      <c r="Y230" s="4">
        <f>IFERROR(INDEX(参数!$C$5:$C$7,MATCH($N230,参数!$A$5:$A$7,0)),"")</f>
        <v>1</v>
      </c>
      <c r="Z230" s="4">
        <f>IFERROR(INDEX(参数!$D$5:$D$7,MATCH($N230,参数!$A$5:$A$7,0)),"")</f>
        <v>1.5</v>
      </c>
      <c r="AA230" s="4">
        <f>IFERROR(INDEX(楼层配置!$E$5:$E$104,MATCH($K230,楼层配置!$B$5:$B$104,0)),1)</f>
        <v>1</v>
      </c>
      <c r="AB230" s="4">
        <f>IFERROR(INDEX(楼层配置!$F$5:$F$104,MATCH($K230,楼层配置!$B$5:$B$104,0)),1)</f>
        <v>1</v>
      </c>
      <c r="AC230" s="4">
        <f>IFERROR(INDEX(楼层配置!$G$5:$G$104,MATCH($K230,楼层配置!$B$5:$B$104,0)),1)</f>
        <v>1</v>
      </c>
      <c r="AD230" s="6">
        <f t="shared" si="24"/>
        <v>1.03102151797287</v>
      </c>
      <c r="AE230" s="6">
        <f t="shared" si="25"/>
        <v>0.849640133969928</v>
      </c>
      <c r="AF230" s="6">
        <f t="shared" si="26"/>
        <v>0.99731239460371</v>
      </c>
      <c r="AG230" s="4" t="str">
        <f t="shared" si="27"/>
        <v>有效</v>
      </c>
    </row>
    <row r="231" ht="14.25" customHeight="1" spans="1:33">
      <c r="A231" s="4">
        <v>227</v>
      </c>
      <c r="B231" s="4">
        <v>1012</v>
      </c>
      <c r="C231" s="4">
        <v>33</v>
      </c>
      <c r="D231" s="5">
        <f>IFERROR(ROUND($U231*$X231*$AA231*参数!$B$13,0),"")</f>
        <v>1683160</v>
      </c>
      <c r="E231" s="5">
        <f>IFERROR(ROUND($V231*$Y231*$AB231*参数!$C$13,0),"")</f>
        <v>25956</v>
      </c>
      <c r="F231" s="5">
        <f>IFERROR(ROUND($W231*$Z231*$AC231*参数!$D$13,0),"")</f>
        <v>31584</v>
      </c>
      <c r="G231" s="4">
        <v>828726</v>
      </c>
      <c r="H231" s="4">
        <v>14033</v>
      </c>
      <c r="I231" s="4">
        <v>15814</v>
      </c>
      <c r="J231" s="4">
        <v>46</v>
      </c>
      <c r="K231" s="4">
        <v>46</v>
      </c>
      <c r="L231" s="4">
        <f>IFERROR(INDEX(楼层配置!$D$5:$D$104,MATCH($K231,楼层配置!$B$5:$B$104,0)),"")</f>
        <v>286</v>
      </c>
      <c r="M231" s="4" t="str">
        <f>IFERROR(INDEX(_角色基线!$B$2:$B$100,MATCH($B231,_角色基线!$A$2:$A$100,0)),"")</f>
        <v>艾德琳</v>
      </c>
      <c r="N231" s="4" t="str">
        <f>IFERROR(INDEX(_角色基线!$C$2:$C$100,MATCH($B231,_角色基线!$A$2:$A$100,0)),"")</f>
        <v>Support</v>
      </c>
      <c r="O231" s="4">
        <f>IFERROR(INDEX(_怪物基线!$B$2:$B$501,MATCH(INT($L231),_怪物基线!$A$2:$A$501,0)),"")</f>
        <v>336632</v>
      </c>
      <c r="P231" s="4">
        <f>IFERROR(INDEX(_怪物基线!$C$2:$C$501,MATCH(INT($L231),_怪物基线!$A$2:$A$501,0)),"")</f>
        <v>21630</v>
      </c>
      <c r="Q231" s="4">
        <f>IFERROR(INDEX(_怪物基线!$D$2:$D$501,MATCH(INT($L231),_怪物基线!$A$2:$A$501,0)),"")</f>
        <v>25267</v>
      </c>
      <c r="R231" s="4">
        <f>参数!$B$10</f>
        <v>4</v>
      </c>
      <c r="S231" s="4">
        <f>参数!$C$10</f>
        <v>1.2</v>
      </c>
      <c r="T231" s="4">
        <f>参数!$D$10</f>
        <v>1</v>
      </c>
      <c r="U231" s="4">
        <f t="shared" si="21"/>
        <v>1346528</v>
      </c>
      <c r="V231" s="4">
        <f t="shared" si="22"/>
        <v>25956</v>
      </c>
      <c r="W231" s="4">
        <f t="shared" si="23"/>
        <v>25267</v>
      </c>
      <c r="X231" s="4">
        <f>IFERROR(INDEX(参数!$B$5:$B$7,MATCH($N231,参数!$A$5:$A$7,0)),"")</f>
        <v>1.25</v>
      </c>
      <c r="Y231" s="4">
        <f>IFERROR(INDEX(参数!$C$5:$C$7,MATCH($N231,参数!$A$5:$A$7,0)),"")</f>
        <v>1</v>
      </c>
      <c r="Z231" s="4">
        <f>IFERROR(INDEX(参数!$D$5:$D$7,MATCH($N231,参数!$A$5:$A$7,0)),"")</f>
        <v>1.25</v>
      </c>
      <c r="AA231" s="4">
        <f>IFERROR(INDEX(楼层配置!$E$5:$E$104,MATCH($K231,楼层配置!$B$5:$B$104,0)),1)</f>
        <v>1</v>
      </c>
      <c r="AB231" s="4">
        <f>IFERROR(INDEX(楼层配置!$F$5:$F$104,MATCH($K231,楼层配置!$B$5:$B$104,0)),1)</f>
        <v>1</v>
      </c>
      <c r="AC231" s="4">
        <f>IFERROR(INDEX(楼层配置!$G$5:$G$104,MATCH($K231,楼层配置!$B$5:$B$104,0)),1)</f>
        <v>1</v>
      </c>
      <c r="AD231" s="6">
        <f t="shared" si="24"/>
        <v>1.03102110951026</v>
      </c>
      <c r="AE231" s="6">
        <f t="shared" si="25"/>
        <v>0.849640133969928</v>
      </c>
      <c r="AF231" s="6">
        <f t="shared" si="26"/>
        <v>0.997217655242191</v>
      </c>
      <c r="AG231" s="4" t="str">
        <f t="shared" si="27"/>
        <v>有效</v>
      </c>
    </row>
    <row r="232" ht="14.25" customHeight="1" spans="1:33">
      <c r="A232" s="4">
        <v>228</v>
      </c>
      <c r="B232" s="4">
        <v>1011</v>
      </c>
      <c r="C232" s="4">
        <v>33</v>
      </c>
      <c r="D232" s="5">
        <f>IFERROR(ROUND($U232*$X232*$AA232*参数!$B$13,0),"")</f>
        <v>1683160</v>
      </c>
      <c r="E232" s="5">
        <f>IFERROR(ROUND($V232*$Y232*$AB232*参数!$C$13,0),"")</f>
        <v>25956</v>
      </c>
      <c r="F232" s="5">
        <f>IFERROR(ROUND($W232*$Z232*$AC232*参数!$D$13,0),"")</f>
        <v>31584</v>
      </c>
      <c r="G232" s="4">
        <v>828726</v>
      </c>
      <c r="H232" s="4">
        <v>14033</v>
      </c>
      <c r="I232" s="4">
        <v>15814</v>
      </c>
      <c r="J232" s="4">
        <v>46</v>
      </c>
      <c r="K232" s="4">
        <v>46</v>
      </c>
      <c r="L232" s="4">
        <f>IFERROR(INDEX(楼层配置!$D$5:$D$104,MATCH($K232,楼层配置!$B$5:$B$104,0)),"")</f>
        <v>286</v>
      </c>
      <c r="M232" s="4" t="str">
        <f>IFERROR(INDEX(_角色基线!$B$2:$B$100,MATCH($B232,_角色基线!$A$2:$A$100,0)),"")</f>
        <v>陈双双</v>
      </c>
      <c r="N232" s="4" t="str">
        <f>IFERROR(INDEX(_角色基线!$C$2:$C$100,MATCH($B232,_角色基线!$A$2:$A$100,0)),"")</f>
        <v>Support</v>
      </c>
      <c r="O232" s="4">
        <f>IFERROR(INDEX(_怪物基线!$B$2:$B$501,MATCH(INT($L232),_怪物基线!$A$2:$A$501,0)),"")</f>
        <v>336632</v>
      </c>
      <c r="P232" s="4">
        <f>IFERROR(INDEX(_怪物基线!$C$2:$C$501,MATCH(INT($L232),_怪物基线!$A$2:$A$501,0)),"")</f>
        <v>21630</v>
      </c>
      <c r="Q232" s="4">
        <f>IFERROR(INDEX(_怪物基线!$D$2:$D$501,MATCH(INT($L232),_怪物基线!$A$2:$A$501,0)),"")</f>
        <v>25267</v>
      </c>
      <c r="R232" s="4">
        <f>参数!$B$10</f>
        <v>4</v>
      </c>
      <c r="S232" s="4">
        <f>参数!$C$10</f>
        <v>1.2</v>
      </c>
      <c r="T232" s="4">
        <f>参数!$D$10</f>
        <v>1</v>
      </c>
      <c r="U232" s="4">
        <f t="shared" si="21"/>
        <v>1346528</v>
      </c>
      <c r="V232" s="4">
        <f t="shared" si="22"/>
        <v>25956</v>
      </c>
      <c r="W232" s="4">
        <f t="shared" si="23"/>
        <v>25267</v>
      </c>
      <c r="X232" s="4">
        <f>IFERROR(INDEX(参数!$B$5:$B$7,MATCH($N232,参数!$A$5:$A$7,0)),"")</f>
        <v>1.25</v>
      </c>
      <c r="Y232" s="4">
        <f>IFERROR(INDEX(参数!$C$5:$C$7,MATCH($N232,参数!$A$5:$A$7,0)),"")</f>
        <v>1</v>
      </c>
      <c r="Z232" s="4">
        <f>IFERROR(INDEX(参数!$D$5:$D$7,MATCH($N232,参数!$A$5:$A$7,0)),"")</f>
        <v>1.25</v>
      </c>
      <c r="AA232" s="4">
        <f>IFERROR(INDEX(楼层配置!$E$5:$E$104,MATCH($K232,楼层配置!$B$5:$B$104,0)),1)</f>
        <v>1</v>
      </c>
      <c r="AB232" s="4">
        <f>IFERROR(INDEX(楼层配置!$F$5:$F$104,MATCH($K232,楼层配置!$B$5:$B$104,0)),1)</f>
        <v>1</v>
      </c>
      <c r="AC232" s="4">
        <f>IFERROR(INDEX(楼层配置!$G$5:$G$104,MATCH($K232,楼层配置!$B$5:$B$104,0)),1)</f>
        <v>1</v>
      </c>
      <c r="AD232" s="6">
        <f t="shared" si="24"/>
        <v>1.03102110951026</v>
      </c>
      <c r="AE232" s="6">
        <f t="shared" si="25"/>
        <v>0.849640133969928</v>
      </c>
      <c r="AF232" s="6">
        <f t="shared" si="26"/>
        <v>0.997217655242191</v>
      </c>
      <c r="AG232" s="4" t="str">
        <f t="shared" si="27"/>
        <v>有效</v>
      </c>
    </row>
    <row r="233" ht="14.25" customHeight="1" spans="1:33">
      <c r="A233" s="4">
        <v>229</v>
      </c>
      <c r="B233" s="4">
        <v>1018</v>
      </c>
      <c r="C233" s="4">
        <v>33</v>
      </c>
      <c r="D233" s="5">
        <f>IFERROR(ROUND($U233*$X233*$AA233*参数!$B$13,0),"")</f>
        <v>1683160</v>
      </c>
      <c r="E233" s="5">
        <f>IFERROR(ROUND($V233*$Y233*$AB233*参数!$C$13,0),"")</f>
        <v>25956</v>
      </c>
      <c r="F233" s="5">
        <f>IFERROR(ROUND($W233*$Z233*$AC233*参数!$D$13,0),"")</f>
        <v>31584</v>
      </c>
      <c r="G233" s="4">
        <v>828726</v>
      </c>
      <c r="H233" s="4">
        <v>14033</v>
      </c>
      <c r="I233" s="4">
        <v>15814</v>
      </c>
      <c r="J233" s="4">
        <v>46</v>
      </c>
      <c r="K233" s="4">
        <v>46</v>
      </c>
      <c r="L233" s="4">
        <f>IFERROR(INDEX(楼层配置!$D$5:$D$104,MATCH($K233,楼层配置!$B$5:$B$104,0)),"")</f>
        <v>286</v>
      </c>
      <c r="M233" s="4" t="str">
        <f>IFERROR(INDEX(_角色基线!$B$2:$B$100,MATCH($B233,_角色基线!$A$2:$A$100,0)),"")</f>
        <v>埃莉诺</v>
      </c>
      <c r="N233" s="4" t="str">
        <f>IFERROR(INDEX(_角色基线!$C$2:$C$100,MATCH($B233,_角色基线!$A$2:$A$100,0)),"")</f>
        <v>Support</v>
      </c>
      <c r="O233" s="4">
        <f>IFERROR(INDEX(_怪物基线!$B$2:$B$501,MATCH(INT($L233),_怪物基线!$A$2:$A$501,0)),"")</f>
        <v>336632</v>
      </c>
      <c r="P233" s="4">
        <f>IFERROR(INDEX(_怪物基线!$C$2:$C$501,MATCH(INT($L233),_怪物基线!$A$2:$A$501,0)),"")</f>
        <v>21630</v>
      </c>
      <c r="Q233" s="4">
        <f>IFERROR(INDEX(_怪物基线!$D$2:$D$501,MATCH(INT($L233),_怪物基线!$A$2:$A$501,0)),"")</f>
        <v>25267</v>
      </c>
      <c r="R233" s="4">
        <f>参数!$B$10</f>
        <v>4</v>
      </c>
      <c r="S233" s="4">
        <f>参数!$C$10</f>
        <v>1.2</v>
      </c>
      <c r="T233" s="4">
        <f>参数!$D$10</f>
        <v>1</v>
      </c>
      <c r="U233" s="4">
        <f t="shared" si="21"/>
        <v>1346528</v>
      </c>
      <c r="V233" s="4">
        <f t="shared" si="22"/>
        <v>25956</v>
      </c>
      <c r="W233" s="4">
        <f t="shared" si="23"/>
        <v>25267</v>
      </c>
      <c r="X233" s="4">
        <f>IFERROR(INDEX(参数!$B$5:$B$7,MATCH($N233,参数!$A$5:$A$7,0)),"")</f>
        <v>1.25</v>
      </c>
      <c r="Y233" s="4">
        <f>IFERROR(INDEX(参数!$C$5:$C$7,MATCH($N233,参数!$A$5:$A$7,0)),"")</f>
        <v>1</v>
      </c>
      <c r="Z233" s="4">
        <f>IFERROR(INDEX(参数!$D$5:$D$7,MATCH($N233,参数!$A$5:$A$7,0)),"")</f>
        <v>1.25</v>
      </c>
      <c r="AA233" s="4">
        <f>IFERROR(INDEX(楼层配置!$E$5:$E$104,MATCH($K233,楼层配置!$B$5:$B$104,0)),1)</f>
        <v>1</v>
      </c>
      <c r="AB233" s="4">
        <f>IFERROR(INDEX(楼层配置!$F$5:$F$104,MATCH($K233,楼层配置!$B$5:$B$104,0)),1)</f>
        <v>1</v>
      </c>
      <c r="AC233" s="4">
        <f>IFERROR(INDEX(楼层配置!$G$5:$G$104,MATCH($K233,楼层配置!$B$5:$B$104,0)),1)</f>
        <v>1</v>
      </c>
      <c r="AD233" s="6">
        <f t="shared" si="24"/>
        <v>1.03102110951026</v>
      </c>
      <c r="AE233" s="6">
        <f t="shared" si="25"/>
        <v>0.849640133969928</v>
      </c>
      <c r="AF233" s="6">
        <f t="shared" si="26"/>
        <v>0.997217655242191</v>
      </c>
      <c r="AG233" s="4" t="str">
        <f t="shared" si="27"/>
        <v>有效</v>
      </c>
    </row>
    <row r="234" ht="14.25" customHeight="1" spans="1:33">
      <c r="A234" s="4">
        <v>230</v>
      </c>
      <c r="B234" s="4">
        <v>1018</v>
      </c>
      <c r="C234" s="4">
        <v>33</v>
      </c>
      <c r="D234" s="5">
        <f>IFERROR(ROUND($U234*$X234*$AA234*参数!$B$13,0),"")</f>
        <v>1683160</v>
      </c>
      <c r="E234" s="5">
        <f>IFERROR(ROUND($V234*$Y234*$AB234*参数!$C$13,0),"")</f>
        <v>25956</v>
      </c>
      <c r="F234" s="5">
        <f>IFERROR(ROUND($W234*$Z234*$AC234*参数!$D$13,0),"")</f>
        <v>31584</v>
      </c>
      <c r="G234" s="4">
        <v>828726</v>
      </c>
      <c r="H234" s="4">
        <v>14033</v>
      </c>
      <c r="I234" s="4">
        <v>15814</v>
      </c>
      <c r="J234" s="4">
        <v>46</v>
      </c>
      <c r="K234" s="4">
        <v>46</v>
      </c>
      <c r="L234" s="4">
        <f>IFERROR(INDEX(楼层配置!$D$5:$D$104,MATCH($K234,楼层配置!$B$5:$B$104,0)),"")</f>
        <v>286</v>
      </c>
      <c r="M234" s="4" t="str">
        <f>IFERROR(INDEX(_角色基线!$B$2:$B$100,MATCH($B234,_角色基线!$A$2:$A$100,0)),"")</f>
        <v>埃莉诺</v>
      </c>
      <c r="N234" s="4" t="str">
        <f>IFERROR(INDEX(_角色基线!$C$2:$C$100,MATCH($B234,_角色基线!$A$2:$A$100,0)),"")</f>
        <v>Support</v>
      </c>
      <c r="O234" s="4">
        <f>IFERROR(INDEX(_怪物基线!$B$2:$B$501,MATCH(INT($L234),_怪物基线!$A$2:$A$501,0)),"")</f>
        <v>336632</v>
      </c>
      <c r="P234" s="4">
        <f>IFERROR(INDEX(_怪物基线!$C$2:$C$501,MATCH(INT($L234),_怪物基线!$A$2:$A$501,0)),"")</f>
        <v>21630</v>
      </c>
      <c r="Q234" s="4">
        <f>IFERROR(INDEX(_怪物基线!$D$2:$D$501,MATCH(INT($L234),_怪物基线!$A$2:$A$501,0)),"")</f>
        <v>25267</v>
      </c>
      <c r="R234" s="4">
        <f>参数!$B$10</f>
        <v>4</v>
      </c>
      <c r="S234" s="4">
        <f>参数!$C$10</f>
        <v>1.2</v>
      </c>
      <c r="T234" s="4">
        <f>参数!$D$10</f>
        <v>1</v>
      </c>
      <c r="U234" s="4">
        <f t="shared" si="21"/>
        <v>1346528</v>
      </c>
      <c r="V234" s="4">
        <f t="shared" si="22"/>
        <v>25956</v>
      </c>
      <c r="W234" s="4">
        <f t="shared" si="23"/>
        <v>25267</v>
      </c>
      <c r="X234" s="4">
        <f>IFERROR(INDEX(参数!$B$5:$B$7,MATCH($N234,参数!$A$5:$A$7,0)),"")</f>
        <v>1.25</v>
      </c>
      <c r="Y234" s="4">
        <f>IFERROR(INDEX(参数!$C$5:$C$7,MATCH($N234,参数!$A$5:$A$7,0)),"")</f>
        <v>1</v>
      </c>
      <c r="Z234" s="4">
        <f>IFERROR(INDEX(参数!$D$5:$D$7,MATCH($N234,参数!$A$5:$A$7,0)),"")</f>
        <v>1.25</v>
      </c>
      <c r="AA234" s="4">
        <f>IFERROR(INDEX(楼层配置!$E$5:$E$104,MATCH($K234,楼层配置!$B$5:$B$104,0)),1)</f>
        <v>1</v>
      </c>
      <c r="AB234" s="4">
        <f>IFERROR(INDEX(楼层配置!$F$5:$F$104,MATCH($K234,楼层配置!$B$5:$B$104,0)),1)</f>
        <v>1</v>
      </c>
      <c r="AC234" s="4">
        <f>IFERROR(INDEX(楼层配置!$G$5:$G$104,MATCH($K234,楼层配置!$B$5:$B$104,0)),1)</f>
        <v>1</v>
      </c>
      <c r="AD234" s="6">
        <f t="shared" si="24"/>
        <v>1.03102110951026</v>
      </c>
      <c r="AE234" s="6">
        <f t="shared" si="25"/>
        <v>0.849640133969928</v>
      </c>
      <c r="AF234" s="6">
        <f t="shared" si="26"/>
        <v>0.997217655242191</v>
      </c>
      <c r="AG234" s="4" t="str">
        <f t="shared" si="27"/>
        <v>有效</v>
      </c>
    </row>
    <row r="235" ht="14.25" customHeight="1" spans="1:33">
      <c r="A235" s="4">
        <v>231</v>
      </c>
      <c r="B235" s="4">
        <v>1030</v>
      </c>
      <c r="C235" s="4">
        <v>33</v>
      </c>
      <c r="D235" s="5">
        <f>IFERROR(ROUND($U235*$X235*$AA235*参数!$B$13,0),"")</f>
        <v>2076684</v>
      </c>
      <c r="E235" s="5">
        <f>IFERROR(ROUND($V235*$Y235*$AB235*参数!$C$13,0),"")</f>
        <v>26486</v>
      </c>
      <c r="F235" s="5">
        <f>IFERROR(ROUND($W235*$Z235*$AC235*参数!$D$13,0),"")</f>
        <v>38445</v>
      </c>
      <c r="G235" s="4">
        <v>1042682</v>
      </c>
      <c r="H235" s="4">
        <v>14482</v>
      </c>
      <c r="I235" s="4">
        <v>19466</v>
      </c>
      <c r="J235" s="4">
        <v>47</v>
      </c>
      <c r="K235" s="4">
        <v>47</v>
      </c>
      <c r="L235" s="4">
        <f>IFERROR(INDEX(楼层配置!$D$5:$D$104,MATCH($K235,楼层配置!$B$5:$B$104,0)),"")</f>
        <v>289</v>
      </c>
      <c r="M235" s="4" t="str">
        <f>IFERROR(INDEX(_角色基线!$B$2:$B$100,MATCH($B235,_角色基线!$A$2:$A$100,0)),"")</f>
        <v>莫莉</v>
      </c>
      <c r="N235" s="4" t="str">
        <f>IFERROR(INDEX(_角色基线!$C$2:$C$100,MATCH($B235,_角色基线!$A$2:$A$100,0)),"")</f>
        <v>Tank</v>
      </c>
      <c r="O235" s="4">
        <f>IFERROR(INDEX(_怪物基线!$B$2:$B$501,MATCH(INT($L235),_怪物基线!$A$2:$A$501,0)),"")</f>
        <v>346114</v>
      </c>
      <c r="P235" s="4">
        <f>IFERROR(INDEX(_怪物基线!$C$2:$C$501,MATCH(INT($L235),_怪物基线!$A$2:$A$501,0)),"")</f>
        <v>22072</v>
      </c>
      <c r="Q235" s="4">
        <f>IFERROR(INDEX(_怪物基线!$D$2:$D$501,MATCH(INT($L235),_怪物基线!$A$2:$A$501,0)),"")</f>
        <v>25630</v>
      </c>
      <c r="R235" s="4">
        <f>参数!$B$10</f>
        <v>4</v>
      </c>
      <c r="S235" s="4">
        <f>参数!$C$10</f>
        <v>1.2</v>
      </c>
      <c r="T235" s="4">
        <f>参数!$D$10</f>
        <v>1</v>
      </c>
      <c r="U235" s="4">
        <f t="shared" si="21"/>
        <v>1384456</v>
      </c>
      <c r="V235" s="4">
        <f t="shared" si="22"/>
        <v>26486.4</v>
      </c>
      <c r="W235" s="4">
        <f t="shared" si="23"/>
        <v>25630</v>
      </c>
      <c r="X235" s="4">
        <f>IFERROR(INDEX(参数!$B$5:$B$7,MATCH($N235,参数!$A$5:$A$7,0)),"")</f>
        <v>1.5</v>
      </c>
      <c r="Y235" s="4">
        <f>IFERROR(INDEX(参数!$C$5:$C$7,MATCH($N235,参数!$A$5:$A$7,0)),"")</f>
        <v>1</v>
      </c>
      <c r="Z235" s="4">
        <f>IFERROR(INDEX(参数!$D$5:$D$7,MATCH($N235,参数!$A$5:$A$7,0)),"")</f>
        <v>1.5</v>
      </c>
      <c r="AA235" s="4">
        <f>IFERROR(INDEX(楼层配置!$E$5:$E$104,MATCH($K235,楼层配置!$B$5:$B$104,0)),1)</f>
        <v>1</v>
      </c>
      <c r="AB235" s="4">
        <f>IFERROR(INDEX(楼层配置!$F$5:$F$104,MATCH($K235,楼层配置!$B$5:$B$104,0)),1)</f>
        <v>1</v>
      </c>
      <c r="AC235" s="4">
        <f>IFERROR(INDEX(楼层配置!$G$5:$G$104,MATCH($K235,楼层配置!$B$5:$B$104,0)),1)</f>
        <v>1</v>
      </c>
      <c r="AD235" s="6">
        <f t="shared" si="24"/>
        <v>0.991675314237706</v>
      </c>
      <c r="AE235" s="6">
        <f t="shared" si="25"/>
        <v>0.828891037149565</v>
      </c>
      <c r="AF235" s="6">
        <f t="shared" si="26"/>
        <v>0.974982019932189</v>
      </c>
      <c r="AG235" s="4" t="str">
        <f t="shared" si="27"/>
        <v>有效</v>
      </c>
    </row>
    <row r="236" ht="14.25" customHeight="1" spans="1:33">
      <c r="A236" s="4">
        <v>232</v>
      </c>
      <c r="B236" s="4">
        <v>1012</v>
      </c>
      <c r="C236" s="4">
        <v>33</v>
      </c>
      <c r="D236" s="5">
        <f>IFERROR(ROUND($U236*$X236*$AA236*参数!$B$13,0),"")</f>
        <v>1730570</v>
      </c>
      <c r="E236" s="5">
        <f>IFERROR(ROUND($V236*$Y236*$AB236*参数!$C$13,0),"")</f>
        <v>26486</v>
      </c>
      <c r="F236" s="5">
        <f>IFERROR(ROUND($W236*$Z236*$AC236*参数!$D$13,0),"")</f>
        <v>32038</v>
      </c>
      <c r="G236" s="4">
        <v>868902</v>
      </c>
      <c r="H236" s="4">
        <v>14482</v>
      </c>
      <c r="I236" s="4">
        <v>16222</v>
      </c>
      <c r="J236" s="4">
        <v>47</v>
      </c>
      <c r="K236" s="4">
        <v>47</v>
      </c>
      <c r="L236" s="4">
        <f>IFERROR(INDEX(楼层配置!$D$5:$D$104,MATCH($K236,楼层配置!$B$5:$B$104,0)),"")</f>
        <v>289</v>
      </c>
      <c r="M236" s="4" t="str">
        <f>IFERROR(INDEX(_角色基线!$B$2:$B$100,MATCH($B236,_角色基线!$A$2:$A$100,0)),"")</f>
        <v>艾德琳</v>
      </c>
      <c r="N236" s="4" t="str">
        <f>IFERROR(INDEX(_角色基线!$C$2:$C$100,MATCH($B236,_角色基线!$A$2:$A$100,0)),"")</f>
        <v>Support</v>
      </c>
      <c r="O236" s="4">
        <f>IFERROR(INDEX(_怪物基线!$B$2:$B$501,MATCH(INT($L236),_怪物基线!$A$2:$A$501,0)),"")</f>
        <v>346114</v>
      </c>
      <c r="P236" s="4">
        <f>IFERROR(INDEX(_怪物基线!$C$2:$C$501,MATCH(INT($L236),_怪物基线!$A$2:$A$501,0)),"")</f>
        <v>22072</v>
      </c>
      <c r="Q236" s="4">
        <f>IFERROR(INDEX(_怪物基线!$D$2:$D$501,MATCH(INT($L236),_怪物基线!$A$2:$A$501,0)),"")</f>
        <v>25630</v>
      </c>
      <c r="R236" s="4">
        <f>参数!$B$10</f>
        <v>4</v>
      </c>
      <c r="S236" s="4">
        <f>参数!$C$10</f>
        <v>1.2</v>
      </c>
      <c r="T236" s="4">
        <f>参数!$D$10</f>
        <v>1</v>
      </c>
      <c r="U236" s="4">
        <f t="shared" si="21"/>
        <v>1384456</v>
      </c>
      <c r="V236" s="4">
        <f t="shared" si="22"/>
        <v>26486.4</v>
      </c>
      <c r="W236" s="4">
        <f t="shared" si="23"/>
        <v>25630</v>
      </c>
      <c r="X236" s="4">
        <f>IFERROR(INDEX(参数!$B$5:$B$7,MATCH($N236,参数!$A$5:$A$7,0)),"")</f>
        <v>1.25</v>
      </c>
      <c r="Y236" s="4">
        <f>IFERROR(INDEX(参数!$C$5:$C$7,MATCH($N236,参数!$A$5:$A$7,0)),"")</f>
        <v>1</v>
      </c>
      <c r="Z236" s="4">
        <f>IFERROR(INDEX(参数!$D$5:$D$7,MATCH($N236,参数!$A$5:$A$7,0)),"")</f>
        <v>1.25</v>
      </c>
      <c r="AA236" s="4">
        <f>IFERROR(INDEX(楼层配置!$E$5:$E$104,MATCH($K236,楼层配置!$B$5:$B$104,0)),1)</f>
        <v>1</v>
      </c>
      <c r="AB236" s="4">
        <f>IFERROR(INDEX(楼层配置!$F$5:$F$104,MATCH($K236,楼层配置!$B$5:$B$104,0)),1)</f>
        <v>1</v>
      </c>
      <c r="AC236" s="4">
        <f>IFERROR(INDEX(楼层配置!$G$5:$G$104,MATCH($K236,楼层配置!$B$5:$B$104,0)),1)</f>
        <v>1</v>
      </c>
      <c r="AD236" s="6">
        <f t="shared" si="24"/>
        <v>0.991674550179422</v>
      </c>
      <c r="AE236" s="6">
        <f t="shared" si="25"/>
        <v>0.828891037149565</v>
      </c>
      <c r="AF236" s="6">
        <f t="shared" si="26"/>
        <v>0.974972259893971</v>
      </c>
      <c r="AG236" s="4" t="str">
        <f t="shared" si="27"/>
        <v>有效</v>
      </c>
    </row>
    <row r="237" ht="14.25" customHeight="1" spans="1:33">
      <c r="A237" s="4">
        <v>233</v>
      </c>
      <c r="B237" s="4">
        <v>1012</v>
      </c>
      <c r="C237" s="4">
        <v>33</v>
      </c>
      <c r="D237" s="5">
        <f>IFERROR(ROUND($U237*$X237*$AA237*参数!$B$13,0),"")</f>
        <v>1730570</v>
      </c>
      <c r="E237" s="5">
        <f>IFERROR(ROUND($V237*$Y237*$AB237*参数!$C$13,0),"")</f>
        <v>26486</v>
      </c>
      <c r="F237" s="5">
        <f>IFERROR(ROUND($W237*$Z237*$AC237*参数!$D$13,0),"")</f>
        <v>32038</v>
      </c>
      <c r="G237" s="4">
        <v>868902</v>
      </c>
      <c r="H237" s="4">
        <v>14482</v>
      </c>
      <c r="I237" s="4">
        <v>16222</v>
      </c>
      <c r="J237" s="4">
        <v>47</v>
      </c>
      <c r="K237" s="4">
        <v>47</v>
      </c>
      <c r="L237" s="4">
        <f>IFERROR(INDEX(楼层配置!$D$5:$D$104,MATCH($K237,楼层配置!$B$5:$B$104,0)),"")</f>
        <v>289</v>
      </c>
      <c r="M237" s="4" t="str">
        <f>IFERROR(INDEX(_角色基线!$B$2:$B$100,MATCH($B237,_角色基线!$A$2:$A$100,0)),"")</f>
        <v>艾德琳</v>
      </c>
      <c r="N237" s="4" t="str">
        <f>IFERROR(INDEX(_角色基线!$C$2:$C$100,MATCH($B237,_角色基线!$A$2:$A$100,0)),"")</f>
        <v>Support</v>
      </c>
      <c r="O237" s="4">
        <f>IFERROR(INDEX(_怪物基线!$B$2:$B$501,MATCH(INT($L237),_怪物基线!$A$2:$A$501,0)),"")</f>
        <v>346114</v>
      </c>
      <c r="P237" s="4">
        <f>IFERROR(INDEX(_怪物基线!$C$2:$C$501,MATCH(INT($L237),_怪物基线!$A$2:$A$501,0)),"")</f>
        <v>22072</v>
      </c>
      <c r="Q237" s="4">
        <f>IFERROR(INDEX(_怪物基线!$D$2:$D$501,MATCH(INT($L237),_怪物基线!$A$2:$A$501,0)),"")</f>
        <v>25630</v>
      </c>
      <c r="R237" s="4">
        <f>参数!$B$10</f>
        <v>4</v>
      </c>
      <c r="S237" s="4">
        <f>参数!$C$10</f>
        <v>1.2</v>
      </c>
      <c r="T237" s="4">
        <f>参数!$D$10</f>
        <v>1</v>
      </c>
      <c r="U237" s="4">
        <f t="shared" si="21"/>
        <v>1384456</v>
      </c>
      <c r="V237" s="4">
        <f t="shared" si="22"/>
        <v>26486.4</v>
      </c>
      <c r="W237" s="4">
        <f t="shared" si="23"/>
        <v>25630</v>
      </c>
      <c r="X237" s="4">
        <f>IFERROR(INDEX(参数!$B$5:$B$7,MATCH($N237,参数!$A$5:$A$7,0)),"")</f>
        <v>1.25</v>
      </c>
      <c r="Y237" s="4">
        <f>IFERROR(INDEX(参数!$C$5:$C$7,MATCH($N237,参数!$A$5:$A$7,0)),"")</f>
        <v>1</v>
      </c>
      <c r="Z237" s="4">
        <f>IFERROR(INDEX(参数!$D$5:$D$7,MATCH($N237,参数!$A$5:$A$7,0)),"")</f>
        <v>1.25</v>
      </c>
      <c r="AA237" s="4">
        <f>IFERROR(INDEX(楼层配置!$E$5:$E$104,MATCH($K237,楼层配置!$B$5:$B$104,0)),1)</f>
        <v>1</v>
      </c>
      <c r="AB237" s="4">
        <f>IFERROR(INDEX(楼层配置!$F$5:$F$104,MATCH($K237,楼层配置!$B$5:$B$104,0)),1)</f>
        <v>1</v>
      </c>
      <c r="AC237" s="4">
        <f>IFERROR(INDEX(楼层配置!$G$5:$G$104,MATCH($K237,楼层配置!$B$5:$B$104,0)),1)</f>
        <v>1</v>
      </c>
      <c r="AD237" s="6">
        <f t="shared" si="24"/>
        <v>0.991674550179422</v>
      </c>
      <c r="AE237" s="6">
        <f t="shared" si="25"/>
        <v>0.828891037149565</v>
      </c>
      <c r="AF237" s="6">
        <f t="shared" si="26"/>
        <v>0.974972259893971</v>
      </c>
      <c r="AG237" s="4" t="str">
        <f t="shared" si="27"/>
        <v>有效</v>
      </c>
    </row>
    <row r="238" ht="14.25" customHeight="1" spans="1:33">
      <c r="A238" s="4">
        <v>234</v>
      </c>
      <c r="B238" s="4">
        <v>1026</v>
      </c>
      <c r="C238" s="4">
        <v>33</v>
      </c>
      <c r="D238" s="5">
        <f>IFERROR(ROUND($U238*$X238*$AA238*参数!$B$13,0),"")</f>
        <v>1384456</v>
      </c>
      <c r="E238" s="5">
        <f>IFERROR(ROUND($V238*$Y238*$AB238*参数!$C$13,0),"")</f>
        <v>31784</v>
      </c>
      <c r="F238" s="5">
        <f>IFERROR(ROUND($W238*$Z238*$AC238*参数!$D$13,0),"")</f>
        <v>25630</v>
      </c>
      <c r="G238" s="4">
        <v>695121</v>
      </c>
      <c r="H238" s="4">
        <v>17378</v>
      </c>
      <c r="I238" s="4">
        <v>12977</v>
      </c>
      <c r="J238" s="4">
        <v>47</v>
      </c>
      <c r="K238" s="4">
        <v>47</v>
      </c>
      <c r="L238" s="4">
        <f>IFERROR(INDEX(楼层配置!$D$5:$D$104,MATCH($K238,楼层配置!$B$5:$B$104,0)),"")</f>
        <v>289</v>
      </c>
      <c r="M238" s="4" t="str">
        <f>IFERROR(INDEX(_角色基线!$B$2:$B$100,MATCH($B238,_角色基线!$A$2:$A$100,0)),"")</f>
        <v>乔一</v>
      </c>
      <c r="N238" s="4" t="str">
        <f>IFERROR(INDEX(_角色基线!$C$2:$C$100,MATCH($B238,_角色基线!$A$2:$A$100,0)),"")</f>
        <v>DPS</v>
      </c>
      <c r="O238" s="4">
        <f>IFERROR(INDEX(_怪物基线!$B$2:$B$501,MATCH(INT($L238),_怪物基线!$A$2:$A$501,0)),"")</f>
        <v>346114</v>
      </c>
      <c r="P238" s="4">
        <f>IFERROR(INDEX(_怪物基线!$C$2:$C$501,MATCH(INT($L238),_怪物基线!$A$2:$A$501,0)),"")</f>
        <v>22072</v>
      </c>
      <c r="Q238" s="4">
        <f>IFERROR(INDEX(_怪物基线!$D$2:$D$501,MATCH(INT($L238),_怪物基线!$A$2:$A$501,0)),"")</f>
        <v>25630</v>
      </c>
      <c r="R238" s="4">
        <f>参数!$B$10</f>
        <v>4</v>
      </c>
      <c r="S238" s="4">
        <f>参数!$C$10</f>
        <v>1.2</v>
      </c>
      <c r="T238" s="4">
        <f>参数!$D$10</f>
        <v>1</v>
      </c>
      <c r="U238" s="4">
        <f t="shared" si="21"/>
        <v>1384456</v>
      </c>
      <c r="V238" s="4">
        <f t="shared" si="22"/>
        <v>26486.4</v>
      </c>
      <c r="W238" s="4">
        <f t="shared" si="23"/>
        <v>25630</v>
      </c>
      <c r="X238" s="4">
        <f>IFERROR(INDEX(参数!$B$5:$B$7,MATCH($N238,参数!$A$5:$A$7,0)),"")</f>
        <v>1</v>
      </c>
      <c r="Y238" s="4">
        <f>IFERROR(INDEX(参数!$C$5:$C$7,MATCH($N238,参数!$A$5:$A$7,0)),"")</f>
        <v>1.2</v>
      </c>
      <c r="Z238" s="4">
        <f>IFERROR(INDEX(参数!$D$5:$D$7,MATCH($N238,参数!$A$5:$A$7,0)),"")</f>
        <v>1</v>
      </c>
      <c r="AA238" s="4">
        <f>IFERROR(INDEX(楼层配置!$E$5:$E$104,MATCH($K238,楼层配置!$B$5:$B$104,0)),1)</f>
        <v>1</v>
      </c>
      <c r="AB238" s="4">
        <f>IFERROR(INDEX(楼层配置!$F$5:$F$104,MATCH($K238,楼层配置!$B$5:$B$104,0)),1)</f>
        <v>1</v>
      </c>
      <c r="AC238" s="4">
        <f>IFERROR(INDEX(楼层配置!$G$5:$G$104,MATCH($K238,楼层配置!$B$5:$B$104,0)),1)</f>
        <v>1</v>
      </c>
      <c r="AD238" s="6">
        <f t="shared" si="24"/>
        <v>0.991676269311386</v>
      </c>
      <c r="AE238" s="6">
        <f t="shared" si="25"/>
        <v>0.828979169064334</v>
      </c>
      <c r="AF238" s="6">
        <f t="shared" si="26"/>
        <v>0.975032750250443</v>
      </c>
      <c r="AG238" s="4" t="str">
        <f t="shared" si="27"/>
        <v>有效</v>
      </c>
    </row>
    <row r="239" ht="14.25" customHeight="1" spans="1:33">
      <c r="A239" s="4">
        <v>235</v>
      </c>
      <c r="B239" s="4">
        <v>1021</v>
      </c>
      <c r="C239" s="4">
        <v>33</v>
      </c>
      <c r="D239" s="5">
        <f>IFERROR(ROUND($U239*$X239*$AA239*参数!$B$13,0),"")</f>
        <v>1384456</v>
      </c>
      <c r="E239" s="5">
        <f>IFERROR(ROUND($V239*$Y239*$AB239*参数!$C$13,0),"")</f>
        <v>31784</v>
      </c>
      <c r="F239" s="5">
        <f>IFERROR(ROUND($W239*$Z239*$AC239*参数!$D$13,0),"")</f>
        <v>25630</v>
      </c>
      <c r="G239" s="4">
        <v>695121</v>
      </c>
      <c r="H239" s="4">
        <v>17378</v>
      </c>
      <c r="I239" s="4">
        <v>12977</v>
      </c>
      <c r="J239" s="4">
        <v>47</v>
      </c>
      <c r="K239" s="4">
        <v>47</v>
      </c>
      <c r="L239" s="4">
        <f>IFERROR(INDEX(楼层配置!$D$5:$D$104,MATCH($K239,楼层配置!$B$5:$B$104,0)),"")</f>
        <v>289</v>
      </c>
      <c r="M239" s="4" t="str">
        <f>IFERROR(INDEX(_角色基线!$B$2:$B$100,MATCH($B239,_角色基线!$A$2:$A$100,0)),"")</f>
        <v>梅梅</v>
      </c>
      <c r="N239" s="4" t="str">
        <f>IFERROR(INDEX(_角色基线!$C$2:$C$100,MATCH($B239,_角色基线!$A$2:$A$100,0)),"")</f>
        <v>DPS</v>
      </c>
      <c r="O239" s="4">
        <f>IFERROR(INDEX(_怪物基线!$B$2:$B$501,MATCH(INT($L239),_怪物基线!$A$2:$A$501,0)),"")</f>
        <v>346114</v>
      </c>
      <c r="P239" s="4">
        <f>IFERROR(INDEX(_怪物基线!$C$2:$C$501,MATCH(INT($L239),_怪物基线!$A$2:$A$501,0)),"")</f>
        <v>22072</v>
      </c>
      <c r="Q239" s="4">
        <f>IFERROR(INDEX(_怪物基线!$D$2:$D$501,MATCH(INT($L239),_怪物基线!$A$2:$A$501,0)),"")</f>
        <v>25630</v>
      </c>
      <c r="R239" s="4">
        <f>参数!$B$10</f>
        <v>4</v>
      </c>
      <c r="S239" s="4">
        <f>参数!$C$10</f>
        <v>1.2</v>
      </c>
      <c r="T239" s="4">
        <f>参数!$D$10</f>
        <v>1</v>
      </c>
      <c r="U239" s="4">
        <f t="shared" si="21"/>
        <v>1384456</v>
      </c>
      <c r="V239" s="4">
        <f t="shared" si="22"/>
        <v>26486.4</v>
      </c>
      <c r="W239" s="4">
        <f t="shared" si="23"/>
        <v>25630</v>
      </c>
      <c r="X239" s="4">
        <f>IFERROR(INDEX(参数!$B$5:$B$7,MATCH($N239,参数!$A$5:$A$7,0)),"")</f>
        <v>1</v>
      </c>
      <c r="Y239" s="4">
        <f>IFERROR(INDEX(参数!$C$5:$C$7,MATCH($N239,参数!$A$5:$A$7,0)),"")</f>
        <v>1.2</v>
      </c>
      <c r="Z239" s="4">
        <f>IFERROR(INDEX(参数!$D$5:$D$7,MATCH($N239,参数!$A$5:$A$7,0)),"")</f>
        <v>1</v>
      </c>
      <c r="AA239" s="4">
        <f>IFERROR(INDEX(楼层配置!$E$5:$E$104,MATCH($K239,楼层配置!$B$5:$B$104,0)),1)</f>
        <v>1</v>
      </c>
      <c r="AB239" s="4">
        <f>IFERROR(INDEX(楼层配置!$F$5:$F$104,MATCH($K239,楼层配置!$B$5:$B$104,0)),1)</f>
        <v>1</v>
      </c>
      <c r="AC239" s="4">
        <f>IFERROR(INDEX(楼层配置!$G$5:$G$104,MATCH($K239,楼层配置!$B$5:$B$104,0)),1)</f>
        <v>1</v>
      </c>
      <c r="AD239" s="6">
        <f t="shared" si="24"/>
        <v>0.991676269311386</v>
      </c>
      <c r="AE239" s="6">
        <f t="shared" si="25"/>
        <v>0.828979169064334</v>
      </c>
      <c r="AF239" s="6">
        <f t="shared" si="26"/>
        <v>0.975032750250443</v>
      </c>
      <c r="AG239" s="4" t="str">
        <f t="shared" si="27"/>
        <v>有效</v>
      </c>
    </row>
    <row r="240" ht="14.25" customHeight="1" spans="1:33">
      <c r="A240" s="4">
        <v>236</v>
      </c>
      <c r="B240" s="4">
        <v>1002</v>
      </c>
      <c r="C240" s="4">
        <v>34</v>
      </c>
      <c r="D240" s="5">
        <f>IFERROR(ROUND($U240*$X240*$AA240*参数!$B$13,0),"")</f>
        <v>2115258</v>
      </c>
      <c r="E240" s="5">
        <f>IFERROR(ROUND($V240*$Y240*$AB240*参数!$C$13,0),"")</f>
        <v>26845</v>
      </c>
      <c r="F240" s="5">
        <f>IFERROR(ROUND($W240*$Z240*$AC240*参数!$D$13,0),"")</f>
        <v>38811</v>
      </c>
      <c r="G240" s="4">
        <v>1092542</v>
      </c>
      <c r="H240" s="4">
        <v>14939</v>
      </c>
      <c r="I240" s="4">
        <v>19960</v>
      </c>
      <c r="J240" s="4">
        <v>48</v>
      </c>
      <c r="K240" s="4">
        <v>48</v>
      </c>
      <c r="L240" s="4">
        <f>IFERROR(INDEX(楼层配置!$D$5:$D$104,MATCH($K240,楼层配置!$B$5:$B$104,0)),"")</f>
        <v>291</v>
      </c>
      <c r="M240" s="4" t="str">
        <f>IFERROR(INDEX(_角色基线!$B$2:$B$100,MATCH($B240,_角色基线!$A$2:$A$100,0)),"")</f>
        <v>大暑</v>
      </c>
      <c r="N240" s="4" t="str">
        <f>IFERROR(INDEX(_角色基线!$C$2:$C$100,MATCH($B240,_角色基线!$A$2:$A$100,0)),"")</f>
        <v>Tank</v>
      </c>
      <c r="O240" s="4">
        <f>IFERROR(INDEX(_怪物基线!$B$2:$B$501,MATCH(INT($L240),_怪物基线!$A$2:$A$501,0)),"")</f>
        <v>352543</v>
      </c>
      <c r="P240" s="4">
        <f>IFERROR(INDEX(_怪物基线!$C$2:$C$501,MATCH(INT($L240),_怪物基线!$A$2:$A$501,0)),"")</f>
        <v>22371</v>
      </c>
      <c r="Q240" s="4">
        <f>IFERROR(INDEX(_怪物基线!$D$2:$D$501,MATCH(INT($L240),_怪物基线!$A$2:$A$501,0)),"")</f>
        <v>25874</v>
      </c>
      <c r="R240" s="4">
        <f>参数!$B$10</f>
        <v>4</v>
      </c>
      <c r="S240" s="4">
        <f>参数!$C$10</f>
        <v>1.2</v>
      </c>
      <c r="T240" s="4">
        <f>参数!$D$10</f>
        <v>1</v>
      </c>
      <c r="U240" s="4">
        <f t="shared" si="21"/>
        <v>1410172</v>
      </c>
      <c r="V240" s="4">
        <f t="shared" si="22"/>
        <v>26845.2</v>
      </c>
      <c r="W240" s="4">
        <f t="shared" si="23"/>
        <v>25874</v>
      </c>
      <c r="X240" s="4">
        <f>IFERROR(INDEX(参数!$B$5:$B$7,MATCH($N240,参数!$A$5:$A$7,0)),"")</f>
        <v>1.5</v>
      </c>
      <c r="Y240" s="4">
        <f>IFERROR(INDEX(参数!$C$5:$C$7,MATCH($N240,参数!$A$5:$A$7,0)),"")</f>
        <v>1</v>
      </c>
      <c r="Z240" s="4">
        <f>IFERROR(INDEX(参数!$D$5:$D$7,MATCH($N240,参数!$A$5:$A$7,0)),"")</f>
        <v>1.5</v>
      </c>
      <c r="AA240" s="4">
        <f>IFERROR(INDEX(楼层配置!$E$5:$E$104,MATCH($K240,楼层配置!$B$5:$B$104,0)),1)</f>
        <v>1</v>
      </c>
      <c r="AB240" s="4">
        <f>IFERROR(INDEX(楼层配置!$F$5:$F$104,MATCH($K240,楼层配置!$B$5:$B$104,0)),1)</f>
        <v>1</v>
      </c>
      <c r="AC240" s="4">
        <f>IFERROR(INDEX(楼层配置!$G$5:$G$104,MATCH($K240,楼层配置!$B$5:$B$104,0)),1)</f>
        <v>1</v>
      </c>
      <c r="AD240" s="6">
        <f t="shared" si="24"/>
        <v>0.936088498199612</v>
      </c>
      <c r="AE240" s="6">
        <f t="shared" si="25"/>
        <v>0.796974362407122</v>
      </c>
      <c r="AF240" s="6">
        <f t="shared" si="26"/>
        <v>0.944438877755511</v>
      </c>
      <c r="AG240" s="4" t="str">
        <f t="shared" si="27"/>
        <v>有效</v>
      </c>
    </row>
    <row r="241" ht="14.25" customHeight="1" spans="1:33">
      <c r="A241" s="4">
        <v>237</v>
      </c>
      <c r="B241" s="4">
        <v>1015</v>
      </c>
      <c r="C241" s="4">
        <v>34</v>
      </c>
      <c r="D241" s="5">
        <f>IFERROR(ROUND($U241*$X241*$AA241*参数!$B$13,0),"")</f>
        <v>1762715</v>
      </c>
      <c r="E241" s="5">
        <f>IFERROR(ROUND($V241*$Y241*$AB241*参数!$C$13,0),"")</f>
        <v>26845</v>
      </c>
      <c r="F241" s="5">
        <f>IFERROR(ROUND($W241*$Z241*$AC241*参数!$D$13,0),"")</f>
        <v>32343</v>
      </c>
      <c r="G241" s="4">
        <v>910452</v>
      </c>
      <c r="H241" s="4">
        <v>14939</v>
      </c>
      <c r="I241" s="4">
        <v>16634</v>
      </c>
      <c r="J241" s="4">
        <v>48</v>
      </c>
      <c r="K241" s="4">
        <v>48</v>
      </c>
      <c r="L241" s="4">
        <f>IFERROR(INDEX(楼层配置!$D$5:$D$104,MATCH($K241,楼层配置!$B$5:$B$104,0)),"")</f>
        <v>291</v>
      </c>
      <c r="M241" s="4" t="str">
        <f>IFERROR(INDEX(_角色基线!$B$2:$B$100,MATCH($B241,_角色基线!$A$2:$A$100,0)),"")</f>
        <v>阿莱克西娅</v>
      </c>
      <c r="N241" s="4" t="str">
        <f>IFERROR(INDEX(_角色基线!$C$2:$C$100,MATCH($B241,_角色基线!$A$2:$A$100,0)),"")</f>
        <v>Support</v>
      </c>
      <c r="O241" s="4">
        <f>IFERROR(INDEX(_怪物基线!$B$2:$B$501,MATCH(INT($L241),_怪物基线!$A$2:$A$501,0)),"")</f>
        <v>352543</v>
      </c>
      <c r="P241" s="4">
        <f>IFERROR(INDEX(_怪物基线!$C$2:$C$501,MATCH(INT($L241),_怪物基线!$A$2:$A$501,0)),"")</f>
        <v>22371</v>
      </c>
      <c r="Q241" s="4">
        <f>IFERROR(INDEX(_怪物基线!$D$2:$D$501,MATCH(INT($L241),_怪物基线!$A$2:$A$501,0)),"")</f>
        <v>25874</v>
      </c>
      <c r="R241" s="4">
        <f>参数!$B$10</f>
        <v>4</v>
      </c>
      <c r="S241" s="4">
        <f>参数!$C$10</f>
        <v>1.2</v>
      </c>
      <c r="T241" s="4">
        <f>参数!$D$10</f>
        <v>1</v>
      </c>
      <c r="U241" s="4">
        <f t="shared" si="21"/>
        <v>1410172</v>
      </c>
      <c r="V241" s="4">
        <f t="shared" si="22"/>
        <v>26845.2</v>
      </c>
      <c r="W241" s="4">
        <f t="shared" si="23"/>
        <v>25874</v>
      </c>
      <c r="X241" s="4">
        <f>IFERROR(INDEX(参数!$B$5:$B$7,MATCH($N241,参数!$A$5:$A$7,0)),"")</f>
        <v>1.25</v>
      </c>
      <c r="Y241" s="4">
        <f>IFERROR(INDEX(参数!$C$5:$C$7,MATCH($N241,参数!$A$5:$A$7,0)),"")</f>
        <v>1</v>
      </c>
      <c r="Z241" s="4">
        <f>IFERROR(INDEX(参数!$D$5:$D$7,MATCH($N241,参数!$A$5:$A$7,0)),"")</f>
        <v>1.25</v>
      </c>
      <c r="AA241" s="4">
        <f>IFERROR(INDEX(楼层配置!$E$5:$E$104,MATCH($K241,楼层配置!$B$5:$B$104,0)),1)</f>
        <v>1</v>
      </c>
      <c r="AB241" s="4">
        <f>IFERROR(INDEX(楼层配置!$F$5:$F$104,MATCH($K241,楼层配置!$B$5:$B$104,0)),1)</f>
        <v>1</v>
      </c>
      <c r="AC241" s="4">
        <f>IFERROR(INDEX(楼层配置!$G$5:$G$104,MATCH($K241,楼层配置!$B$5:$B$104,0)),1)</f>
        <v>1</v>
      </c>
      <c r="AD241" s="6">
        <f t="shared" si="24"/>
        <v>0.936087789361768</v>
      </c>
      <c r="AE241" s="6">
        <f t="shared" si="25"/>
        <v>0.796974362407122</v>
      </c>
      <c r="AF241" s="6">
        <f t="shared" si="26"/>
        <v>0.94439100637249</v>
      </c>
      <c r="AG241" s="4" t="str">
        <f t="shared" si="27"/>
        <v>有效</v>
      </c>
    </row>
    <row r="242" ht="14.25" customHeight="1" spans="1:33">
      <c r="A242" s="4">
        <v>238</v>
      </c>
      <c r="B242" s="4">
        <v>1020</v>
      </c>
      <c r="C242" s="4">
        <v>34</v>
      </c>
      <c r="D242" s="5">
        <f>IFERROR(ROUND($U242*$X242*$AA242*参数!$B$13,0),"")</f>
        <v>1762715</v>
      </c>
      <c r="E242" s="5">
        <f>IFERROR(ROUND($V242*$Y242*$AB242*参数!$C$13,0),"")</f>
        <v>26845</v>
      </c>
      <c r="F242" s="5">
        <f>IFERROR(ROUND($W242*$Z242*$AC242*参数!$D$13,0),"")</f>
        <v>32343</v>
      </c>
      <c r="G242" s="4">
        <v>910452</v>
      </c>
      <c r="H242" s="4">
        <v>14939</v>
      </c>
      <c r="I242" s="4">
        <v>16634</v>
      </c>
      <c r="J242" s="4">
        <v>48</v>
      </c>
      <c r="K242" s="4">
        <v>48</v>
      </c>
      <c r="L242" s="4">
        <f>IFERROR(INDEX(楼层配置!$D$5:$D$104,MATCH($K242,楼层配置!$B$5:$B$104,0)),"")</f>
        <v>291</v>
      </c>
      <c r="M242" s="4" t="str">
        <f>IFERROR(INDEX(_角色基线!$B$2:$B$100,MATCH($B242,_角色基线!$A$2:$A$100,0)),"")</f>
        <v>卡斯帕</v>
      </c>
      <c r="N242" s="4" t="str">
        <f>IFERROR(INDEX(_角色基线!$C$2:$C$100,MATCH($B242,_角色基线!$A$2:$A$100,0)),"")</f>
        <v>Support</v>
      </c>
      <c r="O242" s="4">
        <f>IFERROR(INDEX(_怪物基线!$B$2:$B$501,MATCH(INT($L242),_怪物基线!$A$2:$A$501,0)),"")</f>
        <v>352543</v>
      </c>
      <c r="P242" s="4">
        <f>IFERROR(INDEX(_怪物基线!$C$2:$C$501,MATCH(INT($L242),_怪物基线!$A$2:$A$501,0)),"")</f>
        <v>22371</v>
      </c>
      <c r="Q242" s="4">
        <f>IFERROR(INDEX(_怪物基线!$D$2:$D$501,MATCH(INT($L242),_怪物基线!$A$2:$A$501,0)),"")</f>
        <v>25874</v>
      </c>
      <c r="R242" s="4">
        <f>参数!$B$10</f>
        <v>4</v>
      </c>
      <c r="S242" s="4">
        <f>参数!$C$10</f>
        <v>1.2</v>
      </c>
      <c r="T242" s="4">
        <f>参数!$D$10</f>
        <v>1</v>
      </c>
      <c r="U242" s="4">
        <f t="shared" si="21"/>
        <v>1410172</v>
      </c>
      <c r="V242" s="4">
        <f t="shared" si="22"/>
        <v>26845.2</v>
      </c>
      <c r="W242" s="4">
        <f t="shared" si="23"/>
        <v>25874</v>
      </c>
      <c r="X242" s="4">
        <f>IFERROR(INDEX(参数!$B$5:$B$7,MATCH($N242,参数!$A$5:$A$7,0)),"")</f>
        <v>1.25</v>
      </c>
      <c r="Y242" s="4">
        <f>IFERROR(INDEX(参数!$C$5:$C$7,MATCH($N242,参数!$A$5:$A$7,0)),"")</f>
        <v>1</v>
      </c>
      <c r="Z242" s="4">
        <f>IFERROR(INDEX(参数!$D$5:$D$7,MATCH($N242,参数!$A$5:$A$7,0)),"")</f>
        <v>1.25</v>
      </c>
      <c r="AA242" s="4">
        <f>IFERROR(INDEX(楼层配置!$E$5:$E$104,MATCH($K242,楼层配置!$B$5:$B$104,0)),1)</f>
        <v>1</v>
      </c>
      <c r="AB242" s="4">
        <f>IFERROR(INDEX(楼层配置!$F$5:$F$104,MATCH($K242,楼层配置!$B$5:$B$104,0)),1)</f>
        <v>1</v>
      </c>
      <c r="AC242" s="4">
        <f>IFERROR(INDEX(楼层配置!$G$5:$G$104,MATCH($K242,楼层配置!$B$5:$B$104,0)),1)</f>
        <v>1</v>
      </c>
      <c r="AD242" s="6">
        <f t="shared" si="24"/>
        <v>0.936087789361768</v>
      </c>
      <c r="AE242" s="6">
        <f t="shared" si="25"/>
        <v>0.796974362407122</v>
      </c>
      <c r="AF242" s="6">
        <f t="shared" si="26"/>
        <v>0.94439100637249</v>
      </c>
      <c r="AG242" s="4" t="str">
        <f t="shared" si="27"/>
        <v>有效</v>
      </c>
    </row>
    <row r="243" ht="14.25" customHeight="1" spans="1:33">
      <c r="A243" s="4">
        <v>239</v>
      </c>
      <c r="B243" s="4">
        <v>1021</v>
      </c>
      <c r="C243" s="4">
        <v>34</v>
      </c>
      <c r="D243" s="5">
        <f>IFERROR(ROUND($U243*$X243*$AA243*参数!$B$13,0),"")</f>
        <v>1410172</v>
      </c>
      <c r="E243" s="5">
        <f>IFERROR(ROUND($V243*$Y243*$AB243*参数!$C$13,0),"")</f>
        <v>32214</v>
      </c>
      <c r="F243" s="5">
        <f>IFERROR(ROUND($W243*$Z243*$AC243*参数!$D$13,0),"")</f>
        <v>25874</v>
      </c>
      <c r="G243" s="4">
        <v>728361</v>
      </c>
      <c r="H243" s="4">
        <v>17926</v>
      </c>
      <c r="I243" s="4">
        <v>13307</v>
      </c>
      <c r="J243" s="4">
        <v>48</v>
      </c>
      <c r="K243" s="4">
        <v>48</v>
      </c>
      <c r="L243" s="4">
        <f>IFERROR(INDEX(楼层配置!$D$5:$D$104,MATCH($K243,楼层配置!$B$5:$B$104,0)),"")</f>
        <v>291</v>
      </c>
      <c r="M243" s="4" t="str">
        <f>IFERROR(INDEX(_角色基线!$B$2:$B$100,MATCH($B243,_角色基线!$A$2:$A$100,0)),"")</f>
        <v>梅梅</v>
      </c>
      <c r="N243" s="4" t="str">
        <f>IFERROR(INDEX(_角色基线!$C$2:$C$100,MATCH($B243,_角色基线!$A$2:$A$100,0)),"")</f>
        <v>DPS</v>
      </c>
      <c r="O243" s="4">
        <f>IFERROR(INDEX(_怪物基线!$B$2:$B$501,MATCH(INT($L243),_怪物基线!$A$2:$A$501,0)),"")</f>
        <v>352543</v>
      </c>
      <c r="P243" s="4">
        <f>IFERROR(INDEX(_怪物基线!$C$2:$C$501,MATCH(INT($L243),_怪物基线!$A$2:$A$501,0)),"")</f>
        <v>22371</v>
      </c>
      <c r="Q243" s="4">
        <f>IFERROR(INDEX(_怪物基线!$D$2:$D$501,MATCH(INT($L243),_怪物基线!$A$2:$A$501,0)),"")</f>
        <v>25874</v>
      </c>
      <c r="R243" s="4">
        <f>参数!$B$10</f>
        <v>4</v>
      </c>
      <c r="S243" s="4">
        <f>参数!$C$10</f>
        <v>1.2</v>
      </c>
      <c r="T243" s="4">
        <f>参数!$D$10</f>
        <v>1</v>
      </c>
      <c r="U243" s="4">
        <f t="shared" si="21"/>
        <v>1410172</v>
      </c>
      <c r="V243" s="4">
        <f t="shared" si="22"/>
        <v>26845.2</v>
      </c>
      <c r="W243" s="4">
        <f t="shared" si="23"/>
        <v>25874</v>
      </c>
      <c r="X243" s="4">
        <f>IFERROR(INDEX(参数!$B$5:$B$7,MATCH($N243,参数!$A$5:$A$7,0)),"")</f>
        <v>1</v>
      </c>
      <c r="Y243" s="4">
        <f>IFERROR(INDEX(参数!$C$5:$C$7,MATCH($N243,参数!$A$5:$A$7,0)),"")</f>
        <v>1.2</v>
      </c>
      <c r="Z243" s="4">
        <f>IFERROR(INDEX(参数!$D$5:$D$7,MATCH($N243,参数!$A$5:$A$7,0)),"")</f>
        <v>1</v>
      </c>
      <c r="AA243" s="4">
        <f>IFERROR(INDEX(楼层配置!$E$5:$E$104,MATCH($K243,楼层配置!$B$5:$B$104,0)),1)</f>
        <v>1</v>
      </c>
      <c r="AB243" s="4">
        <f>IFERROR(INDEX(楼层配置!$F$5:$F$104,MATCH($K243,楼层配置!$B$5:$B$104,0)),1)</f>
        <v>1</v>
      </c>
      <c r="AC243" s="4">
        <f>IFERROR(INDEX(楼层配置!$G$5:$G$104,MATCH($K243,楼层配置!$B$5:$B$104,0)),1)</f>
        <v>1</v>
      </c>
      <c r="AD243" s="6">
        <f t="shared" si="24"/>
        <v>0.936089384247647</v>
      </c>
      <c r="AE243" s="6">
        <f t="shared" si="25"/>
        <v>0.797054557625795</v>
      </c>
      <c r="AF243" s="6">
        <f t="shared" si="26"/>
        <v>0.944390170586909</v>
      </c>
      <c r="AG243" s="4" t="str">
        <f t="shared" si="27"/>
        <v>有效</v>
      </c>
    </row>
    <row r="244" ht="14.25" customHeight="1" spans="1:33">
      <c r="A244" s="4">
        <v>240</v>
      </c>
      <c r="B244" s="4">
        <v>1040</v>
      </c>
      <c r="C244" s="4">
        <v>34</v>
      </c>
      <c r="D244" s="5">
        <f>IFERROR(ROUND($U244*$X244*$AA244*参数!$B$13,0),"")</f>
        <v>1762715</v>
      </c>
      <c r="E244" s="5">
        <f>IFERROR(ROUND($V244*$Y244*$AB244*参数!$C$13,0),"")</f>
        <v>26845</v>
      </c>
      <c r="F244" s="5">
        <f>IFERROR(ROUND($W244*$Z244*$AC244*参数!$D$13,0),"")</f>
        <v>32343</v>
      </c>
      <c r="G244" s="4">
        <v>910452</v>
      </c>
      <c r="H244" s="4">
        <v>14939</v>
      </c>
      <c r="I244" s="4">
        <v>16634</v>
      </c>
      <c r="J244" s="4">
        <v>48</v>
      </c>
      <c r="K244" s="4">
        <v>48</v>
      </c>
      <c r="L244" s="4">
        <f>IFERROR(INDEX(楼层配置!$D$5:$D$104,MATCH($K244,楼层配置!$B$5:$B$104,0)),"")</f>
        <v>291</v>
      </c>
      <c r="M244" s="4" t="str">
        <f>IFERROR(INDEX(_角色基线!$B$2:$B$100,MATCH($B244,_角色基线!$A$2:$A$100,0)),"")</f>
        <v>小寒</v>
      </c>
      <c r="N244" s="4" t="str">
        <f>IFERROR(INDEX(_角色基线!$C$2:$C$100,MATCH($B244,_角色基线!$A$2:$A$100,0)),"")</f>
        <v>Support</v>
      </c>
      <c r="O244" s="4">
        <f>IFERROR(INDEX(_怪物基线!$B$2:$B$501,MATCH(INT($L244),_怪物基线!$A$2:$A$501,0)),"")</f>
        <v>352543</v>
      </c>
      <c r="P244" s="4">
        <f>IFERROR(INDEX(_怪物基线!$C$2:$C$501,MATCH(INT($L244),_怪物基线!$A$2:$A$501,0)),"")</f>
        <v>22371</v>
      </c>
      <c r="Q244" s="4">
        <f>IFERROR(INDEX(_怪物基线!$D$2:$D$501,MATCH(INT($L244),_怪物基线!$A$2:$A$501,0)),"")</f>
        <v>25874</v>
      </c>
      <c r="R244" s="4">
        <f>参数!$B$10</f>
        <v>4</v>
      </c>
      <c r="S244" s="4">
        <f>参数!$C$10</f>
        <v>1.2</v>
      </c>
      <c r="T244" s="4">
        <f>参数!$D$10</f>
        <v>1</v>
      </c>
      <c r="U244" s="4">
        <f t="shared" si="21"/>
        <v>1410172</v>
      </c>
      <c r="V244" s="4">
        <f t="shared" si="22"/>
        <v>26845.2</v>
      </c>
      <c r="W244" s="4">
        <f t="shared" si="23"/>
        <v>25874</v>
      </c>
      <c r="X244" s="4">
        <f>IFERROR(INDEX(参数!$B$5:$B$7,MATCH($N244,参数!$A$5:$A$7,0)),"")</f>
        <v>1.25</v>
      </c>
      <c r="Y244" s="4">
        <f>IFERROR(INDEX(参数!$C$5:$C$7,MATCH($N244,参数!$A$5:$A$7,0)),"")</f>
        <v>1</v>
      </c>
      <c r="Z244" s="4">
        <f>IFERROR(INDEX(参数!$D$5:$D$7,MATCH($N244,参数!$A$5:$A$7,0)),"")</f>
        <v>1.25</v>
      </c>
      <c r="AA244" s="4">
        <f>IFERROR(INDEX(楼层配置!$E$5:$E$104,MATCH($K244,楼层配置!$B$5:$B$104,0)),1)</f>
        <v>1</v>
      </c>
      <c r="AB244" s="4">
        <f>IFERROR(INDEX(楼层配置!$F$5:$F$104,MATCH($K244,楼层配置!$B$5:$B$104,0)),1)</f>
        <v>1</v>
      </c>
      <c r="AC244" s="4">
        <f>IFERROR(INDEX(楼层配置!$G$5:$G$104,MATCH($K244,楼层配置!$B$5:$B$104,0)),1)</f>
        <v>1</v>
      </c>
      <c r="AD244" s="6">
        <f t="shared" si="24"/>
        <v>0.936087789361768</v>
      </c>
      <c r="AE244" s="6">
        <f t="shared" si="25"/>
        <v>0.796974362407122</v>
      </c>
      <c r="AF244" s="6">
        <f t="shared" si="26"/>
        <v>0.94439100637249</v>
      </c>
      <c r="AG244" s="4" t="str">
        <f t="shared" si="27"/>
        <v>有效</v>
      </c>
    </row>
    <row r="245" ht="14.25" customHeight="1" spans="1:33">
      <c r="A245" s="4">
        <v>241</v>
      </c>
      <c r="B245" s="4">
        <v>1030</v>
      </c>
      <c r="C245" s="4">
        <v>34</v>
      </c>
      <c r="D245" s="5">
        <f>IFERROR(ROUND($U245*$X245*$AA245*参数!$B$13,0),"")</f>
        <v>2193978</v>
      </c>
      <c r="E245" s="5">
        <f>IFERROR(ROUND($V245*$Y245*$AB245*参数!$C$13,0),"")</f>
        <v>27574</v>
      </c>
      <c r="F245" s="5">
        <f>IFERROR(ROUND($W245*$Z245*$AC245*参数!$D$13,0),"")</f>
        <v>39546</v>
      </c>
      <c r="G245" s="4">
        <v>1144072</v>
      </c>
      <c r="H245" s="4">
        <v>15407</v>
      </c>
      <c r="I245" s="4">
        <v>20458</v>
      </c>
      <c r="J245" s="4">
        <v>49</v>
      </c>
      <c r="K245" s="4">
        <v>49</v>
      </c>
      <c r="L245" s="4">
        <f>IFERROR(INDEX(楼层配置!$D$5:$D$104,MATCH($K245,楼层配置!$B$5:$B$104,0)),"")</f>
        <v>295</v>
      </c>
      <c r="M245" s="4" t="str">
        <f>IFERROR(INDEX(_角色基线!$B$2:$B$100,MATCH($B245,_角色基线!$A$2:$A$100,0)),"")</f>
        <v>莫莉</v>
      </c>
      <c r="N245" s="4" t="str">
        <f>IFERROR(INDEX(_角色基线!$C$2:$C$100,MATCH($B245,_角色基线!$A$2:$A$100,0)),"")</f>
        <v>Tank</v>
      </c>
      <c r="O245" s="4">
        <f>IFERROR(INDEX(_怪物基线!$B$2:$B$501,MATCH(INT($L245),_怪物基线!$A$2:$A$501,0)),"")</f>
        <v>365663</v>
      </c>
      <c r="P245" s="4">
        <f>IFERROR(INDEX(_怪物基线!$C$2:$C$501,MATCH(INT($L245),_怪物基线!$A$2:$A$501,0)),"")</f>
        <v>22978</v>
      </c>
      <c r="Q245" s="4">
        <f>IFERROR(INDEX(_怪物基线!$D$2:$D$501,MATCH(INT($L245),_怪物基线!$A$2:$A$501,0)),"")</f>
        <v>26364</v>
      </c>
      <c r="R245" s="4">
        <f>参数!$B$10</f>
        <v>4</v>
      </c>
      <c r="S245" s="4">
        <f>参数!$C$10</f>
        <v>1.2</v>
      </c>
      <c r="T245" s="4">
        <f>参数!$D$10</f>
        <v>1</v>
      </c>
      <c r="U245" s="4">
        <f t="shared" si="21"/>
        <v>1462652</v>
      </c>
      <c r="V245" s="4">
        <f t="shared" si="22"/>
        <v>27573.6</v>
      </c>
      <c r="W245" s="4">
        <f t="shared" si="23"/>
        <v>26364</v>
      </c>
      <c r="X245" s="4">
        <f>IFERROR(INDEX(参数!$B$5:$B$7,MATCH($N245,参数!$A$5:$A$7,0)),"")</f>
        <v>1.5</v>
      </c>
      <c r="Y245" s="4">
        <f>IFERROR(INDEX(参数!$C$5:$C$7,MATCH($N245,参数!$A$5:$A$7,0)),"")</f>
        <v>1</v>
      </c>
      <c r="Z245" s="4">
        <f>IFERROR(INDEX(参数!$D$5:$D$7,MATCH($N245,参数!$A$5:$A$7,0)),"")</f>
        <v>1.5</v>
      </c>
      <c r="AA245" s="4">
        <f>IFERROR(INDEX(楼层配置!$E$5:$E$104,MATCH($K245,楼层配置!$B$5:$B$104,0)),1)</f>
        <v>1</v>
      </c>
      <c r="AB245" s="4">
        <f>IFERROR(INDEX(楼层配置!$F$5:$F$104,MATCH($K245,楼层配置!$B$5:$B$104,0)),1)</f>
        <v>1</v>
      </c>
      <c r="AC245" s="4">
        <f>IFERROR(INDEX(楼层配置!$G$5:$G$104,MATCH($K245,楼层配置!$B$5:$B$104,0)),1)</f>
        <v>1</v>
      </c>
      <c r="AD245" s="6">
        <f t="shared" si="24"/>
        <v>0.917692243145536</v>
      </c>
      <c r="AE245" s="6">
        <f t="shared" si="25"/>
        <v>0.789705977802298</v>
      </c>
      <c r="AF245" s="6">
        <f t="shared" si="26"/>
        <v>0.933033532114576</v>
      </c>
      <c r="AG245" s="4" t="str">
        <f t="shared" si="27"/>
        <v>有效</v>
      </c>
    </row>
    <row r="246" ht="14.25" customHeight="1" spans="1:33">
      <c r="A246" s="4">
        <v>242</v>
      </c>
      <c r="B246" s="4">
        <v>1002</v>
      </c>
      <c r="C246" s="4">
        <v>34</v>
      </c>
      <c r="D246" s="5">
        <f>IFERROR(ROUND($U246*$X246*$AA246*参数!$B$13,0),"")</f>
        <v>2193978</v>
      </c>
      <c r="E246" s="5">
        <f>IFERROR(ROUND($V246*$Y246*$AB246*参数!$C$13,0),"")</f>
        <v>27574</v>
      </c>
      <c r="F246" s="5">
        <f>IFERROR(ROUND($W246*$Z246*$AC246*参数!$D$13,0),"")</f>
        <v>39546</v>
      </c>
      <c r="G246" s="4">
        <v>1144072</v>
      </c>
      <c r="H246" s="4">
        <v>15407</v>
      </c>
      <c r="I246" s="4">
        <v>20458</v>
      </c>
      <c r="J246" s="4">
        <v>49</v>
      </c>
      <c r="K246" s="4">
        <v>49</v>
      </c>
      <c r="L246" s="4">
        <f>IFERROR(INDEX(楼层配置!$D$5:$D$104,MATCH($K246,楼层配置!$B$5:$B$104,0)),"")</f>
        <v>295</v>
      </c>
      <c r="M246" s="4" t="str">
        <f>IFERROR(INDEX(_角色基线!$B$2:$B$100,MATCH($B246,_角色基线!$A$2:$A$100,0)),"")</f>
        <v>大暑</v>
      </c>
      <c r="N246" s="4" t="str">
        <f>IFERROR(INDEX(_角色基线!$C$2:$C$100,MATCH($B246,_角色基线!$A$2:$A$100,0)),"")</f>
        <v>Tank</v>
      </c>
      <c r="O246" s="4">
        <f>IFERROR(INDEX(_怪物基线!$B$2:$B$501,MATCH(INT($L246),_怪物基线!$A$2:$A$501,0)),"")</f>
        <v>365663</v>
      </c>
      <c r="P246" s="4">
        <f>IFERROR(INDEX(_怪物基线!$C$2:$C$501,MATCH(INT($L246),_怪物基线!$A$2:$A$501,0)),"")</f>
        <v>22978</v>
      </c>
      <c r="Q246" s="4">
        <f>IFERROR(INDEX(_怪物基线!$D$2:$D$501,MATCH(INT($L246),_怪物基线!$A$2:$A$501,0)),"")</f>
        <v>26364</v>
      </c>
      <c r="R246" s="4">
        <f>参数!$B$10</f>
        <v>4</v>
      </c>
      <c r="S246" s="4">
        <f>参数!$C$10</f>
        <v>1.2</v>
      </c>
      <c r="T246" s="4">
        <f>参数!$D$10</f>
        <v>1</v>
      </c>
      <c r="U246" s="4">
        <f t="shared" si="21"/>
        <v>1462652</v>
      </c>
      <c r="V246" s="4">
        <f t="shared" si="22"/>
        <v>27573.6</v>
      </c>
      <c r="W246" s="4">
        <f t="shared" si="23"/>
        <v>26364</v>
      </c>
      <c r="X246" s="4">
        <f>IFERROR(INDEX(参数!$B$5:$B$7,MATCH($N246,参数!$A$5:$A$7,0)),"")</f>
        <v>1.5</v>
      </c>
      <c r="Y246" s="4">
        <f>IFERROR(INDEX(参数!$C$5:$C$7,MATCH($N246,参数!$A$5:$A$7,0)),"")</f>
        <v>1</v>
      </c>
      <c r="Z246" s="4">
        <f>IFERROR(INDEX(参数!$D$5:$D$7,MATCH($N246,参数!$A$5:$A$7,0)),"")</f>
        <v>1.5</v>
      </c>
      <c r="AA246" s="4">
        <f>IFERROR(INDEX(楼层配置!$E$5:$E$104,MATCH($K246,楼层配置!$B$5:$B$104,0)),1)</f>
        <v>1</v>
      </c>
      <c r="AB246" s="4">
        <f>IFERROR(INDEX(楼层配置!$F$5:$F$104,MATCH($K246,楼层配置!$B$5:$B$104,0)),1)</f>
        <v>1</v>
      </c>
      <c r="AC246" s="4">
        <f>IFERROR(INDEX(楼层配置!$G$5:$G$104,MATCH($K246,楼层配置!$B$5:$B$104,0)),1)</f>
        <v>1</v>
      </c>
      <c r="AD246" s="6">
        <f t="shared" si="24"/>
        <v>0.917692243145536</v>
      </c>
      <c r="AE246" s="6">
        <f t="shared" si="25"/>
        <v>0.789705977802298</v>
      </c>
      <c r="AF246" s="6">
        <f t="shared" si="26"/>
        <v>0.933033532114576</v>
      </c>
      <c r="AG246" s="4" t="str">
        <f t="shared" si="27"/>
        <v>有效</v>
      </c>
    </row>
    <row r="247" ht="14.25" customHeight="1" spans="1:33">
      <c r="A247" s="4">
        <v>243</v>
      </c>
      <c r="B247" s="4">
        <v>1030</v>
      </c>
      <c r="C247" s="4">
        <v>34</v>
      </c>
      <c r="D247" s="5">
        <f>IFERROR(ROUND($U247*$X247*$AA247*参数!$B$13,0),"")</f>
        <v>2193978</v>
      </c>
      <c r="E247" s="5">
        <f>IFERROR(ROUND($V247*$Y247*$AB247*参数!$C$13,0),"")</f>
        <v>27574</v>
      </c>
      <c r="F247" s="5">
        <f>IFERROR(ROUND($W247*$Z247*$AC247*参数!$D$13,0),"")</f>
        <v>39546</v>
      </c>
      <c r="G247" s="4">
        <v>1144072</v>
      </c>
      <c r="H247" s="4">
        <v>15407</v>
      </c>
      <c r="I247" s="4">
        <v>20458</v>
      </c>
      <c r="J247" s="4">
        <v>49</v>
      </c>
      <c r="K247" s="4">
        <v>49</v>
      </c>
      <c r="L247" s="4">
        <f>IFERROR(INDEX(楼层配置!$D$5:$D$104,MATCH($K247,楼层配置!$B$5:$B$104,0)),"")</f>
        <v>295</v>
      </c>
      <c r="M247" s="4" t="str">
        <f>IFERROR(INDEX(_角色基线!$B$2:$B$100,MATCH($B247,_角色基线!$A$2:$A$100,0)),"")</f>
        <v>莫莉</v>
      </c>
      <c r="N247" s="4" t="str">
        <f>IFERROR(INDEX(_角色基线!$C$2:$C$100,MATCH($B247,_角色基线!$A$2:$A$100,0)),"")</f>
        <v>Tank</v>
      </c>
      <c r="O247" s="4">
        <f>IFERROR(INDEX(_怪物基线!$B$2:$B$501,MATCH(INT($L247),_怪物基线!$A$2:$A$501,0)),"")</f>
        <v>365663</v>
      </c>
      <c r="P247" s="4">
        <f>IFERROR(INDEX(_怪物基线!$C$2:$C$501,MATCH(INT($L247),_怪物基线!$A$2:$A$501,0)),"")</f>
        <v>22978</v>
      </c>
      <c r="Q247" s="4">
        <f>IFERROR(INDEX(_怪物基线!$D$2:$D$501,MATCH(INT($L247),_怪物基线!$A$2:$A$501,0)),"")</f>
        <v>26364</v>
      </c>
      <c r="R247" s="4">
        <f>参数!$B$10</f>
        <v>4</v>
      </c>
      <c r="S247" s="4">
        <f>参数!$C$10</f>
        <v>1.2</v>
      </c>
      <c r="T247" s="4">
        <f>参数!$D$10</f>
        <v>1</v>
      </c>
      <c r="U247" s="4">
        <f t="shared" si="21"/>
        <v>1462652</v>
      </c>
      <c r="V247" s="4">
        <f t="shared" si="22"/>
        <v>27573.6</v>
      </c>
      <c r="W247" s="4">
        <f t="shared" si="23"/>
        <v>26364</v>
      </c>
      <c r="X247" s="4">
        <f>IFERROR(INDEX(参数!$B$5:$B$7,MATCH($N247,参数!$A$5:$A$7,0)),"")</f>
        <v>1.5</v>
      </c>
      <c r="Y247" s="4">
        <f>IFERROR(INDEX(参数!$C$5:$C$7,MATCH($N247,参数!$A$5:$A$7,0)),"")</f>
        <v>1</v>
      </c>
      <c r="Z247" s="4">
        <f>IFERROR(INDEX(参数!$D$5:$D$7,MATCH($N247,参数!$A$5:$A$7,0)),"")</f>
        <v>1.5</v>
      </c>
      <c r="AA247" s="4">
        <f>IFERROR(INDEX(楼层配置!$E$5:$E$104,MATCH($K247,楼层配置!$B$5:$B$104,0)),1)</f>
        <v>1</v>
      </c>
      <c r="AB247" s="4">
        <f>IFERROR(INDEX(楼层配置!$F$5:$F$104,MATCH($K247,楼层配置!$B$5:$B$104,0)),1)</f>
        <v>1</v>
      </c>
      <c r="AC247" s="4">
        <f>IFERROR(INDEX(楼层配置!$G$5:$G$104,MATCH($K247,楼层配置!$B$5:$B$104,0)),1)</f>
        <v>1</v>
      </c>
      <c r="AD247" s="6">
        <f t="shared" si="24"/>
        <v>0.917692243145536</v>
      </c>
      <c r="AE247" s="6">
        <f t="shared" si="25"/>
        <v>0.789705977802298</v>
      </c>
      <c r="AF247" s="6">
        <f t="shared" si="26"/>
        <v>0.933033532114576</v>
      </c>
      <c r="AG247" s="4" t="str">
        <f t="shared" si="27"/>
        <v>有效</v>
      </c>
    </row>
    <row r="248" ht="14.25" customHeight="1" spans="1:33">
      <c r="A248" s="4">
        <v>244</v>
      </c>
      <c r="B248" s="4">
        <v>1018</v>
      </c>
      <c r="C248" s="4">
        <v>34</v>
      </c>
      <c r="D248" s="5">
        <f>IFERROR(ROUND($U248*$X248*$AA248*参数!$B$13,0),"")</f>
        <v>1828315</v>
      </c>
      <c r="E248" s="5">
        <f>IFERROR(ROUND($V248*$Y248*$AB248*参数!$C$13,0),"")</f>
        <v>27574</v>
      </c>
      <c r="F248" s="5">
        <f>IFERROR(ROUND($W248*$Z248*$AC248*参数!$D$13,0),"")</f>
        <v>32955</v>
      </c>
      <c r="G248" s="4">
        <v>953394</v>
      </c>
      <c r="H248" s="4">
        <v>15407</v>
      </c>
      <c r="I248" s="4">
        <v>17049</v>
      </c>
      <c r="J248" s="4">
        <v>49</v>
      </c>
      <c r="K248" s="4">
        <v>49</v>
      </c>
      <c r="L248" s="4">
        <f>IFERROR(INDEX(楼层配置!$D$5:$D$104,MATCH($K248,楼层配置!$B$5:$B$104,0)),"")</f>
        <v>295</v>
      </c>
      <c r="M248" s="4" t="str">
        <f>IFERROR(INDEX(_角色基线!$B$2:$B$100,MATCH($B248,_角色基线!$A$2:$A$100,0)),"")</f>
        <v>埃莉诺</v>
      </c>
      <c r="N248" s="4" t="str">
        <f>IFERROR(INDEX(_角色基线!$C$2:$C$100,MATCH($B248,_角色基线!$A$2:$A$100,0)),"")</f>
        <v>Support</v>
      </c>
      <c r="O248" s="4">
        <f>IFERROR(INDEX(_怪物基线!$B$2:$B$501,MATCH(INT($L248),_怪物基线!$A$2:$A$501,0)),"")</f>
        <v>365663</v>
      </c>
      <c r="P248" s="4">
        <f>IFERROR(INDEX(_怪物基线!$C$2:$C$501,MATCH(INT($L248),_怪物基线!$A$2:$A$501,0)),"")</f>
        <v>22978</v>
      </c>
      <c r="Q248" s="4">
        <f>IFERROR(INDEX(_怪物基线!$D$2:$D$501,MATCH(INT($L248),_怪物基线!$A$2:$A$501,0)),"")</f>
        <v>26364</v>
      </c>
      <c r="R248" s="4">
        <f>参数!$B$10</f>
        <v>4</v>
      </c>
      <c r="S248" s="4">
        <f>参数!$C$10</f>
        <v>1.2</v>
      </c>
      <c r="T248" s="4">
        <f>参数!$D$10</f>
        <v>1</v>
      </c>
      <c r="U248" s="4">
        <f t="shared" si="21"/>
        <v>1462652</v>
      </c>
      <c r="V248" s="4">
        <f t="shared" si="22"/>
        <v>27573.6</v>
      </c>
      <c r="W248" s="4">
        <f t="shared" si="23"/>
        <v>26364</v>
      </c>
      <c r="X248" s="4">
        <f>IFERROR(INDEX(参数!$B$5:$B$7,MATCH($N248,参数!$A$5:$A$7,0)),"")</f>
        <v>1.25</v>
      </c>
      <c r="Y248" s="4">
        <f>IFERROR(INDEX(参数!$C$5:$C$7,MATCH($N248,参数!$A$5:$A$7,0)),"")</f>
        <v>1</v>
      </c>
      <c r="Z248" s="4">
        <f>IFERROR(INDEX(参数!$D$5:$D$7,MATCH($N248,参数!$A$5:$A$7,0)),"")</f>
        <v>1.25</v>
      </c>
      <c r="AA248" s="4">
        <f>IFERROR(INDEX(楼层配置!$E$5:$E$104,MATCH($K248,楼层配置!$B$5:$B$104,0)),1)</f>
        <v>1</v>
      </c>
      <c r="AB248" s="4">
        <f>IFERROR(INDEX(楼层配置!$F$5:$F$104,MATCH($K248,楼层配置!$B$5:$B$104,0)),1)</f>
        <v>1</v>
      </c>
      <c r="AC248" s="4">
        <f>IFERROR(INDEX(楼层配置!$G$5:$G$104,MATCH($K248,楼层配置!$B$5:$B$104,0)),1)</f>
        <v>1</v>
      </c>
      <c r="AD248" s="6">
        <f t="shared" si="24"/>
        <v>0.917690902187343</v>
      </c>
      <c r="AE248" s="6">
        <f t="shared" si="25"/>
        <v>0.789705977802298</v>
      </c>
      <c r="AF248" s="6">
        <f t="shared" si="26"/>
        <v>0.932957944747492</v>
      </c>
      <c r="AG248" s="4" t="str">
        <f t="shared" si="27"/>
        <v>有效</v>
      </c>
    </row>
    <row r="249" ht="14.25" customHeight="1" spans="1:33">
      <c r="A249" s="4">
        <v>245</v>
      </c>
      <c r="B249" s="4">
        <v>1021</v>
      </c>
      <c r="C249" s="4">
        <v>34</v>
      </c>
      <c r="D249" s="5">
        <f>IFERROR(ROUND($U249*$X249*$AA249*参数!$B$13,0),"")</f>
        <v>1462652</v>
      </c>
      <c r="E249" s="5">
        <f>IFERROR(ROUND($V249*$Y249*$AB249*参数!$C$13,0),"")</f>
        <v>33088</v>
      </c>
      <c r="F249" s="5">
        <f>IFERROR(ROUND($W249*$Z249*$AC249*参数!$D$13,0),"")</f>
        <v>26364</v>
      </c>
      <c r="G249" s="4">
        <v>762715</v>
      </c>
      <c r="H249" s="4">
        <v>18488</v>
      </c>
      <c r="I249" s="4">
        <v>13639</v>
      </c>
      <c r="J249" s="4">
        <v>49</v>
      </c>
      <c r="K249" s="4">
        <v>49</v>
      </c>
      <c r="L249" s="4">
        <f>IFERROR(INDEX(楼层配置!$D$5:$D$104,MATCH($K249,楼层配置!$B$5:$B$104,0)),"")</f>
        <v>295</v>
      </c>
      <c r="M249" s="4" t="str">
        <f>IFERROR(INDEX(_角色基线!$B$2:$B$100,MATCH($B249,_角色基线!$A$2:$A$100,0)),"")</f>
        <v>梅梅</v>
      </c>
      <c r="N249" s="4" t="str">
        <f>IFERROR(INDEX(_角色基线!$C$2:$C$100,MATCH($B249,_角色基线!$A$2:$A$100,0)),"")</f>
        <v>DPS</v>
      </c>
      <c r="O249" s="4">
        <f>IFERROR(INDEX(_怪物基线!$B$2:$B$501,MATCH(INT($L249),_怪物基线!$A$2:$A$501,0)),"")</f>
        <v>365663</v>
      </c>
      <c r="P249" s="4">
        <f>IFERROR(INDEX(_怪物基线!$C$2:$C$501,MATCH(INT($L249),_怪物基线!$A$2:$A$501,0)),"")</f>
        <v>22978</v>
      </c>
      <c r="Q249" s="4">
        <f>IFERROR(INDEX(_怪物基线!$D$2:$D$501,MATCH(INT($L249),_怪物基线!$A$2:$A$501,0)),"")</f>
        <v>26364</v>
      </c>
      <c r="R249" s="4">
        <f>参数!$B$10</f>
        <v>4</v>
      </c>
      <c r="S249" s="4">
        <f>参数!$C$10</f>
        <v>1.2</v>
      </c>
      <c r="T249" s="4">
        <f>参数!$D$10</f>
        <v>1</v>
      </c>
      <c r="U249" s="4">
        <f t="shared" si="21"/>
        <v>1462652</v>
      </c>
      <c r="V249" s="4">
        <f t="shared" si="22"/>
        <v>27573.6</v>
      </c>
      <c r="W249" s="4">
        <f t="shared" si="23"/>
        <v>26364</v>
      </c>
      <c r="X249" s="4">
        <f>IFERROR(INDEX(参数!$B$5:$B$7,MATCH($N249,参数!$A$5:$A$7,0)),"")</f>
        <v>1</v>
      </c>
      <c r="Y249" s="4">
        <f>IFERROR(INDEX(参数!$C$5:$C$7,MATCH($N249,参数!$A$5:$A$7,0)),"")</f>
        <v>1.2</v>
      </c>
      <c r="Z249" s="4">
        <f>IFERROR(INDEX(参数!$D$5:$D$7,MATCH($N249,参数!$A$5:$A$7,0)),"")</f>
        <v>1</v>
      </c>
      <c r="AA249" s="4">
        <f>IFERROR(INDEX(楼层配置!$E$5:$E$104,MATCH($K249,楼层配置!$B$5:$B$104,0)),1)</f>
        <v>1</v>
      </c>
      <c r="AB249" s="4">
        <f>IFERROR(INDEX(楼层配置!$F$5:$F$104,MATCH($K249,楼层配置!$B$5:$B$104,0)),1)</f>
        <v>1</v>
      </c>
      <c r="AC249" s="4">
        <f>IFERROR(INDEX(楼层配置!$G$5:$G$104,MATCH($K249,楼层配置!$B$5:$B$104,0)),1)</f>
        <v>1</v>
      </c>
      <c r="AD249" s="6">
        <f t="shared" si="24"/>
        <v>0.917691405046446</v>
      </c>
      <c r="AE249" s="6">
        <f t="shared" si="25"/>
        <v>0.789701427953267</v>
      </c>
      <c r="AF249" s="6">
        <f t="shared" si="26"/>
        <v>0.932986289317399</v>
      </c>
      <c r="AG249" s="4" t="str">
        <f t="shared" si="27"/>
        <v>有效</v>
      </c>
    </row>
    <row r="250" ht="14.25" customHeight="1" spans="1:33">
      <c r="A250" s="4">
        <v>246</v>
      </c>
      <c r="B250" s="4">
        <v>1030</v>
      </c>
      <c r="C250" s="4">
        <v>35</v>
      </c>
      <c r="D250" s="5">
        <f>IFERROR(ROUND($U250*$X250*$AA250*参数!$B$13,0),"")</f>
        <v>2274834</v>
      </c>
      <c r="E250" s="5">
        <f>IFERROR(ROUND($V250*$Y250*$AB250*参数!$C$13,0),"")</f>
        <v>28319</v>
      </c>
      <c r="F250" s="5">
        <f>IFERROR(ROUND($W250*$Z250*$AC250*参数!$D$13,0),"")</f>
        <v>40286</v>
      </c>
      <c r="G250" s="4">
        <v>1197316</v>
      </c>
      <c r="H250" s="4">
        <v>15884</v>
      </c>
      <c r="I250" s="4">
        <v>20961</v>
      </c>
      <c r="J250" s="4">
        <v>50</v>
      </c>
      <c r="K250" s="4">
        <v>50</v>
      </c>
      <c r="L250" s="4">
        <f>IFERROR(INDEX(楼层配置!$D$5:$D$104,MATCH($K250,楼层配置!$B$5:$B$104,0)),"")</f>
        <v>299</v>
      </c>
      <c r="M250" s="4" t="str">
        <f>IFERROR(INDEX(_角色基线!$B$2:$B$100,MATCH($B250,_角色基线!$A$2:$A$100,0)),"")</f>
        <v>莫莉</v>
      </c>
      <c r="N250" s="4" t="str">
        <f>IFERROR(INDEX(_角色基线!$C$2:$C$100,MATCH($B250,_角色基线!$A$2:$A$100,0)),"")</f>
        <v>Tank</v>
      </c>
      <c r="O250" s="4">
        <f>IFERROR(INDEX(_怪物基线!$B$2:$B$501,MATCH(INT($L250),_怪物基线!$A$2:$A$501,0)),"")</f>
        <v>379139</v>
      </c>
      <c r="P250" s="4">
        <f>IFERROR(INDEX(_怪物基线!$C$2:$C$501,MATCH(INT($L250),_怪物基线!$A$2:$A$501,0)),"")</f>
        <v>23599</v>
      </c>
      <c r="Q250" s="4">
        <f>IFERROR(INDEX(_怪物基线!$D$2:$D$501,MATCH(INT($L250),_怪物基线!$A$2:$A$501,0)),"")</f>
        <v>26857</v>
      </c>
      <c r="R250" s="4">
        <f>参数!$B$10</f>
        <v>4</v>
      </c>
      <c r="S250" s="4">
        <f>参数!$C$10</f>
        <v>1.2</v>
      </c>
      <c r="T250" s="4">
        <f>参数!$D$10</f>
        <v>1</v>
      </c>
      <c r="U250" s="4">
        <f t="shared" si="21"/>
        <v>1516556</v>
      </c>
      <c r="V250" s="4">
        <f t="shared" si="22"/>
        <v>28318.8</v>
      </c>
      <c r="W250" s="4">
        <f t="shared" si="23"/>
        <v>26857</v>
      </c>
      <c r="X250" s="4">
        <f>IFERROR(INDEX(参数!$B$5:$B$7,MATCH($N250,参数!$A$5:$A$7,0)),"")</f>
        <v>1.5</v>
      </c>
      <c r="Y250" s="4">
        <f>IFERROR(INDEX(参数!$C$5:$C$7,MATCH($N250,参数!$A$5:$A$7,0)),"")</f>
        <v>1</v>
      </c>
      <c r="Z250" s="4">
        <f>IFERROR(INDEX(参数!$D$5:$D$7,MATCH($N250,参数!$A$5:$A$7,0)),"")</f>
        <v>1.5</v>
      </c>
      <c r="AA250" s="4">
        <f>IFERROR(INDEX(楼层配置!$E$5:$E$104,MATCH($K250,楼层配置!$B$5:$B$104,0)),1)</f>
        <v>1</v>
      </c>
      <c r="AB250" s="4">
        <f>IFERROR(INDEX(楼层配置!$F$5:$F$104,MATCH($K250,楼层配置!$B$5:$B$104,0)),1)</f>
        <v>1</v>
      </c>
      <c r="AC250" s="4">
        <f>IFERROR(INDEX(楼层配置!$G$5:$G$104,MATCH($K250,楼层配置!$B$5:$B$104,0)),1)</f>
        <v>1</v>
      </c>
      <c r="AD250" s="6">
        <f t="shared" si="24"/>
        <v>0.899944542627009</v>
      </c>
      <c r="AE250" s="6">
        <f t="shared" si="25"/>
        <v>0.782863258625031</v>
      </c>
      <c r="AF250" s="6">
        <f t="shared" si="26"/>
        <v>0.921950288631268</v>
      </c>
      <c r="AG250" s="4" t="str">
        <f t="shared" si="27"/>
        <v>有效</v>
      </c>
    </row>
    <row r="251" ht="14.25" customHeight="1" spans="1:33">
      <c r="A251" s="4">
        <v>247</v>
      </c>
      <c r="B251" s="4">
        <v>1021</v>
      </c>
      <c r="C251" s="4">
        <v>35</v>
      </c>
      <c r="D251" s="5">
        <f>IFERROR(ROUND($U251*$X251*$AA251*参数!$B$13,0),"")</f>
        <v>1516556</v>
      </c>
      <c r="E251" s="5">
        <f>IFERROR(ROUND($V251*$Y251*$AB251*参数!$C$13,0),"")</f>
        <v>33983</v>
      </c>
      <c r="F251" s="5">
        <f>IFERROR(ROUND($W251*$Z251*$AC251*参数!$D$13,0),"")</f>
        <v>26857</v>
      </c>
      <c r="G251" s="4">
        <v>798211</v>
      </c>
      <c r="H251" s="4">
        <v>19060</v>
      </c>
      <c r="I251" s="4">
        <v>13974</v>
      </c>
      <c r="J251" s="4">
        <v>50</v>
      </c>
      <c r="K251" s="4">
        <v>50</v>
      </c>
      <c r="L251" s="4">
        <f>IFERROR(INDEX(楼层配置!$D$5:$D$104,MATCH($K251,楼层配置!$B$5:$B$104,0)),"")</f>
        <v>299</v>
      </c>
      <c r="M251" s="4" t="str">
        <f>IFERROR(INDEX(_角色基线!$B$2:$B$100,MATCH($B251,_角色基线!$A$2:$A$100,0)),"")</f>
        <v>梅梅</v>
      </c>
      <c r="N251" s="4" t="str">
        <f>IFERROR(INDEX(_角色基线!$C$2:$C$100,MATCH($B251,_角色基线!$A$2:$A$100,0)),"")</f>
        <v>DPS</v>
      </c>
      <c r="O251" s="4">
        <f>IFERROR(INDEX(_怪物基线!$B$2:$B$501,MATCH(INT($L251),_怪物基线!$A$2:$A$501,0)),"")</f>
        <v>379139</v>
      </c>
      <c r="P251" s="4">
        <f>IFERROR(INDEX(_怪物基线!$C$2:$C$501,MATCH(INT($L251),_怪物基线!$A$2:$A$501,0)),"")</f>
        <v>23599</v>
      </c>
      <c r="Q251" s="4">
        <f>IFERROR(INDEX(_怪物基线!$D$2:$D$501,MATCH(INT($L251),_怪物基线!$A$2:$A$501,0)),"")</f>
        <v>26857</v>
      </c>
      <c r="R251" s="4">
        <f>参数!$B$10</f>
        <v>4</v>
      </c>
      <c r="S251" s="4">
        <f>参数!$C$10</f>
        <v>1.2</v>
      </c>
      <c r="T251" s="4">
        <f>参数!$D$10</f>
        <v>1</v>
      </c>
      <c r="U251" s="4">
        <f t="shared" si="21"/>
        <v>1516556</v>
      </c>
      <c r="V251" s="4">
        <f t="shared" si="22"/>
        <v>28318.8</v>
      </c>
      <c r="W251" s="4">
        <f t="shared" si="23"/>
        <v>26857</v>
      </c>
      <c r="X251" s="4">
        <f>IFERROR(INDEX(参数!$B$5:$B$7,MATCH($N251,参数!$A$5:$A$7,0)),"")</f>
        <v>1</v>
      </c>
      <c r="Y251" s="4">
        <f>IFERROR(INDEX(参数!$C$5:$C$7,MATCH($N251,参数!$A$5:$A$7,0)),"")</f>
        <v>1.2</v>
      </c>
      <c r="Z251" s="4">
        <f>IFERROR(INDEX(参数!$D$5:$D$7,MATCH($N251,参数!$A$5:$A$7,0)),"")</f>
        <v>1</v>
      </c>
      <c r="AA251" s="4">
        <f>IFERROR(INDEX(楼层配置!$E$5:$E$104,MATCH($K251,楼层配置!$B$5:$B$104,0)),1)</f>
        <v>1</v>
      </c>
      <c r="AB251" s="4">
        <f>IFERROR(INDEX(楼层配置!$F$5:$F$104,MATCH($K251,楼层配置!$B$5:$B$104,0)),1)</f>
        <v>1</v>
      </c>
      <c r="AC251" s="4">
        <f>IFERROR(INDEX(楼层配置!$G$5:$G$104,MATCH($K251,楼层配置!$B$5:$B$104,0)),1)</f>
        <v>1</v>
      </c>
      <c r="AD251" s="6">
        <f t="shared" si="24"/>
        <v>0.899943749209169</v>
      </c>
      <c r="AE251" s="6">
        <f t="shared" si="25"/>
        <v>0.782948583420777</v>
      </c>
      <c r="AF251" s="6">
        <f t="shared" si="26"/>
        <v>0.9219264348075</v>
      </c>
      <c r="AG251" s="4" t="str">
        <f t="shared" si="27"/>
        <v>有效</v>
      </c>
    </row>
    <row r="252" ht="14.25" customHeight="1" spans="1:33">
      <c r="A252" s="4">
        <v>248</v>
      </c>
      <c r="B252" s="4">
        <v>1029</v>
      </c>
      <c r="C252" s="4">
        <v>35</v>
      </c>
      <c r="D252" s="5">
        <f>IFERROR(ROUND($U252*$X252*$AA252*参数!$B$13,0),"")</f>
        <v>1895695</v>
      </c>
      <c r="E252" s="5">
        <f>IFERROR(ROUND($V252*$Y252*$AB252*参数!$C$13,0),"")</f>
        <v>28319</v>
      </c>
      <c r="F252" s="5">
        <f>IFERROR(ROUND($W252*$Z252*$AC252*参数!$D$13,0),"")</f>
        <v>33571</v>
      </c>
      <c r="G252" s="4">
        <v>997764</v>
      </c>
      <c r="H252" s="4">
        <v>15884</v>
      </c>
      <c r="I252" s="4">
        <v>17468</v>
      </c>
      <c r="J252" s="4">
        <v>50</v>
      </c>
      <c r="K252" s="4">
        <v>50</v>
      </c>
      <c r="L252" s="4">
        <f>IFERROR(INDEX(楼层配置!$D$5:$D$104,MATCH($K252,楼层配置!$B$5:$B$104,0)),"")</f>
        <v>299</v>
      </c>
      <c r="M252" s="4" t="str">
        <f>IFERROR(INDEX(_角色基线!$B$2:$B$100,MATCH($B252,_角色基线!$A$2:$A$100,0)),"")</f>
        <v>凯兰</v>
      </c>
      <c r="N252" s="4" t="str">
        <f>IFERROR(INDEX(_角色基线!$C$2:$C$100,MATCH($B252,_角色基线!$A$2:$A$100,0)),"")</f>
        <v>Support</v>
      </c>
      <c r="O252" s="4">
        <f>IFERROR(INDEX(_怪物基线!$B$2:$B$501,MATCH(INT($L252),_怪物基线!$A$2:$A$501,0)),"")</f>
        <v>379139</v>
      </c>
      <c r="P252" s="4">
        <f>IFERROR(INDEX(_怪物基线!$C$2:$C$501,MATCH(INT($L252),_怪物基线!$A$2:$A$501,0)),"")</f>
        <v>23599</v>
      </c>
      <c r="Q252" s="4">
        <f>IFERROR(INDEX(_怪物基线!$D$2:$D$501,MATCH(INT($L252),_怪物基线!$A$2:$A$501,0)),"")</f>
        <v>26857</v>
      </c>
      <c r="R252" s="4">
        <f>参数!$B$10</f>
        <v>4</v>
      </c>
      <c r="S252" s="4">
        <f>参数!$C$10</f>
        <v>1.2</v>
      </c>
      <c r="T252" s="4">
        <f>参数!$D$10</f>
        <v>1</v>
      </c>
      <c r="U252" s="4">
        <f t="shared" si="21"/>
        <v>1516556</v>
      </c>
      <c r="V252" s="4">
        <f t="shared" si="22"/>
        <v>28318.8</v>
      </c>
      <c r="W252" s="4">
        <f t="shared" si="23"/>
        <v>26857</v>
      </c>
      <c r="X252" s="4">
        <f>IFERROR(INDEX(参数!$B$5:$B$7,MATCH($N252,参数!$A$5:$A$7,0)),"")</f>
        <v>1.25</v>
      </c>
      <c r="Y252" s="4">
        <f>IFERROR(INDEX(参数!$C$5:$C$7,MATCH($N252,参数!$A$5:$A$7,0)),"")</f>
        <v>1</v>
      </c>
      <c r="Z252" s="4">
        <f>IFERROR(INDEX(参数!$D$5:$D$7,MATCH($N252,参数!$A$5:$A$7,0)),"")</f>
        <v>1.25</v>
      </c>
      <c r="AA252" s="4">
        <f>IFERROR(INDEX(楼层配置!$E$5:$E$104,MATCH($K252,楼层配置!$B$5:$B$104,0)),1)</f>
        <v>1</v>
      </c>
      <c r="AB252" s="4">
        <f>IFERROR(INDEX(楼层配置!$F$5:$F$104,MATCH($K252,楼层配置!$B$5:$B$104,0)),1)</f>
        <v>1</v>
      </c>
      <c r="AC252" s="4">
        <f>IFERROR(INDEX(楼层配置!$G$5:$G$104,MATCH($K252,楼层配置!$B$5:$B$104,0)),1)</f>
        <v>1</v>
      </c>
      <c r="AD252" s="6">
        <f t="shared" si="24"/>
        <v>0.899943273158783</v>
      </c>
      <c r="AE252" s="6">
        <f t="shared" si="25"/>
        <v>0.782863258625031</v>
      </c>
      <c r="AF252" s="6">
        <f t="shared" si="26"/>
        <v>0.921857110144264</v>
      </c>
      <c r="AG252" s="4" t="str">
        <f t="shared" si="27"/>
        <v>有效</v>
      </c>
    </row>
    <row r="253" ht="14.25" customHeight="1" spans="1:33">
      <c r="A253" s="4">
        <v>249</v>
      </c>
      <c r="B253" s="4">
        <v>1020</v>
      </c>
      <c r="C253" s="4">
        <v>35</v>
      </c>
      <c r="D253" s="5">
        <f>IFERROR(ROUND($U253*$X253*$AA253*参数!$B$13,0),"")</f>
        <v>1895695</v>
      </c>
      <c r="E253" s="5">
        <f>IFERROR(ROUND($V253*$Y253*$AB253*参数!$C$13,0),"")</f>
        <v>28319</v>
      </c>
      <c r="F253" s="5">
        <f>IFERROR(ROUND($W253*$Z253*$AC253*参数!$D$13,0),"")</f>
        <v>33571</v>
      </c>
      <c r="G253" s="4">
        <v>997764</v>
      </c>
      <c r="H253" s="4">
        <v>15884</v>
      </c>
      <c r="I253" s="4">
        <v>17468</v>
      </c>
      <c r="J253" s="4">
        <v>50</v>
      </c>
      <c r="K253" s="4">
        <v>50</v>
      </c>
      <c r="L253" s="4">
        <f>IFERROR(INDEX(楼层配置!$D$5:$D$104,MATCH($K253,楼层配置!$B$5:$B$104,0)),"")</f>
        <v>299</v>
      </c>
      <c r="M253" s="4" t="str">
        <f>IFERROR(INDEX(_角色基线!$B$2:$B$100,MATCH($B253,_角色基线!$A$2:$A$100,0)),"")</f>
        <v>卡斯帕</v>
      </c>
      <c r="N253" s="4" t="str">
        <f>IFERROR(INDEX(_角色基线!$C$2:$C$100,MATCH($B253,_角色基线!$A$2:$A$100,0)),"")</f>
        <v>Support</v>
      </c>
      <c r="O253" s="4">
        <f>IFERROR(INDEX(_怪物基线!$B$2:$B$501,MATCH(INT($L253),_怪物基线!$A$2:$A$501,0)),"")</f>
        <v>379139</v>
      </c>
      <c r="P253" s="4">
        <f>IFERROR(INDEX(_怪物基线!$C$2:$C$501,MATCH(INT($L253),_怪物基线!$A$2:$A$501,0)),"")</f>
        <v>23599</v>
      </c>
      <c r="Q253" s="4">
        <f>IFERROR(INDEX(_怪物基线!$D$2:$D$501,MATCH(INT($L253),_怪物基线!$A$2:$A$501,0)),"")</f>
        <v>26857</v>
      </c>
      <c r="R253" s="4">
        <f>参数!$B$10</f>
        <v>4</v>
      </c>
      <c r="S253" s="4">
        <f>参数!$C$10</f>
        <v>1.2</v>
      </c>
      <c r="T253" s="4">
        <f>参数!$D$10</f>
        <v>1</v>
      </c>
      <c r="U253" s="4">
        <f t="shared" si="21"/>
        <v>1516556</v>
      </c>
      <c r="V253" s="4">
        <f t="shared" si="22"/>
        <v>28318.8</v>
      </c>
      <c r="W253" s="4">
        <f t="shared" si="23"/>
        <v>26857</v>
      </c>
      <c r="X253" s="4">
        <f>IFERROR(INDEX(参数!$B$5:$B$7,MATCH($N253,参数!$A$5:$A$7,0)),"")</f>
        <v>1.25</v>
      </c>
      <c r="Y253" s="4">
        <f>IFERROR(INDEX(参数!$C$5:$C$7,MATCH($N253,参数!$A$5:$A$7,0)),"")</f>
        <v>1</v>
      </c>
      <c r="Z253" s="4">
        <f>IFERROR(INDEX(参数!$D$5:$D$7,MATCH($N253,参数!$A$5:$A$7,0)),"")</f>
        <v>1.25</v>
      </c>
      <c r="AA253" s="4">
        <f>IFERROR(INDEX(楼层配置!$E$5:$E$104,MATCH($K253,楼层配置!$B$5:$B$104,0)),1)</f>
        <v>1</v>
      </c>
      <c r="AB253" s="4">
        <f>IFERROR(INDEX(楼层配置!$F$5:$F$104,MATCH($K253,楼层配置!$B$5:$B$104,0)),1)</f>
        <v>1</v>
      </c>
      <c r="AC253" s="4">
        <f>IFERROR(INDEX(楼层配置!$G$5:$G$104,MATCH($K253,楼层配置!$B$5:$B$104,0)),1)</f>
        <v>1</v>
      </c>
      <c r="AD253" s="6">
        <f t="shared" si="24"/>
        <v>0.899943273158783</v>
      </c>
      <c r="AE253" s="6">
        <f t="shared" si="25"/>
        <v>0.782863258625031</v>
      </c>
      <c r="AF253" s="6">
        <f t="shared" si="26"/>
        <v>0.921857110144264</v>
      </c>
      <c r="AG253" s="4" t="str">
        <f t="shared" si="27"/>
        <v>有效</v>
      </c>
    </row>
    <row r="254" ht="14.25" customHeight="1" spans="1:33">
      <c r="A254" s="4">
        <v>250</v>
      </c>
      <c r="B254" s="4">
        <v>1018</v>
      </c>
      <c r="C254" s="4">
        <v>35</v>
      </c>
      <c r="D254" s="5">
        <f>IFERROR(ROUND($U254*$X254*$AA254*参数!$B$13,0),"")</f>
        <v>1895695</v>
      </c>
      <c r="E254" s="5">
        <f>IFERROR(ROUND($V254*$Y254*$AB254*参数!$C$13,0),"")</f>
        <v>28319</v>
      </c>
      <c r="F254" s="5">
        <f>IFERROR(ROUND($W254*$Z254*$AC254*参数!$D$13,0),"")</f>
        <v>33571</v>
      </c>
      <c r="G254" s="4">
        <v>997764</v>
      </c>
      <c r="H254" s="4">
        <v>15884</v>
      </c>
      <c r="I254" s="4">
        <v>17468</v>
      </c>
      <c r="J254" s="4">
        <v>50</v>
      </c>
      <c r="K254" s="4">
        <v>50</v>
      </c>
      <c r="L254" s="4">
        <f>IFERROR(INDEX(楼层配置!$D$5:$D$104,MATCH($K254,楼层配置!$B$5:$B$104,0)),"")</f>
        <v>299</v>
      </c>
      <c r="M254" s="4" t="str">
        <f>IFERROR(INDEX(_角色基线!$B$2:$B$100,MATCH($B254,_角色基线!$A$2:$A$100,0)),"")</f>
        <v>埃莉诺</v>
      </c>
      <c r="N254" s="4" t="str">
        <f>IFERROR(INDEX(_角色基线!$C$2:$C$100,MATCH($B254,_角色基线!$A$2:$A$100,0)),"")</f>
        <v>Support</v>
      </c>
      <c r="O254" s="4">
        <f>IFERROR(INDEX(_怪物基线!$B$2:$B$501,MATCH(INT($L254),_怪物基线!$A$2:$A$501,0)),"")</f>
        <v>379139</v>
      </c>
      <c r="P254" s="4">
        <f>IFERROR(INDEX(_怪物基线!$C$2:$C$501,MATCH(INT($L254),_怪物基线!$A$2:$A$501,0)),"")</f>
        <v>23599</v>
      </c>
      <c r="Q254" s="4">
        <f>IFERROR(INDEX(_怪物基线!$D$2:$D$501,MATCH(INT($L254),_怪物基线!$A$2:$A$501,0)),"")</f>
        <v>26857</v>
      </c>
      <c r="R254" s="4">
        <f>参数!$B$10</f>
        <v>4</v>
      </c>
      <c r="S254" s="4">
        <f>参数!$C$10</f>
        <v>1.2</v>
      </c>
      <c r="T254" s="4">
        <f>参数!$D$10</f>
        <v>1</v>
      </c>
      <c r="U254" s="4">
        <f t="shared" si="21"/>
        <v>1516556</v>
      </c>
      <c r="V254" s="4">
        <f t="shared" si="22"/>
        <v>28318.8</v>
      </c>
      <c r="W254" s="4">
        <f t="shared" si="23"/>
        <v>26857</v>
      </c>
      <c r="X254" s="4">
        <f>IFERROR(INDEX(参数!$B$5:$B$7,MATCH($N254,参数!$A$5:$A$7,0)),"")</f>
        <v>1.25</v>
      </c>
      <c r="Y254" s="4">
        <f>IFERROR(INDEX(参数!$C$5:$C$7,MATCH($N254,参数!$A$5:$A$7,0)),"")</f>
        <v>1</v>
      </c>
      <c r="Z254" s="4">
        <f>IFERROR(INDEX(参数!$D$5:$D$7,MATCH($N254,参数!$A$5:$A$7,0)),"")</f>
        <v>1.25</v>
      </c>
      <c r="AA254" s="4">
        <f>IFERROR(INDEX(楼层配置!$E$5:$E$104,MATCH($K254,楼层配置!$B$5:$B$104,0)),1)</f>
        <v>1</v>
      </c>
      <c r="AB254" s="4">
        <f>IFERROR(INDEX(楼层配置!$F$5:$F$104,MATCH($K254,楼层配置!$B$5:$B$104,0)),1)</f>
        <v>1</v>
      </c>
      <c r="AC254" s="4">
        <f>IFERROR(INDEX(楼层配置!$G$5:$G$104,MATCH($K254,楼层配置!$B$5:$B$104,0)),1)</f>
        <v>1</v>
      </c>
      <c r="AD254" s="6">
        <f t="shared" si="24"/>
        <v>0.899943273158783</v>
      </c>
      <c r="AE254" s="6">
        <f t="shared" si="25"/>
        <v>0.782863258625031</v>
      </c>
      <c r="AF254" s="6">
        <f t="shared" si="26"/>
        <v>0.921857110144264</v>
      </c>
      <c r="AG254" s="4" t="str">
        <f t="shared" si="27"/>
        <v>有效</v>
      </c>
    </row>
    <row r="255" ht="14.25" customHeight="1" spans="1:33">
      <c r="A255" s="4">
        <v>251</v>
      </c>
      <c r="B255" s="4">
        <v>1030</v>
      </c>
      <c r="C255" s="4">
        <v>35</v>
      </c>
      <c r="D255" s="5">
        <f>IFERROR(ROUND($U255*$X255*$AA255*参数!$B$13,0),"")</f>
        <v>2316072</v>
      </c>
      <c r="E255" s="5">
        <f>IFERROR(ROUND($V255*$Y255*$AB255*参数!$C$13,0),"")</f>
        <v>28698</v>
      </c>
      <c r="F255" s="5">
        <f>IFERROR(ROUND($W255*$Z255*$AC255*参数!$D$13,0),"")</f>
        <v>40658</v>
      </c>
      <c r="G255" s="4">
        <v>1266336</v>
      </c>
      <c r="H255" s="4">
        <v>16495</v>
      </c>
      <c r="I255" s="4">
        <v>21596</v>
      </c>
      <c r="J255" s="4">
        <v>51</v>
      </c>
      <c r="K255" s="4">
        <v>51</v>
      </c>
      <c r="L255" s="4">
        <f>IFERROR(INDEX(楼层配置!$D$5:$D$104,MATCH($K255,楼层配置!$B$5:$B$104,0)),"")</f>
        <v>301</v>
      </c>
      <c r="M255" s="4" t="str">
        <f>IFERROR(INDEX(_角色基线!$B$2:$B$100,MATCH($B255,_角色基线!$A$2:$A$100,0)),"")</f>
        <v>莫莉</v>
      </c>
      <c r="N255" s="4" t="str">
        <f>IFERROR(INDEX(_角色基线!$C$2:$C$100,MATCH($B255,_角色基线!$A$2:$A$100,0)),"")</f>
        <v>Tank</v>
      </c>
      <c r="O255" s="4">
        <f>IFERROR(INDEX(_怪物基线!$B$2:$B$501,MATCH(INT($L255),_怪物基线!$A$2:$A$501,0)),"")</f>
        <v>386012</v>
      </c>
      <c r="P255" s="4">
        <f>IFERROR(INDEX(_怪物基线!$C$2:$C$501,MATCH(INT($L255),_怪物基线!$A$2:$A$501,0)),"")</f>
        <v>23915</v>
      </c>
      <c r="Q255" s="4">
        <f>IFERROR(INDEX(_怪物基线!$D$2:$D$501,MATCH(INT($L255),_怪物基线!$A$2:$A$501,0)),"")</f>
        <v>27105</v>
      </c>
      <c r="R255" s="4">
        <f>参数!$B$10</f>
        <v>4</v>
      </c>
      <c r="S255" s="4">
        <f>参数!$C$10</f>
        <v>1.2</v>
      </c>
      <c r="T255" s="4">
        <f>参数!$D$10</f>
        <v>1</v>
      </c>
      <c r="U255" s="4">
        <f t="shared" si="21"/>
        <v>1544048</v>
      </c>
      <c r="V255" s="4">
        <f t="shared" si="22"/>
        <v>28698</v>
      </c>
      <c r="W255" s="4">
        <f t="shared" si="23"/>
        <v>27105</v>
      </c>
      <c r="X255" s="4">
        <f>IFERROR(INDEX(参数!$B$5:$B$7,MATCH($N255,参数!$A$5:$A$7,0)),"")</f>
        <v>1.5</v>
      </c>
      <c r="Y255" s="4">
        <f>IFERROR(INDEX(参数!$C$5:$C$7,MATCH($N255,参数!$A$5:$A$7,0)),"")</f>
        <v>1</v>
      </c>
      <c r="Z255" s="4">
        <f>IFERROR(INDEX(参数!$D$5:$D$7,MATCH($N255,参数!$A$5:$A$7,0)),"")</f>
        <v>1.5</v>
      </c>
      <c r="AA255" s="4">
        <f>IFERROR(INDEX(楼层配置!$E$5:$E$104,MATCH($K255,楼层配置!$B$5:$B$104,0)),1)</f>
        <v>1</v>
      </c>
      <c r="AB255" s="4">
        <f>IFERROR(INDEX(楼层配置!$F$5:$F$104,MATCH($K255,楼层配置!$B$5:$B$104,0)),1)</f>
        <v>1</v>
      </c>
      <c r="AC255" s="4">
        <f>IFERROR(INDEX(楼层配置!$G$5:$G$104,MATCH($K255,楼层配置!$B$5:$B$104,0)),1)</f>
        <v>1</v>
      </c>
      <c r="AD255" s="6">
        <f t="shared" si="24"/>
        <v>0.828955348343568</v>
      </c>
      <c r="AE255" s="6">
        <f t="shared" si="25"/>
        <v>0.739799939375568</v>
      </c>
      <c r="AF255" s="6">
        <f t="shared" si="26"/>
        <v>0.882663456195592</v>
      </c>
      <c r="AG255" s="4" t="str">
        <f t="shared" si="27"/>
        <v>有效</v>
      </c>
    </row>
    <row r="256" ht="14.25" customHeight="1" spans="1:33">
      <c r="A256" s="4">
        <v>252</v>
      </c>
      <c r="B256" s="4">
        <v>1015</v>
      </c>
      <c r="C256" s="4">
        <v>35</v>
      </c>
      <c r="D256" s="5">
        <f>IFERROR(ROUND($U256*$X256*$AA256*参数!$B$13,0),"")</f>
        <v>1930060</v>
      </c>
      <c r="E256" s="5">
        <f>IFERROR(ROUND($V256*$Y256*$AB256*参数!$C$13,0),"")</f>
        <v>28698</v>
      </c>
      <c r="F256" s="5">
        <f>IFERROR(ROUND($W256*$Z256*$AC256*参数!$D$13,0),"")</f>
        <v>33881</v>
      </c>
      <c r="G256" s="4">
        <v>1055280</v>
      </c>
      <c r="H256" s="4">
        <v>16495</v>
      </c>
      <c r="I256" s="4">
        <v>17997</v>
      </c>
      <c r="J256" s="4">
        <v>51</v>
      </c>
      <c r="K256" s="4">
        <v>51</v>
      </c>
      <c r="L256" s="4">
        <f>IFERROR(INDEX(楼层配置!$D$5:$D$104,MATCH($K256,楼层配置!$B$5:$B$104,0)),"")</f>
        <v>301</v>
      </c>
      <c r="M256" s="4" t="str">
        <f>IFERROR(INDEX(_角色基线!$B$2:$B$100,MATCH($B256,_角色基线!$A$2:$A$100,0)),"")</f>
        <v>阿莱克西娅</v>
      </c>
      <c r="N256" s="4" t="str">
        <f>IFERROR(INDEX(_角色基线!$C$2:$C$100,MATCH($B256,_角色基线!$A$2:$A$100,0)),"")</f>
        <v>Support</v>
      </c>
      <c r="O256" s="4">
        <f>IFERROR(INDEX(_怪物基线!$B$2:$B$501,MATCH(INT($L256),_怪物基线!$A$2:$A$501,0)),"")</f>
        <v>386012</v>
      </c>
      <c r="P256" s="4">
        <f>IFERROR(INDEX(_怪物基线!$C$2:$C$501,MATCH(INT($L256),_怪物基线!$A$2:$A$501,0)),"")</f>
        <v>23915</v>
      </c>
      <c r="Q256" s="4">
        <f>IFERROR(INDEX(_怪物基线!$D$2:$D$501,MATCH(INT($L256),_怪物基线!$A$2:$A$501,0)),"")</f>
        <v>27105</v>
      </c>
      <c r="R256" s="4">
        <f>参数!$B$10</f>
        <v>4</v>
      </c>
      <c r="S256" s="4">
        <f>参数!$C$10</f>
        <v>1.2</v>
      </c>
      <c r="T256" s="4">
        <f>参数!$D$10</f>
        <v>1</v>
      </c>
      <c r="U256" s="4">
        <f t="shared" si="21"/>
        <v>1544048</v>
      </c>
      <c r="V256" s="4">
        <f t="shared" si="22"/>
        <v>28698</v>
      </c>
      <c r="W256" s="4">
        <f t="shared" si="23"/>
        <v>27105</v>
      </c>
      <c r="X256" s="4">
        <f>IFERROR(INDEX(参数!$B$5:$B$7,MATCH($N256,参数!$A$5:$A$7,0)),"")</f>
        <v>1.25</v>
      </c>
      <c r="Y256" s="4">
        <f>IFERROR(INDEX(参数!$C$5:$C$7,MATCH($N256,参数!$A$5:$A$7,0)),"")</f>
        <v>1</v>
      </c>
      <c r="Z256" s="4">
        <f>IFERROR(INDEX(参数!$D$5:$D$7,MATCH($N256,参数!$A$5:$A$7,0)),"")</f>
        <v>1.25</v>
      </c>
      <c r="AA256" s="4">
        <f>IFERROR(INDEX(楼层配置!$E$5:$E$104,MATCH($K256,楼层配置!$B$5:$B$104,0)),1)</f>
        <v>1</v>
      </c>
      <c r="AB256" s="4">
        <f>IFERROR(INDEX(楼层配置!$F$5:$F$104,MATCH($K256,楼层配置!$B$5:$B$104,0)),1)</f>
        <v>1</v>
      </c>
      <c r="AC256" s="4">
        <f>IFERROR(INDEX(楼层配置!$G$5:$G$104,MATCH($K256,楼层配置!$B$5:$B$104,0)),1)</f>
        <v>1</v>
      </c>
      <c r="AD256" s="6">
        <f t="shared" si="24"/>
        <v>0.828955348343568</v>
      </c>
      <c r="AE256" s="6">
        <f t="shared" si="25"/>
        <v>0.739799939375568</v>
      </c>
      <c r="AF256" s="6">
        <f t="shared" si="26"/>
        <v>0.88259154303495</v>
      </c>
      <c r="AG256" s="4" t="str">
        <f t="shared" si="27"/>
        <v>有效</v>
      </c>
    </row>
    <row r="257" ht="14.25" customHeight="1" spans="1:33">
      <c r="A257" s="4">
        <v>253</v>
      </c>
      <c r="B257" s="4">
        <v>1014</v>
      </c>
      <c r="C257" s="4">
        <v>35</v>
      </c>
      <c r="D257" s="5">
        <f>IFERROR(ROUND($U257*$X257*$AA257*参数!$B$13,0),"")</f>
        <v>1544048</v>
      </c>
      <c r="E257" s="5">
        <f>IFERROR(ROUND($V257*$Y257*$AB257*参数!$C$13,0),"")</f>
        <v>34438</v>
      </c>
      <c r="F257" s="5">
        <f>IFERROR(ROUND($W257*$Z257*$AC257*参数!$D$13,0),"")</f>
        <v>27105</v>
      </c>
      <c r="G257" s="4">
        <v>844224</v>
      </c>
      <c r="H257" s="4">
        <v>19794</v>
      </c>
      <c r="I257" s="4">
        <v>14397</v>
      </c>
      <c r="J257" s="4">
        <v>51</v>
      </c>
      <c r="K257" s="4">
        <v>51</v>
      </c>
      <c r="L257" s="4">
        <f>IFERROR(INDEX(楼层配置!$D$5:$D$104,MATCH($K257,楼层配置!$B$5:$B$104,0)),"")</f>
        <v>301</v>
      </c>
      <c r="M257" s="4" t="str">
        <f>IFERROR(INDEX(_角色基线!$B$2:$B$100,MATCH($B257,_角色基线!$A$2:$A$100,0)),"")</f>
        <v>克莉丝汀</v>
      </c>
      <c r="N257" s="4" t="str">
        <f>IFERROR(INDEX(_角色基线!$C$2:$C$100,MATCH($B257,_角色基线!$A$2:$A$100,0)),"")</f>
        <v>DPS</v>
      </c>
      <c r="O257" s="4">
        <f>IFERROR(INDEX(_怪物基线!$B$2:$B$501,MATCH(INT($L257),_怪物基线!$A$2:$A$501,0)),"")</f>
        <v>386012</v>
      </c>
      <c r="P257" s="4">
        <f>IFERROR(INDEX(_怪物基线!$C$2:$C$501,MATCH(INT($L257),_怪物基线!$A$2:$A$501,0)),"")</f>
        <v>23915</v>
      </c>
      <c r="Q257" s="4">
        <f>IFERROR(INDEX(_怪物基线!$D$2:$D$501,MATCH(INT($L257),_怪物基线!$A$2:$A$501,0)),"")</f>
        <v>27105</v>
      </c>
      <c r="R257" s="4">
        <f>参数!$B$10</f>
        <v>4</v>
      </c>
      <c r="S257" s="4">
        <f>参数!$C$10</f>
        <v>1.2</v>
      </c>
      <c r="T257" s="4">
        <f>参数!$D$10</f>
        <v>1</v>
      </c>
      <c r="U257" s="4">
        <f t="shared" si="21"/>
        <v>1544048</v>
      </c>
      <c r="V257" s="4">
        <f t="shared" si="22"/>
        <v>28698</v>
      </c>
      <c r="W257" s="4">
        <f t="shared" si="23"/>
        <v>27105</v>
      </c>
      <c r="X257" s="4">
        <f>IFERROR(INDEX(参数!$B$5:$B$7,MATCH($N257,参数!$A$5:$A$7,0)),"")</f>
        <v>1</v>
      </c>
      <c r="Y257" s="4">
        <f>IFERROR(INDEX(参数!$C$5:$C$7,MATCH($N257,参数!$A$5:$A$7,0)),"")</f>
        <v>1.2</v>
      </c>
      <c r="Z257" s="4">
        <f>IFERROR(INDEX(参数!$D$5:$D$7,MATCH($N257,参数!$A$5:$A$7,0)),"")</f>
        <v>1</v>
      </c>
      <c r="AA257" s="4">
        <f>IFERROR(INDEX(楼层配置!$E$5:$E$104,MATCH($K257,楼层配置!$B$5:$B$104,0)),1)</f>
        <v>1</v>
      </c>
      <c r="AB257" s="4">
        <f>IFERROR(INDEX(楼层配置!$F$5:$F$104,MATCH($K257,楼层配置!$B$5:$B$104,0)),1)</f>
        <v>1</v>
      </c>
      <c r="AC257" s="4">
        <f>IFERROR(INDEX(楼层配置!$G$5:$G$104,MATCH($K257,楼层配置!$B$5:$B$104,0)),1)</f>
        <v>1</v>
      </c>
      <c r="AD257" s="6">
        <f t="shared" si="24"/>
        <v>0.828955348343568</v>
      </c>
      <c r="AE257" s="6">
        <f t="shared" si="25"/>
        <v>0.73982014751945</v>
      </c>
      <c r="AF257" s="6">
        <f t="shared" si="26"/>
        <v>0.882683892477599</v>
      </c>
      <c r="AG257" s="4" t="str">
        <f t="shared" si="27"/>
        <v>有效</v>
      </c>
    </row>
    <row r="258" ht="14.25" customHeight="1" spans="1:33">
      <c r="A258" s="4">
        <v>254</v>
      </c>
      <c r="B258" s="4">
        <v>1005</v>
      </c>
      <c r="C258" s="4">
        <v>35</v>
      </c>
      <c r="D258" s="5">
        <f>IFERROR(ROUND($U258*$X258*$AA258*参数!$B$13,0),"")</f>
        <v>1544048</v>
      </c>
      <c r="E258" s="5">
        <f>IFERROR(ROUND($V258*$Y258*$AB258*参数!$C$13,0),"")</f>
        <v>34438</v>
      </c>
      <c r="F258" s="5">
        <f>IFERROR(ROUND($W258*$Z258*$AC258*参数!$D$13,0),"")</f>
        <v>27105</v>
      </c>
      <c r="G258" s="4">
        <v>844224</v>
      </c>
      <c r="H258" s="4">
        <v>19794</v>
      </c>
      <c r="I258" s="4">
        <v>14397</v>
      </c>
      <c r="J258" s="4">
        <v>51</v>
      </c>
      <c r="K258" s="4">
        <v>51</v>
      </c>
      <c r="L258" s="4">
        <f>IFERROR(INDEX(楼层配置!$D$5:$D$104,MATCH($K258,楼层配置!$B$5:$B$104,0)),"")</f>
        <v>301</v>
      </c>
      <c r="M258" s="4" t="str">
        <f>IFERROR(INDEX(_角色基线!$B$2:$B$100,MATCH($B258,_角色基线!$A$2:$A$100,0)),"")</f>
        <v>陈单单</v>
      </c>
      <c r="N258" s="4" t="str">
        <f>IFERROR(INDEX(_角色基线!$C$2:$C$100,MATCH($B258,_角色基线!$A$2:$A$100,0)),"")</f>
        <v>DPS</v>
      </c>
      <c r="O258" s="4">
        <f>IFERROR(INDEX(_怪物基线!$B$2:$B$501,MATCH(INT($L258),_怪物基线!$A$2:$A$501,0)),"")</f>
        <v>386012</v>
      </c>
      <c r="P258" s="4">
        <f>IFERROR(INDEX(_怪物基线!$C$2:$C$501,MATCH(INT($L258),_怪物基线!$A$2:$A$501,0)),"")</f>
        <v>23915</v>
      </c>
      <c r="Q258" s="4">
        <f>IFERROR(INDEX(_怪物基线!$D$2:$D$501,MATCH(INT($L258),_怪物基线!$A$2:$A$501,0)),"")</f>
        <v>27105</v>
      </c>
      <c r="R258" s="4">
        <f>参数!$B$10</f>
        <v>4</v>
      </c>
      <c r="S258" s="4">
        <f>参数!$C$10</f>
        <v>1.2</v>
      </c>
      <c r="T258" s="4">
        <f>参数!$D$10</f>
        <v>1</v>
      </c>
      <c r="U258" s="4">
        <f t="shared" si="21"/>
        <v>1544048</v>
      </c>
      <c r="V258" s="4">
        <f t="shared" si="22"/>
        <v>28698</v>
      </c>
      <c r="W258" s="4">
        <f t="shared" si="23"/>
        <v>27105</v>
      </c>
      <c r="X258" s="4">
        <f>IFERROR(INDEX(参数!$B$5:$B$7,MATCH($N258,参数!$A$5:$A$7,0)),"")</f>
        <v>1</v>
      </c>
      <c r="Y258" s="4">
        <f>IFERROR(INDEX(参数!$C$5:$C$7,MATCH($N258,参数!$A$5:$A$7,0)),"")</f>
        <v>1.2</v>
      </c>
      <c r="Z258" s="4">
        <f>IFERROR(INDEX(参数!$D$5:$D$7,MATCH($N258,参数!$A$5:$A$7,0)),"")</f>
        <v>1</v>
      </c>
      <c r="AA258" s="4">
        <f>IFERROR(INDEX(楼层配置!$E$5:$E$104,MATCH($K258,楼层配置!$B$5:$B$104,0)),1)</f>
        <v>1</v>
      </c>
      <c r="AB258" s="4">
        <f>IFERROR(INDEX(楼层配置!$F$5:$F$104,MATCH($K258,楼层配置!$B$5:$B$104,0)),1)</f>
        <v>1</v>
      </c>
      <c r="AC258" s="4">
        <f>IFERROR(INDEX(楼层配置!$G$5:$G$104,MATCH($K258,楼层配置!$B$5:$B$104,0)),1)</f>
        <v>1</v>
      </c>
      <c r="AD258" s="6">
        <f t="shared" si="24"/>
        <v>0.828955348343568</v>
      </c>
      <c r="AE258" s="6">
        <f t="shared" si="25"/>
        <v>0.73982014751945</v>
      </c>
      <c r="AF258" s="6">
        <f t="shared" si="26"/>
        <v>0.882683892477599</v>
      </c>
      <c r="AG258" s="4" t="str">
        <f t="shared" si="27"/>
        <v>有效</v>
      </c>
    </row>
    <row r="259" ht="14.25" customHeight="1" spans="1:33">
      <c r="A259" s="4">
        <v>255</v>
      </c>
      <c r="B259" s="4">
        <v>1006</v>
      </c>
      <c r="C259" s="4">
        <v>35</v>
      </c>
      <c r="D259" s="5">
        <f>IFERROR(ROUND($U259*$X259*$AA259*参数!$B$13,0),"")</f>
        <v>1544048</v>
      </c>
      <c r="E259" s="5">
        <f>IFERROR(ROUND($V259*$Y259*$AB259*参数!$C$13,0),"")</f>
        <v>34438</v>
      </c>
      <c r="F259" s="5">
        <f>IFERROR(ROUND($W259*$Z259*$AC259*参数!$D$13,0),"")</f>
        <v>27105</v>
      </c>
      <c r="G259" s="4">
        <v>844224</v>
      </c>
      <c r="H259" s="4">
        <v>19794</v>
      </c>
      <c r="I259" s="4">
        <v>14397</v>
      </c>
      <c r="J259" s="4">
        <v>51</v>
      </c>
      <c r="K259" s="4">
        <v>51</v>
      </c>
      <c r="L259" s="4">
        <f>IFERROR(INDEX(楼层配置!$D$5:$D$104,MATCH($K259,楼层配置!$B$5:$B$104,0)),"")</f>
        <v>301</v>
      </c>
      <c r="M259" s="4" t="str">
        <f>IFERROR(INDEX(_角色基线!$B$2:$B$100,MATCH($B259,_角色基线!$A$2:$A$100,0)),"")</f>
        <v>莉莉娅</v>
      </c>
      <c r="N259" s="4" t="str">
        <f>IFERROR(INDEX(_角色基线!$C$2:$C$100,MATCH($B259,_角色基线!$A$2:$A$100,0)),"")</f>
        <v>DPS</v>
      </c>
      <c r="O259" s="4">
        <f>IFERROR(INDEX(_怪物基线!$B$2:$B$501,MATCH(INT($L259),_怪物基线!$A$2:$A$501,0)),"")</f>
        <v>386012</v>
      </c>
      <c r="P259" s="4">
        <f>IFERROR(INDEX(_怪物基线!$C$2:$C$501,MATCH(INT($L259),_怪物基线!$A$2:$A$501,0)),"")</f>
        <v>23915</v>
      </c>
      <c r="Q259" s="4">
        <f>IFERROR(INDEX(_怪物基线!$D$2:$D$501,MATCH(INT($L259),_怪物基线!$A$2:$A$501,0)),"")</f>
        <v>27105</v>
      </c>
      <c r="R259" s="4">
        <f>参数!$B$10</f>
        <v>4</v>
      </c>
      <c r="S259" s="4">
        <f>参数!$C$10</f>
        <v>1.2</v>
      </c>
      <c r="T259" s="4">
        <f>参数!$D$10</f>
        <v>1</v>
      </c>
      <c r="U259" s="4">
        <f t="shared" si="21"/>
        <v>1544048</v>
      </c>
      <c r="V259" s="4">
        <f t="shared" si="22"/>
        <v>28698</v>
      </c>
      <c r="W259" s="4">
        <f t="shared" si="23"/>
        <v>27105</v>
      </c>
      <c r="X259" s="4">
        <f>IFERROR(INDEX(参数!$B$5:$B$7,MATCH($N259,参数!$A$5:$A$7,0)),"")</f>
        <v>1</v>
      </c>
      <c r="Y259" s="4">
        <f>IFERROR(INDEX(参数!$C$5:$C$7,MATCH($N259,参数!$A$5:$A$7,0)),"")</f>
        <v>1.2</v>
      </c>
      <c r="Z259" s="4">
        <f>IFERROR(INDEX(参数!$D$5:$D$7,MATCH($N259,参数!$A$5:$A$7,0)),"")</f>
        <v>1</v>
      </c>
      <c r="AA259" s="4">
        <f>IFERROR(INDEX(楼层配置!$E$5:$E$104,MATCH($K259,楼层配置!$B$5:$B$104,0)),1)</f>
        <v>1</v>
      </c>
      <c r="AB259" s="4">
        <f>IFERROR(INDEX(楼层配置!$F$5:$F$104,MATCH($K259,楼层配置!$B$5:$B$104,0)),1)</f>
        <v>1</v>
      </c>
      <c r="AC259" s="4">
        <f>IFERROR(INDEX(楼层配置!$G$5:$G$104,MATCH($K259,楼层配置!$B$5:$B$104,0)),1)</f>
        <v>1</v>
      </c>
      <c r="AD259" s="6">
        <f t="shared" si="24"/>
        <v>0.828955348343568</v>
      </c>
      <c r="AE259" s="6">
        <f t="shared" si="25"/>
        <v>0.73982014751945</v>
      </c>
      <c r="AF259" s="6">
        <f t="shared" si="26"/>
        <v>0.882683892477599</v>
      </c>
      <c r="AG259" s="4" t="str">
        <f t="shared" si="27"/>
        <v>有效</v>
      </c>
    </row>
    <row r="260" ht="14.25" customHeight="1" spans="1:33">
      <c r="A260" s="4">
        <v>256</v>
      </c>
      <c r="B260" s="4">
        <v>1003</v>
      </c>
      <c r="C260" s="4">
        <v>36</v>
      </c>
      <c r="D260" s="5">
        <f>IFERROR(ROUND($U260*$X260*$AA260*参数!$B$13,0),"")</f>
        <v>2357856</v>
      </c>
      <c r="E260" s="5">
        <f>IFERROR(ROUND($V260*$Y260*$AB260*参数!$C$13,0),"")</f>
        <v>29081</v>
      </c>
      <c r="F260" s="5">
        <f>IFERROR(ROUND($W260*$Z260*$AC260*参数!$D$13,0),"")</f>
        <v>41031</v>
      </c>
      <c r="G260" s="4">
        <v>1323561</v>
      </c>
      <c r="H260" s="4">
        <v>16997</v>
      </c>
      <c r="I260" s="4">
        <v>22108</v>
      </c>
      <c r="J260" s="4">
        <v>52</v>
      </c>
      <c r="K260" s="4">
        <v>52</v>
      </c>
      <c r="L260" s="4">
        <f>IFERROR(INDEX(楼层配置!$D$5:$D$104,MATCH($K260,楼层配置!$B$5:$B$104,0)),"")</f>
        <v>303</v>
      </c>
      <c r="M260" s="4" t="str">
        <f>IFERROR(INDEX(_角色基线!$B$2:$B$100,MATCH($B260,_角色基线!$A$2:$A$100,0)),"")</f>
        <v>塔拉夏</v>
      </c>
      <c r="N260" s="4" t="str">
        <f>IFERROR(INDEX(_角色基线!$C$2:$C$100,MATCH($B260,_角色基线!$A$2:$A$100,0)),"")</f>
        <v>Tank</v>
      </c>
      <c r="O260" s="4">
        <f>IFERROR(INDEX(_怪物基线!$B$2:$B$501,MATCH(INT($L260),_怪物基线!$A$2:$A$501,0)),"")</f>
        <v>392976</v>
      </c>
      <c r="P260" s="4">
        <f>IFERROR(INDEX(_怪物基线!$C$2:$C$501,MATCH(INT($L260),_怪物基线!$A$2:$A$501,0)),"")</f>
        <v>24234</v>
      </c>
      <c r="Q260" s="4">
        <f>IFERROR(INDEX(_怪物基线!$D$2:$D$501,MATCH(INT($L260),_怪物基线!$A$2:$A$501,0)),"")</f>
        <v>27354</v>
      </c>
      <c r="R260" s="4">
        <f>参数!$B$10</f>
        <v>4</v>
      </c>
      <c r="S260" s="4">
        <f>参数!$C$10</f>
        <v>1.2</v>
      </c>
      <c r="T260" s="4">
        <f>参数!$D$10</f>
        <v>1</v>
      </c>
      <c r="U260" s="4">
        <f t="shared" si="21"/>
        <v>1571904</v>
      </c>
      <c r="V260" s="4">
        <f t="shared" si="22"/>
        <v>29080.8</v>
      </c>
      <c r="W260" s="4">
        <f t="shared" si="23"/>
        <v>27354</v>
      </c>
      <c r="X260" s="4">
        <f>IFERROR(INDEX(参数!$B$5:$B$7,MATCH($N260,参数!$A$5:$A$7,0)),"")</f>
        <v>1.5</v>
      </c>
      <c r="Y260" s="4">
        <f>IFERROR(INDEX(参数!$C$5:$C$7,MATCH($N260,参数!$A$5:$A$7,0)),"")</f>
        <v>1</v>
      </c>
      <c r="Z260" s="4">
        <f>IFERROR(INDEX(参数!$D$5:$D$7,MATCH($N260,参数!$A$5:$A$7,0)),"")</f>
        <v>1.5</v>
      </c>
      <c r="AA260" s="4">
        <f>IFERROR(INDEX(楼层配置!$E$5:$E$104,MATCH($K260,楼层配置!$B$5:$B$104,0)),1)</f>
        <v>1</v>
      </c>
      <c r="AB260" s="4">
        <f>IFERROR(INDEX(楼层配置!$F$5:$F$104,MATCH($K260,楼层配置!$B$5:$B$104,0)),1)</f>
        <v>1</v>
      </c>
      <c r="AC260" s="4">
        <f>IFERROR(INDEX(楼层配置!$G$5:$G$104,MATCH($K260,楼层配置!$B$5:$B$104,0)),1)</f>
        <v>1</v>
      </c>
      <c r="AD260" s="6">
        <f t="shared" si="24"/>
        <v>0.781448682758105</v>
      </c>
      <c r="AE260" s="6">
        <f t="shared" si="25"/>
        <v>0.710948990998411</v>
      </c>
      <c r="AF260" s="6">
        <f t="shared" si="26"/>
        <v>0.855934503347205</v>
      </c>
      <c r="AG260" s="4" t="str">
        <f t="shared" si="27"/>
        <v>有效</v>
      </c>
    </row>
    <row r="261" ht="14.25" customHeight="1" spans="1:33">
      <c r="A261" s="4">
        <v>257</v>
      </c>
      <c r="B261" s="4">
        <v>1014</v>
      </c>
      <c r="C261" s="4">
        <v>36</v>
      </c>
      <c r="D261" s="5">
        <f>IFERROR(ROUND($U261*$X261*$AA261*参数!$B$13,0),"")</f>
        <v>1571904</v>
      </c>
      <c r="E261" s="5">
        <f>IFERROR(ROUND($V261*$Y261*$AB261*参数!$C$13,0),"")</f>
        <v>34897</v>
      </c>
      <c r="F261" s="5">
        <f>IFERROR(ROUND($W261*$Z261*$AC261*参数!$D$13,0),"")</f>
        <v>27354</v>
      </c>
      <c r="G261" s="4">
        <v>882374</v>
      </c>
      <c r="H261" s="4">
        <v>20396</v>
      </c>
      <c r="I261" s="4">
        <v>14739</v>
      </c>
      <c r="J261" s="4">
        <v>52</v>
      </c>
      <c r="K261" s="4">
        <v>52</v>
      </c>
      <c r="L261" s="4">
        <f>IFERROR(INDEX(楼层配置!$D$5:$D$104,MATCH($K261,楼层配置!$B$5:$B$104,0)),"")</f>
        <v>303</v>
      </c>
      <c r="M261" s="4" t="str">
        <f>IFERROR(INDEX(_角色基线!$B$2:$B$100,MATCH($B261,_角色基线!$A$2:$A$100,0)),"")</f>
        <v>克莉丝汀</v>
      </c>
      <c r="N261" s="4" t="str">
        <f>IFERROR(INDEX(_角色基线!$C$2:$C$100,MATCH($B261,_角色基线!$A$2:$A$100,0)),"")</f>
        <v>DPS</v>
      </c>
      <c r="O261" s="4">
        <f>IFERROR(INDEX(_怪物基线!$B$2:$B$501,MATCH(INT($L261),_怪物基线!$A$2:$A$501,0)),"")</f>
        <v>392976</v>
      </c>
      <c r="P261" s="4">
        <f>IFERROR(INDEX(_怪物基线!$C$2:$C$501,MATCH(INT($L261),_怪物基线!$A$2:$A$501,0)),"")</f>
        <v>24234</v>
      </c>
      <c r="Q261" s="4">
        <f>IFERROR(INDEX(_怪物基线!$D$2:$D$501,MATCH(INT($L261),_怪物基线!$A$2:$A$501,0)),"")</f>
        <v>27354</v>
      </c>
      <c r="R261" s="4">
        <f>参数!$B$10</f>
        <v>4</v>
      </c>
      <c r="S261" s="4">
        <f>参数!$C$10</f>
        <v>1.2</v>
      </c>
      <c r="T261" s="4">
        <f>参数!$D$10</f>
        <v>1</v>
      </c>
      <c r="U261" s="4">
        <f t="shared" ref="U261:U324" si="28">IF($O261="","",$O261*$R261)</f>
        <v>1571904</v>
      </c>
      <c r="V261" s="4">
        <f t="shared" ref="V261:V324" si="29">IF($P261="","",$P261*$S261)</f>
        <v>29080.8</v>
      </c>
      <c r="W261" s="4">
        <f t="shared" ref="W261:W324" si="30">IF($Q261="","",$Q261*$T261)</f>
        <v>27354</v>
      </c>
      <c r="X261" s="4">
        <f>IFERROR(INDEX(参数!$B$5:$B$7,MATCH($N261,参数!$A$5:$A$7,0)),"")</f>
        <v>1</v>
      </c>
      <c r="Y261" s="4">
        <f>IFERROR(INDEX(参数!$C$5:$C$7,MATCH($N261,参数!$A$5:$A$7,0)),"")</f>
        <v>1.2</v>
      </c>
      <c r="Z261" s="4">
        <f>IFERROR(INDEX(参数!$D$5:$D$7,MATCH($N261,参数!$A$5:$A$7,0)),"")</f>
        <v>1</v>
      </c>
      <c r="AA261" s="4">
        <f>IFERROR(INDEX(楼层配置!$E$5:$E$104,MATCH($K261,楼层配置!$B$5:$B$104,0)),1)</f>
        <v>1</v>
      </c>
      <c r="AB261" s="4">
        <f>IFERROR(INDEX(楼层配置!$F$5:$F$104,MATCH($K261,楼层配置!$B$5:$B$104,0)),1)</f>
        <v>1</v>
      </c>
      <c r="AC261" s="4">
        <f>IFERROR(INDEX(楼层配置!$G$5:$G$104,MATCH($K261,楼层配置!$B$5:$B$104,0)),1)</f>
        <v>1</v>
      </c>
      <c r="AD261" s="6">
        <f t="shared" ref="AD261:AD324" si="31">IFERROR($D261/$G261-1,"")</f>
        <v>0.781448682758105</v>
      </c>
      <c r="AE261" s="6">
        <f t="shared" ref="AE261:AE324" si="32">IFERROR($E261/$H261-1,"")</f>
        <v>0.710972739752893</v>
      </c>
      <c r="AF261" s="6">
        <f t="shared" ref="AF261:AF324" si="33">IFERROR($F261/$I261-1,"")</f>
        <v>0.85589253002239</v>
      </c>
      <c r="AG261" s="4" t="str">
        <f t="shared" ref="AG261:AG324" si="34">IF(AND($A261&gt;=1,$L261&gt;=1,$L261&lt;=500,OR($N261="Tank",$N261="DPS",$N261="Support"),ISNUMBER($D261),ISNUMBER($E261),ISNUMBER($F261)),"有效","异常")</f>
        <v>有效</v>
      </c>
    </row>
    <row r="262" ht="14.25" customHeight="1" spans="1:33">
      <c r="A262" s="4">
        <v>258</v>
      </c>
      <c r="B262" s="4">
        <v>1018</v>
      </c>
      <c r="C262" s="4">
        <v>36</v>
      </c>
      <c r="D262" s="5">
        <f>IFERROR(ROUND($U262*$X262*$AA262*参数!$B$13,0),"")</f>
        <v>1964880</v>
      </c>
      <c r="E262" s="5">
        <f>IFERROR(ROUND($V262*$Y262*$AB262*参数!$C$13,0),"")</f>
        <v>29081</v>
      </c>
      <c r="F262" s="5">
        <f>IFERROR(ROUND($W262*$Z262*$AC262*参数!$D$13,0),"")</f>
        <v>34193</v>
      </c>
      <c r="G262" s="4">
        <v>1102968</v>
      </c>
      <c r="H262" s="4">
        <v>16997</v>
      </c>
      <c r="I262" s="4">
        <v>18424</v>
      </c>
      <c r="J262" s="4">
        <v>52</v>
      </c>
      <c r="K262" s="4">
        <v>52</v>
      </c>
      <c r="L262" s="4">
        <f>IFERROR(INDEX(楼层配置!$D$5:$D$104,MATCH($K262,楼层配置!$B$5:$B$104,0)),"")</f>
        <v>303</v>
      </c>
      <c r="M262" s="4" t="str">
        <f>IFERROR(INDEX(_角色基线!$B$2:$B$100,MATCH($B262,_角色基线!$A$2:$A$100,0)),"")</f>
        <v>埃莉诺</v>
      </c>
      <c r="N262" s="4" t="str">
        <f>IFERROR(INDEX(_角色基线!$C$2:$C$100,MATCH($B262,_角色基线!$A$2:$A$100,0)),"")</f>
        <v>Support</v>
      </c>
      <c r="O262" s="4">
        <f>IFERROR(INDEX(_怪物基线!$B$2:$B$501,MATCH(INT($L262),_怪物基线!$A$2:$A$501,0)),"")</f>
        <v>392976</v>
      </c>
      <c r="P262" s="4">
        <f>IFERROR(INDEX(_怪物基线!$C$2:$C$501,MATCH(INT($L262),_怪物基线!$A$2:$A$501,0)),"")</f>
        <v>24234</v>
      </c>
      <c r="Q262" s="4">
        <f>IFERROR(INDEX(_怪物基线!$D$2:$D$501,MATCH(INT($L262),_怪物基线!$A$2:$A$501,0)),"")</f>
        <v>27354</v>
      </c>
      <c r="R262" s="4">
        <f>参数!$B$10</f>
        <v>4</v>
      </c>
      <c r="S262" s="4">
        <f>参数!$C$10</f>
        <v>1.2</v>
      </c>
      <c r="T262" s="4">
        <f>参数!$D$10</f>
        <v>1</v>
      </c>
      <c r="U262" s="4">
        <f t="shared" si="28"/>
        <v>1571904</v>
      </c>
      <c r="V262" s="4">
        <f t="shared" si="29"/>
        <v>29080.8</v>
      </c>
      <c r="W262" s="4">
        <f t="shared" si="30"/>
        <v>27354</v>
      </c>
      <c r="X262" s="4">
        <f>IFERROR(INDEX(参数!$B$5:$B$7,MATCH($N262,参数!$A$5:$A$7,0)),"")</f>
        <v>1.25</v>
      </c>
      <c r="Y262" s="4">
        <f>IFERROR(INDEX(参数!$C$5:$C$7,MATCH($N262,参数!$A$5:$A$7,0)),"")</f>
        <v>1</v>
      </c>
      <c r="Z262" s="4">
        <f>IFERROR(INDEX(参数!$D$5:$D$7,MATCH($N262,参数!$A$5:$A$7,0)),"")</f>
        <v>1.25</v>
      </c>
      <c r="AA262" s="4">
        <f>IFERROR(INDEX(楼层配置!$E$5:$E$104,MATCH($K262,楼层配置!$B$5:$B$104,0)),1)</f>
        <v>1</v>
      </c>
      <c r="AB262" s="4">
        <f>IFERROR(INDEX(楼层配置!$F$5:$F$104,MATCH($K262,楼层配置!$B$5:$B$104,0)),1)</f>
        <v>1</v>
      </c>
      <c r="AC262" s="4">
        <f>IFERROR(INDEX(楼层配置!$G$5:$G$104,MATCH($K262,楼层配置!$B$5:$B$104,0)),1)</f>
        <v>1</v>
      </c>
      <c r="AD262" s="6">
        <f t="shared" si="31"/>
        <v>0.781447875187675</v>
      </c>
      <c r="AE262" s="6">
        <f t="shared" si="32"/>
        <v>0.710948990998411</v>
      </c>
      <c r="AF262" s="6">
        <f t="shared" si="33"/>
        <v>0.855894485453756</v>
      </c>
      <c r="AG262" s="4" t="str">
        <f t="shared" si="34"/>
        <v>有效</v>
      </c>
    </row>
    <row r="263" ht="14.25" customHeight="1" spans="1:33">
      <c r="A263" s="4">
        <v>259</v>
      </c>
      <c r="B263" s="4">
        <v>1005</v>
      </c>
      <c r="C263" s="4">
        <v>36</v>
      </c>
      <c r="D263" s="5">
        <f>IFERROR(ROUND($U263*$X263*$AA263*参数!$B$13,0),"")</f>
        <v>1571904</v>
      </c>
      <c r="E263" s="5">
        <f>IFERROR(ROUND($V263*$Y263*$AB263*参数!$C$13,0),"")</f>
        <v>34897</v>
      </c>
      <c r="F263" s="5">
        <f>IFERROR(ROUND($W263*$Z263*$AC263*参数!$D$13,0),"")</f>
        <v>27354</v>
      </c>
      <c r="G263" s="4">
        <v>882374</v>
      </c>
      <c r="H263" s="4">
        <v>20396</v>
      </c>
      <c r="I263" s="4">
        <v>14739</v>
      </c>
      <c r="J263" s="4">
        <v>52</v>
      </c>
      <c r="K263" s="4">
        <v>52</v>
      </c>
      <c r="L263" s="4">
        <f>IFERROR(INDEX(楼层配置!$D$5:$D$104,MATCH($K263,楼层配置!$B$5:$B$104,0)),"")</f>
        <v>303</v>
      </c>
      <c r="M263" s="4" t="str">
        <f>IFERROR(INDEX(_角色基线!$B$2:$B$100,MATCH($B263,_角色基线!$A$2:$A$100,0)),"")</f>
        <v>陈单单</v>
      </c>
      <c r="N263" s="4" t="str">
        <f>IFERROR(INDEX(_角色基线!$C$2:$C$100,MATCH($B263,_角色基线!$A$2:$A$100,0)),"")</f>
        <v>DPS</v>
      </c>
      <c r="O263" s="4">
        <f>IFERROR(INDEX(_怪物基线!$B$2:$B$501,MATCH(INT($L263),_怪物基线!$A$2:$A$501,0)),"")</f>
        <v>392976</v>
      </c>
      <c r="P263" s="4">
        <f>IFERROR(INDEX(_怪物基线!$C$2:$C$501,MATCH(INT($L263),_怪物基线!$A$2:$A$501,0)),"")</f>
        <v>24234</v>
      </c>
      <c r="Q263" s="4">
        <f>IFERROR(INDEX(_怪物基线!$D$2:$D$501,MATCH(INT($L263),_怪物基线!$A$2:$A$501,0)),"")</f>
        <v>27354</v>
      </c>
      <c r="R263" s="4">
        <f>参数!$B$10</f>
        <v>4</v>
      </c>
      <c r="S263" s="4">
        <f>参数!$C$10</f>
        <v>1.2</v>
      </c>
      <c r="T263" s="4">
        <f>参数!$D$10</f>
        <v>1</v>
      </c>
      <c r="U263" s="4">
        <f t="shared" si="28"/>
        <v>1571904</v>
      </c>
      <c r="V263" s="4">
        <f t="shared" si="29"/>
        <v>29080.8</v>
      </c>
      <c r="W263" s="4">
        <f t="shared" si="30"/>
        <v>27354</v>
      </c>
      <c r="X263" s="4">
        <f>IFERROR(INDEX(参数!$B$5:$B$7,MATCH($N263,参数!$A$5:$A$7,0)),"")</f>
        <v>1</v>
      </c>
      <c r="Y263" s="4">
        <f>IFERROR(INDEX(参数!$C$5:$C$7,MATCH($N263,参数!$A$5:$A$7,0)),"")</f>
        <v>1.2</v>
      </c>
      <c r="Z263" s="4">
        <f>IFERROR(INDEX(参数!$D$5:$D$7,MATCH($N263,参数!$A$5:$A$7,0)),"")</f>
        <v>1</v>
      </c>
      <c r="AA263" s="4">
        <f>IFERROR(INDEX(楼层配置!$E$5:$E$104,MATCH($K263,楼层配置!$B$5:$B$104,0)),1)</f>
        <v>1</v>
      </c>
      <c r="AB263" s="4">
        <f>IFERROR(INDEX(楼层配置!$F$5:$F$104,MATCH($K263,楼层配置!$B$5:$B$104,0)),1)</f>
        <v>1</v>
      </c>
      <c r="AC263" s="4">
        <f>IFERROR(INDEX(楼层配置!$G$5:$G$104,MATCH($K263,楼层配置!$B$5:$B$104,0)),1)</f>
        <v>1</v>
      </c>
      <c r="AD263" s="6">
        <f t="shared" si="31"/>
        <v>0.781448682758105</v>
      </c>
      <c r="AE263" s="6">
        <f t="shared" si="32"/>
        <v>0.710972739752893</v>
      </c>
      <c r="AF263" s="6">
        <f t="shared" si="33"/>
        <v>0.85589253002239</v>
      </c>
      <c r="AG263" s="4" t="str">
        <f t="shared" si="34"/>
        <v>有效</v>
      </c>
    </row>
    <row r="264" ht="14.25" customHeight="1" spans="1:33">
      <c r="A264" s="4">
        <v>260</v>
      </c>
      <c r="B264" s="4">
        <v>1012</v>
      </c>
      <c r="C264" s="4">
        <v>36</v>
      </c>
      <c r="D264" s="5">
        <f>IFERROR(ROUND($U264*$X264*$AA264*参数!$B$13,0),"")</f>
        <v>1964880</v>
      </c>
      <c r="E264" s="5">
        <f>IFERROR(ROUND($V264*$Y264*$AB264*参数!$C$13,0),"")</f>
        <v>29081</v>
      </c>
      <c r="F264" s="5">
        <f>IFERROR(ROUND($W264*$Z264*$AC264*参数!$D$13,0),"")</f>
        <v>34193</v>
      </c>
      <c r="G264" s="4">
        <v>1102968</v>
      </c>
      <c r="H264" s="4">
        <v>16997</v>
      </c>
      <c r="I264" s="4">
        <v>18424</v>
      </c>
      <c r="J264" s="4">
        <v>52</v>
      </c>
      <c r="K264" s="4">
        <v>52</v>
      </c>
      <c r="L264" s="4">
        <f>IFERROR(INDEX(楼层配置!$D$5:$D$104,MATCH($K264,楼层配置!$B$5:$B$104,0)),"")</f>
        <v>303</v>
      </c>
      <c r="M264" s="4" t="str">
        <f>IFERROR(INDEX(_角色基线!$B$2:$B$100,MATCH($B264,_角色基线!$A$2:$A$100,0)),"")</f>
        <v>艾德琳</v>
      </c>
      <c r="N264" s="4" t="str">
        <f>IFERROR(INDEX(_角色基线!$C$2:$C$100,MATCH($B264,_角色基线!$A$2:$A$100,0)),"")</f>
        <v>Support</v>
      </c>
      <c r="O264" s="4">
        <f>IFERROR(INDEX(_怪物基线!$B$2:$B$501,MATCH(INT($L264),_怪物基线!$A$2:$A$501,0)),"")</f>
        <v>392976</v>
      </c>
      <c r="P264" s="4">
        <f>IFERROR(INDEX(_怪物基线!$C$2:$C$501,MATCH(INT($L264),_怪物基线!$A$2:$A$501,0)),"")</f>
        <v>24234</v>
      </c>
      <c r="Q264" s="4">
        <f>IFERROR(INDEX(_怪物基线!$D$2:$D$501,MATCH(INT($L264),_怪物基线!$A$2:$A$501,0)),"")</f>
        <v>27354</v>
      </c>
      <c r="R264" s="4">
        <f>参数!$B$10</f>
        <v>4</v>
      </c>
      <c r="S264" s="4">
        <f>参数!$C$10</f>
        <v>1.2</v>
      </c>
      <c r="T264" s="4">
        <f>参数!$D$10</f>
        <v>1</v>
      </c>
      <c r="U264" s="4">
        <f t="shared" si="28"/>
        <v>1571904</v>
      </c>
      <c r="V264" s="4">
        <f t="shared" si="29"/>
        <v>29080.8</v>
      </c>
      <c r="W264" s="4">
        <f t="shared" si="30"/>
        <v>27354</v>
      </c>
      <c r="X264" s="4">
        <f>IFERROR(INDEX(参数!$B$5:$B$7,MATCH($N264,参数!$A$5:$A$7,0)),"")</f>
        <v>1.25</v>
      </c>
      <c r="Y264" s="4">
        <f>IFERROR(INDEX(参数!$C$5:$C$7,MATCH($N264,参数!$A$5:$A$7,0)),"")</f>
        <v>1</v>
      </c>
      <c r="Z264" s="4">
        <f>IFERROR(INDEX(参数!$D$5:$D$7,MATCH($N264,参数!$A$5:$A$7,0)),"")</f>
        <v>1.25</v>
      </c>
      <c r="AA264" s="4">
        <f>IFERROR(INDEX(楼层配置!$E$5:$E$104,MATCH($K264,楼层配置!$B$5:$B$104,0)),1)</f>
        <v>1</v>
      </c>
      <c r="AB264" s="4">
        <f>IFERROR(INDEX(楼层配置!$F$5:$F$104,MATCH($K264,楼层配置!$B$5:$B$104,0)),1)</f>
        <v>1</v>
      </c>
      <c r="AC264" s="4">
        <f>IFERROR(INDEX(楼层配置!$G$5:$G$104,MATCH($K264,楼层配置!$B$5:$B$104,0)),1)</f>
        <v>1</v>
      </c>
      <c r="AD264" s="6">
        <f t="shared" si="31"/>
        <v>0.781447875187675</v>
      </c>
      <c r="AE264" s="6">
        <f t="shared" si="32"/>
        <v>0.710948990998411</v>
      </c>
      <c r="AF264" s="6">
        <f t="shared" si="33"/>
        <v>0.855894485453756</v>
      </c>
      <c r="AG264" s="4" t="str">
        <f t="shared" si="34"/>
        <v>有效</v>
      </c>
    </row>
    <row r="265" ht="14.25" customHeight="1" spans="1:33">
      <c r="A265" s="4">
        <v>261</v>
      </c>
      <c r="B265" s="4">
        <v>1003</v>
      </c>
      <c r="C265" s="4">
        <v>36</v>
      </c>
      <c r="D265" s="5">
        <f>IFERROR(ROUND($U265*$X265*$AA265*参数!$B$13,0),"")</f>
        <v>2421570</v>
      </c>
      <c r="E265" s="5">
        <f>IFERROR(ROUND($V265*$Y265*$AB265*参数!$C$13,0),"")</f>
        <v>29665</v>
      </c>
      <c r="F265" s="5">
        <f>IFERROR(ROUND($W265*$Z265*$AC265*参数!$D$13,0),"")</f>
        <v>41595</v>
      </c>
      <c r="G265" s="4">
        <v>1382623</v>
      </c>
      <c r="H265" s="4">
        <v>17508</v>
      </c>
      <c r="I265" s="4">
        <v>22624</v>
      </c>
      <c r="J265" s="4">
        <v>53</v>
      </c>
      <c r="K265" s="4">
        <v>53</v>
      </c>
      <c r="L265" s="4">
        <f>IFERROR(INDEX(楼层配置!$D$5:$D$104,MATCH($K265,楼层配置!$B$5:$B$104,0)),"")</f>
        <v>306</v>
      </c>
      <c r="M265" s="4" t="str">
        <f>IFERROR(INDEX(_角色基线!$B$2:$B$100,MATCH($B265,_角色基线!$A$2:$A$100,0)),"")</f>
        <v>塔拉夏</v>
      </c>
      <c r="N265" s="4" t="str">
        <f>IFERROR(INDEX(_角色基线!$C$2:$C$100,MATCH($B265,_角色基线!$A$2:$A$100,0)),"")</f>
        <v>Tank</v>
      </c>
      <c r="O265" s="4">
        <f>IFERROR(INDEX(_怪物基线!$B$2:$B$501,MATCH(INT($L265),_怪物基线!$A$2:$A$501,0)),"")</f>
        <v>403595</v>
      </c>
      <c r="P265" s="4">
        <f>IFERROR(INDEX(_怪物基线!$C$2:$C$501,MATCH(INT($L265),_怪物基线!$A$2:$A$501,0)),"")</f>
        <v>24721</v>
      </c>
      <c r="Q265" s="4">
        <f>IFERROR(INDEX(_怪物基线!$D$2:$D$501,MATCH(INT($L265),_怪物基线!$A$2:$A$501,0)),"")</f>
        <v>27730</v>
      </c>
      <c r="R265" s="4">
        <f>参数!$B$10</f>
        <v>4</v>
      </c>
      <c r="S265" s="4">
        <f>参数!$C$10</f>
        <v>1.2</v>
      </c>
      <c r="T265" s="4">
        <f>参数!$D$10</f>
        <v>1</v>
      </c>
      <c r="U265" s="4">
        <f t="shared" si="28"/>
        <v>1614380</v>
      </c>
      <c r="V265" s="4">
        <f t="shared" si="29"/>
        <v>29665.2</v>
      </c>
      <c r="W265" s="4">
        <f t="shared" si="30"/>
        <v>27730</v>
      </c>
      <c r="X265" s="4">
        <f>IFERROR(INDEX(参数!$B$5:$B$7,MATCH($N265,参数!$A$5:$A$7,0)),"")</f>
        <v>1.5</v>
      </c>
      <c r="Y265" s="4">
        <f>IFERROR(INDEX(参数!$C$5:$C$7,MATCH($N265,参数!$A$5:$A$7,0)),"")</f>
        <v>1</v>
      </c>
      <c r="Z265" s="4">
        <f>IFERROR(INDEX(参数!$D$5:$D$7,MATCH($N265,参数!$A$5:$A$7,0)),"")</f>
        <v>1.5</v>
      </c>
      <c r="AA265" s="4">
        <f>IFERROR(INDEX(楼层配置!$E$5:$E$104,MATCH($K265,楼层配置!$B$5:$B$104,0)),1)</f>
        <v>1</v>
      </c>
      <c r="AB265" s="4">
        <f>IFERROR(INDEX(楼层配置!$F$5:$F$104,MATCH($K265,楼层配置!$B$5:$B$104,0)),1)</f>
        <v>1</v>
      </c>
      <c r="AC265" s="4">
        <f>IFERROR(INDEX(楼层配置!$G$5:$G$104,MATCH($K265,楼层配置!$B$5:$B$104,0)),1)</f>
        <v>1</v>
      </c>
      <c r="AD265" s="6">
        <f t="shared" si="31"/>
        <v>0.751431879839985</v>
      </c>
      <c r="AE265" s="6">
        <f t="shared" si="32"/>
        <v>0.694368288782271</v>
      </c>
      <c r="AF265" s="6">
        <f t="shared" si="33"/>
        <v>0.838534299858557</v>
      </c>
      <c r="AG265" s="4" t="str">
        <f t="shared" si="34"/>
        <v>有效</v>
      </c>
    </row>
    <row r="266" ht="14.25" customHeight="1" spans="1:33">
      <c r="A266" s="4">
        <v>262</v>
      </c>
      <c r="B266" s="4">
        <v>1011</v>
      </c>
      <c r="C266" s="4">
        <v>36</v>
      </c>
      <c r="D266" s="5">
        <f>IFERROR(ROUND($U266*$X266*$AA266*参数!$B$13,0),"")</f>
        <v>2017975</v>
      </c>
      <c r="E266" s="5">
        <f>IFERROR(ROUND($V266*$Y266*$AB266*参数!$C$13,0),"")</f>
        <v>29665</v>
      </c>
      <c r="F266" s="5">
        <f>IFERROR(ROUND($W266*$Z266*$AC266*参数!$D$13,0),"")</f>
        <v>34663</v>
      </c>
      <c r="G266" s="4">
        <v>1152186</v>
      </c>
      <c r="H266" s="4">
        <v>17508</v>
      </c>
      <c r="I266" s="4">
        <v>18854</v>
      </c>
      <c r="J266" s="4">
        <v>53</v>
      </c>
      <c r="K266" s="4">
        <v>53</v>
      </c>
      <c r="L266" s="4">
        <f>IFERROR(INDEX(楼层配置!$D$5:$D$104,MATCH($K266,楼层配置!$B$5:$B$104,0)),"")</f>
        <v>306</v>
      </c>
      <c r="M266" s="4" t="str">
        <f>IFERROR(INDEX(_角色基线!$B$2:$B$100,MATCH($B266,_角色基线!$A$2:$A$100,0)),"")</f>
        <v>陈双双</v>
      </c>
      <c r="N266" s="4" t="str">
        <f>IFERROR(INDEX(_角色基线!$C$2:$C$100,MATCH($B266,_角色基线!$A$2:$A$100,0)),"")</f>
        <v>Support</v>
      </c>
      <c r="O266" s="4">
        <f>IFERROR(INDEX(_怪物基线!$B$2:$B$501,MATCH(INT($L266),_怪物基线!$A$2:$A$501,0)),"")</f>
        <v>403595</v>
      </c>
      <c r="P266" s="4">
        <f>IFERROR(INDEX(_怪物基线!$C$2:$C$501,MATCH(INT($L266),_怪物基线!$A$2:$A$501,0)),"")</f>
        <v>24721</v>
      </c>
      <c r="Q266" s="4">
        <f>IFERROR(INDEX(_怪物基线!$D$2:$D$501,MATCH(INT($L266),_怪物基线!$A$2:$A$501,0)),"")</f>
        <v>27730</v>
      </c>
      <c r="R266" s="4">
        <f>参数!$B$10</f>
        <v>4</v>
      </c>
      <c r="S266" s="4">
        <f>参数!$C$10</f>
        <v>1.2</v>
      </c>
      <c r="T266" s="4">
        <f>参数!$D$10</f>
        <v>1</v>
      </c>
      <c r="U266" s="4">
        <f t="shared" si="28"/>
        <v>1614380</v>
      </c>
      <c r="V266" s="4">
        <f t="shared" si="29"/>
        <v>29665.2</v>
      </c>
      <c r="W266" s="4">
        <f t="shared" si="30"/>
        <v>27730</v>
      </c>
      <c r="X266" s="4">
        <f>IFERROR(INDEX(参数!$B$5:$B$7,MATCH($N266,参数!$A$5:$A$7,0)),"")</f>
        <v>1.25</v>
      </c>
      <c r="Y266" s="4">
        <f>IFERROR(INDEX(参数!$C$5:$C$7,MATCH($N266,参数!$A$5:$A$7,0)),"")</f>
        <v>1</v>
      </c>
      <c r="Z266" s="4">
        <f>IFERROR(INDEX(参数!$D$5:$D$7,MATCH($N266,参数!$A$5:$A$7,0)),"")</f>
        <v>1.25</v>
      </c>
      <c r="AA266" s="4">
        <f>IFERROR(INDEX(楼层配置!$E$5:$E$104,MATCH($K266,楼层配置!$B$5:$B$104,0)),1)</f>
        <v>1</v>
      </c>
      <c r="AB266" s="4">
        <f>IFERROR(INDEX(楼层配置!$F$5:$F$104,MATCH($K266,楼层配置!$B$5:$B$104,0)),1)</f>
        <v>1</v>
      </c>
      <c r="AC266" s="4">
        <f>IFERROR(INDEX(楼层配置!$G$5:$G$104,MATCH($K266,楼层配置!$B$5:$B$104,0)),1)</f>
        <v>1</v>
      </c>
      <c r="AD266" s="6">
        <f t="shared" si="31"/>
        <v>0.751431626490862</v>
      </c>
      <c r="AE266" s="6">
        <f t="shared" si="32"/>
        <v>0.694368288782271</v>
      </c>
      <c r="AF266" s="6">
        <f t="shared" si="33"/>
        <v>0.838495809907712</v>
      </c>
      <c r="AG266" s="4" t="str">
        <f t="shared" si="34"/>
        <v>有效</v>
      </c>
    </row>
    <row r="267" ht="14.25" customHeight="1" spans="1:33">
      <c r="A267" s="4">
        <v>263</v>
      </c>
      <c r="B267" s="4">
        <v>1012</v>
      </c>
      <c r="C267" s="4">
        <v>36</v>
      </c>
      <c r="D267" s="5">
        <f>IFERROR(ROUND($U267*$X267*$AA267*参数!$B$13,0),"")</f>
        <v>2017975</v>
      </c>
      <c r="E267" s="5">
        <f>IFERROR(ROUND($V267*$Y267*$AB267*参数!$C$13,0),"")</f>
        <v>29665</v>
      </c>
      <c r="F267" s="5">
        <f>IFERROR(ROUND($W267*$Z267*$AC267*参数!$D$13,0),"")</f>
        <v>34663</v>
      </c>
      <c r="G267" s="4">
        <v>1152186</v>
      </c>
      <c r="H267" s="4">
        <v>17508</v>
      </c>
      <c r="I267" s="4">
        <v>18854</v>
      </c>
      <c r="J267" s="4">
        <v>53</v>
      </c>
      <c r="K267" s="4">
        <v>53</v>
      </c>
      <c r="L267" s="4">
        <f>IFERROR(INDEX(楼层配置!$D$5:$D$104,MATCH($K267,楼层配置!$B$5:$B$104,0)),"")</f>
        <v>306</v>
      </c>
      <c r="M267" s="4" t="str">
        <f>IFERROR(INDEX(_角色基线!$B$2:$B$100,MATCH($B267,_角色基线!$A$2:$A$100,0)),"")</f>
        <v>艾德琳</v>
      </c>
      <c r="N267" s="4" t="str">
        <f>IFERROR(INDEX(_角色基线!$C$2:$C$100,MATCH($B267,_角色基线!$A$2:$A$100,0)),"")</f>
        <v>Support</v>
      </c>
      <c r="O267" s="4">
        <f>IFERROR(INDEX(_怪物基线!$B$2:$B$501,MATCH(INT($L267),_怪物基线!$A$2:$A$501,0)),"")</f>
        <v>403595</v>
      </c>
      <c r="P267" s="4">
        <f>IFERROR(INDEX(_怪物基线!$C$2:$C$501,MATCH(INT($L267),_怪物基线!$A$2:$A$501,0)),"")</f>
        <v>24721</v>
      </c>
      <c r="Q267" s="4">
        <f>IFERROR(INDEX(_怪物基线!$D$2:$D$501,MATCH(INT($L267),_怪物基线!$A$2:$A$501,0)),"")</f>
        <v>27730</v>
      </c>
      <c r="R267" s="4">
        <f>参数!$B$10</f>
        <v>4</v>
      </c>
      <c r="S267" s="4">
        <f>参数!$C$10</f>
        <v>1.2</v>
      </c>
      <c r="T267" s="4">
        <f>参数!$D$10</f>
        <v>1</v>
      </c>
      <c r="U267" s="4">
        <f t="shared" si="28"/>
        <v>1614380</v>
      </c>
      <c r="V267" s="4">
        <f t="shared" si="29"/>
        <v>29665.2</v>
      </c>
      <c r="W267" s="4">
        <f t="shared" si="30"/>
        <v>27730</v>
      </c>
      <c r="X267" s="4">
        <f>IFERROR(INDEX(参数!$B$5:$B$7,MATCH($N267,参数!$A$5:$A$7,0)),"")</f>
        <v>1.25</v>
      </c>
      <c r="Y267" s="4">
        <f>IFERROR(INDEX(参数!$C$5:$C$7,MATCH($N267,参数!$A$5:$A$7,0)),"")</f>
        <v>1</v>
      </c>
      <c r="Z267" s="4">
        <f>IFERROR(INDEX(参数!$D$5:$D$7,MATCH($N267,参数!$A$5:$A$7,0)),"")</f>
        <v>1.25</v>
      </c>
      <c r="AA267" s="4">
        <f>IFERROR(INDEX(楼层配置!$E$5:$E$104,MATCH($K267,楼层配置!$B$5:$B$104,0)),1)</f>
        <v>1</v>
      </c>
      <c r="AB267" s="4">
        <f>IFERROR(INDEX(楼层配置!$F$5:$F$104,MATCH($K267,楼层配置!$B$5:$B$104,0)),1)</f>
        <v>1</v>
      </c>
      <c r="AC267" s="4">
        <f>IFERROR(INDEX(楼层配置!$G$5:$G$104,MATCH($K267,楼层配置!$B$5:$B$104,0)),1)</f>
        <v>1</v>
      </c>
      <c r="AD267" s="6">
        <f t="shared" si="31"/>
        <v>0.751431626490862</v>
      </c>
      <c r="AE267" s="6">
        <f t="shared" si="32"/>
        <v>0.694368288782271</v>
      </c>
      <c r="AF267" s="6">
        <f t="shared" si="33"/>
        <v>0.838495809907712</v>
      </c>
      <c r="AG267" s="4" t="str">
        <f t="shared" si="34"/>
        <v>有效</v>
      </c>
    </row>
    <row r="268" ht="14.25" customHeight="1" spans="1:33">
      <c r="A268" s="4">
        <v>264</v>
      </c>
      <c r="B268" s="4">
        <v>1006</v>
      </c>
      <c r="C268" s="4">
        <v>36</v>
      </c>
      <c r="D268" s="5">
        <f>IFERROR(ROUND($U268*$X268*$AA268*参数!$B$13,0),"")</f>
        <v>1614380</v>
      </c>
      <c r="E268" s="5">
        <f>IFERROR(ROUND($V268*$Y268*$AB268*参数!$C$13,0),"")</f>
        <v>35598</v>
      </c>
      <c r="F268" s="5">
        <f>IFERROR(ROUND($W268*$Z268*$AC268*参数!$D$13,0),"")</f>
        <v>27730</v>
      </c>
      <c r="G268" s="4">
        <v>921748</v>
      </c>
      <c r="H268" s="4">
        <v>21009</v>
      </c>
      <c r="I268" s="4">
        <v>15083</v>
      </c>
      <c r="J268" s="4">
        <v>53</v>
      </c>
      <c r="K268" s="4">
        <v>53</v>
      </c>
      <c r="L268" s="4">
        <f>IFERROR(INDEX(楼层配置!$D$5:$D$104,MATCH($K268,楼层配置!$B$5:$B$104,0)),"")</f>
        <v>306</v>
      </c>
      <c r="M268" s="4" t="str">
        <f>IFERROR(INDEX(_角色基线!$B$2:$B$100,MATCH($B268,_角色基线!$A$2:$A$100,0)),"")</f>
        <v>莉莉娅</v>
      </c>
      <c r="N268" s="4" t="str">
        <f>IFERROR(INDEX(_角色基线!$C$2:$C$100,MATCH($B268,_角色基线!$A$2:$A$100,0)),"")</f>
        <v>DPS</v>
      </c>
      <c r="O268" s="4">
        <f>IFERROR(INDEX(_怪物基线!$B$2:$B$501,MATCH(INT($L268),_怪物基线!$A$2:$A$501,0)),"")</f>
        <v>403595</v>
      </c>
      <c r="P268" s="4">
        <f>IFERROR(INDEX(_怪物基线!$C$2:$C$501,MATCH(INT($L268),_怪物基线!$A$2:$A$501,0)),"")</f>
        <v>24721</v>
      </c>
      <c r="Q268" s="4">
        <f>IFERROR(INDEX(_怪物基线!$D$2:$D$501,MATCH(INT($L268),_怪物基线!$A$2:$A$501,0)),"")</f>
        <v>27730</v>
      </c>
      <c r="R268" s="4">
        <f>参数!$B$10</f>
        <v>4</v>
      </c>
      <c r="S268" s="4">
        <f>参数!$C$10</f>
        <v>1.2</v>
      </c>
      <c r="T268" s="4">
        <f>参数!$D$10</f>
        <v>1</v>
      </c>
      <c r="U268" s="4">
        <f t="shared" si="28"/>
        <v>1614380</v>
      </c>
      <c r="V268" s="4">
        <f t="shared" si="29"/>
        <v>29665.2</v>
      </c>
      <c r="W268" s="4">
        <f t="shared" si="30"/>
        <v>27730</v>
      </c>
      <c r="X268" s="4">
        <f>IFERROR(INDEX(参数!$B$5:$B$7,MATCH($N268,参数!$A$5:$A$7,0)),"")</f>
        <v>1</v>
      </c>
      <c r="Y268" s="4">
        <f>IFERROR(INDEX(参数!$C$5:$C$7,MATCH($N268,参数!$A$5:$A$7,0)),"")</f>
        <v>1.2</v>
      </c>
      <c r="Z268" s="4">
        <f>IFERROR(INDEX(参数!$D$5:$D$7,MATCH($N268,参数!$A$5:$A$7,0)),"")</f>
        <v>1</v>
      </c>
      <c r="AA268" s="4">
        <f>IFERROR(INDEX(楼层配置!$E$5:$E$104,MATCH($K268,楼层配置!$B$5:$B$104,0)),1)</f>
        <v>1</v>
      </c>
      <c r="AB268" s="4">
        <f>IFERROR(INDEX(楼层配置!$F$5:$F$104,MATCH($K268,楼层配置!$B$5:$B$104,0)),1)</f>
        <v>1</v>
      </c>
      <c r="AC268" s="4">
        <f>IFERROR(INDEX(楼层配置!$G$5:$G$104,MATCH($K268,楼层配置!$B$5:$B$104,0)),1)</f>
        <v>1</v>
      </c>
      <c r="AD268" s="6">
        <f t="shared" si="31"/>
        <v>0.751433146586703</v>
      </c>
      <c r="AE268" s="6">
        <f t="shared" si="32"/>
        <v>0.694416678566329</v>
      </c>
      <c r="AF268" s="6">
        <f t="shared" si="33"/>
        <v>0.838493668368362</v>
      </c>
      <c r="AG268" s="4" t="str">
        <f t="shared" si="34"/>
        <v>有效</v>
      </c>
    </row>
    <row r="269" ht="14.25" customHeight="1" spans="1:33">
      <c r="A269" s="4">
        <v>265</v>
      </c>
      <c r="B269" s="4">
        <v>1005</v>
      </c>
      <c r="C269" s="4">
        <v>36</v>
      </c>
      <c r="D269" s="5">
        <f>IFERROR(ROUND($U269*$X269*$AA269*参数!$B$13,0),"")</f>
        <v>1614380</v>
      </c>
      <c r="E269" s="5">
        <f>IFERROR(ROUND($V269*$Y269*$AB269*参数!$C$13,0),"")</f>
        <v>35598</v>
      </c>
      <c r="F269" s="5">
        <f>IFERROR(ROUND($W269*$Z269*$AC269*参数!$D$13,0),"")</f>
        <v>27730</v>
      </c>
      <c r="G269" s="4">
        <v>921748</v>
      </c>
      <c r="H269" s="4">
        <v>21009</v>
      </c>
      <c r="I269" s="4">
        <v>15083</v>
      </c>
      <c r="J269" s="4">
        <v>53</v>
      </c>
      <c r="K269" s="4">
        <v>53</v>
      </c>
      <c r="L269" s="4">
        <f>IFERROR(INDEX(楼层配置!$D$5:$D$104,MATCH($K269,楼层配置!$B$5:$B$104,0)),"")</f>
        <v>306</v>
      </c>
      <c r="M269" s="4" t="str">
        <f>IFERROR(INDEX(_角色基线!$B$2:$B$100,MATCH($B269,_角色基线!$A$2:$A$100,0)),"")</f>
        <v>陈单单</v>
      </c>
      <c r="N269" s="4" t="str">
        <f>IFERROR(INDEX(_角色基线!$C$2:$C$100,MATCH($B269,_角色基线!$A$2:$A$100,0)),"")</f>
        <v>DPS</v>
      </c>
      <c r="O269" s="4">
        <f>IFERROR(INDEX(_怪物基线!$B$2:$B$501,MATCH(INT($L269),_怪物基线!$A$2:$A$501,0)),"")</f>
        <v>403595</v>
      </c>
      <c r="P269" s="4">
        <f>IFERROR(INDEX(_怪物基线!$C$2:$C$501,MATCH(INT($L269),_怪物基线!$A$2:$A$501,0)),"")</f>
        <v>24721</v>
      </c>
      <c r="Q269" s="4">
        <f>IFERROR(INDEX(_怪物基线!$D$2:$D$501,MATCH(INT($L269),_怪物基线!$A$2:$A$501,0)),"")</f>
        <v>27730</v>
      </c>
      <c r="R269" s="4">
        <f>参数!$B$10</f>
        <v>4</v>
      </c>
      <c r="S269" s="4">
        <f>参数!$C$10</f>
        <v>1.2</v>
      </c>
      <c r="T269" s="4">
        <f>参数!$D$10</f>
        <v>1</v>
      </c>
      <c r="U269" s="4">
        <f t="shared" si="28"/>
        <v>1614380</v>
      </c>
      <c r="V269" s="4">
        <f t="shared" si="29"/>
        <v>29665.2</v>
      </c>
      <c r="W269" s="4">
        <f t="shared" si="30"/>
        <v>27730</v>
      </c>
      <c r="X269" s="4">
        <f>IFERROR(INDEX(参数!$B$5:$B$7,MATCH($N269,参数!$A$5:$A$7,0)),"")</f>
        <v>1</v>
      </c>
      <c r="Y269" s="4">
        <f>IFERROR(INDEX(参数!$C$5:$C$7,MATCH($N269,参数!$A$5:$A$7,0)),"")</f>
        <v>1.2</v>
      </c>
      <c r="Z269" s="4">
        <f>IFERROR(INDEX(参数!$D$5:$D$7,MATCH($N269,参数!$A$5:$A$7,0)),"")</f>
        <v>1</v>
      </c>
      <c r="AA269" s="4">
        <f>IFERROR(INDEX(楼层配置!$E$5:$E$104,MATCH($K269,楼层配置!$B$5:$B$104,0)),1)</f>
        <v>1</v>
      </c>
      <c r="AB269" s="4">
        <f>IFERROR(INDEX(楼层配置!$F$5:$F$104,MATCH($K269,楼层配置!$B$5:$B$104,0)),1)</f>
        <v>1</v>
      </c>
      <c r="AC269" s="4">
        <f>IFERROR(INDEX(楼层配置!$G$5:$G$104,MATCH($K269,楼层配置!$B$5:$B$104,0)),1)</f>
        <v>1</v>
      </c>
      <c r="AD269" s="6">
        <f t="shared" si="31"/>
        <v>0.751433146586703</v>
      </c>
      <c r="AE269" s="6">
        <f t="shared" si="32"/>
        <v>0.694416678566329</v>
      </c>
      <c r="AF269" s="6">
        <f t="shared" si="33"/>
        <v>0.838493668368362</v>
      </c>
      <c r="AG269" s="4" t="str">
        <f t="shared" si="34"/>
        <v>有效</v>
      </c>
    </row>
    <row r="270" ht="14.25" customHeight="1" spans="1:33">
      <c r="A270" s="4">
        <v>266</v>
      </c>
      <c r="B270" s="4">
        <v>1002</v>
      </c>
      <c r="C270" s="4">
        <v>37</v>
      </c>
      <c r="D270" s="5">
        <f>IFERROR(ROUND($U270*$X270*$AA270*参数!$B$13,0),"")</f>
        <v>2464746</v>
      </c>
      <c r="E270" s="5">
        <f>IFERROR(ROUND($V270*$Y270*$AB270*参数!$C$13,0),"")</f>
        <v>30059</v>
      </c>
      <c r="F270" s="5">
        <f>IFERROR(ROUND($W270*$Z270*$AC270*参数!$D$13,0),"")</f>
        <v>41972</v>
      </c>
      <c r="G270" s="4">
        <v>1443556</v>
      </c>
      <c r="H270" s="4">
        <v>18030</v>
      </c>
      <c r="I270" s="4">
        <v>23146</v>
      </c>
      <c r="J270" s="4">
        <v>54</v>
      </c>
      <c r="K270" s="4">
        <v>54</v>
      </c>
      <c r="L270" s="4">
        <f>IFERROR(INDEX(楼层配置!$D$5:$D$104,MATCH($K270,楼层配置!$B$5:$B$104,0)),"")</f>
        <v>308</v>
      </c>
      <c r="M270" s="4" t="str">
        <f>IFERROR(INDEX(_角色基线!$B$2:$B$100,MATCH($B270,_角色基线!$A$2:$A$100,0)),"")</f>
        <v>大暑</v>
      </c>
      <c r="N270" s="4" t="str">
        <f>IFERROR(INDEX(_角色基线!$C$2:$C$100,MATCH($B270,_角色基线!$A$2:$A$100,0)),"")</f>
        <v>Tank</v>
      </c>
      <c r="O270" s="4">
        <f>IFERROR(INDEX(_怪物基线!$B$2:$B$501,MATCH(INT($L270),_怪物基线!$A$2:$A$501,0)),"")</f>
        <v>410791</v>
      </c>
      <c r="P270" s="4">
        <f>IFERROR(INDEX(_怪物基线!$C$2:$C$501,MATCH(INT($L270),_怪物基线!$A$2:$A$501,0)),"")</f>
        <v>25049</v>
      </c>
      <c r="Q270" s="4">
        <f>IFERROR(INDEX(_怪物基线!$D$2:$D$501,MATCH(INT($L270),_怪物基线!$A$2:$A$501,0)),"")</f>
        <v>27981</v>
      </c>
      <c r="R270" s="4">
        <f>参数!$B$10</f>
        <v>4</v>
      </c>
      <c r="S270" s="4">
        <f>参数!$C$10</f>
        <v>1.2</v>
      </c>
      <c r="T270" s="4">
        <f>参数!$D$10</f>
        <v>1</v>
      </c>
      <c r="U270" s="4">
        <f t="shared" si="28"/>
        <v>1643164</v>
      </c>
      <c r="V270" s="4">
        <f t="shared" si="29"/>
        <v>30058.8</v>
      </c>
      <c r="W270" s="4">
        <f t="shared" si="30"/>
        <v>27981</v>
      </c>
      <c r="X270" s="4">
        <f>IFERROR(INDEX(参数!$B$5:$B$7,MATCH($N270,参数!$A$5:$A$7,0)),"")</f>
        <v>1.5</v>
      </c>
      <c r="Y270" s="4">
        <f>IFERROR(INDEX(参数!$C$5:$C$7,MATCH($N270,参数!$A$5:$A$7,0)),"")</f>
        <v>1</v>
      </c>
      <c r="Z270" s="4">
        <f>IFERROR(INDEX(参数!$D$5:$D$7,MATCH($N270,参数!$A$5:$A$7,0)),"")</f>
        <v>1.5</v>
      </c>
      <c r="AA270" s="4">
        <f>IFERROR(INDEX(楼层配置!$E$5:$E$104,MATCH($K270,楼层配置!$B$5:$B$104,0)),1)</f>
        <v>1</v>
      </c>
      <c r="AB270" s="4">
        <f>IFERROR(INDEX(楼层配置!$F$5:$F$104,MATCH($K270,楼层配置!$B$5:$B$104,0)),1)</f>
        <v>1</v>
      </c>
      <c r="AC270" s="4">
        <f>IFERROR(INDEX(楼层配置!$G$5:$G$104,MATCH($K270,楼层配置!$B$5:$B$104,0)),1)</f>
        <v>1</v>
      </c>
      <c r="AD270" s="6">
        <f t="shared" si="31"/>
        <v>0.707412805599506</v>
      </c>
      <c r="AE270" s="6">
        <f t="shared" si="32"/>
        <v>0.667165834719911</v>
      </c>
      <c r="AF270" s="6">
        <f t="shared" si="33"/>
        <v>0.813358679685475</v>
      </c>
      <c r="AG270" s="4" t="str">
        <f t="shared" si="34"/>
        <v>有效</v>
      </c>
    </row>
    <row r="271" ht="14.25" customHeight="1" spans="1:33">
      <c r="A271" s="4">
        <v>267</v>
      </c>
      <c r="B271" s="4">
        <v>1006</v>
      </c>
      <c r="C271" s="4">
        <v>37</v>
      </c>
      <c r="D271" s="5">
        <f>IFERROR(ROUND($U271*$X271*$AA271*参数!$B$13,0),"")</f>
        <v>1643164</v>
      </c>
      <c r="E271" s="5">
        <f>IFERROR(ROUND($V271*$Y271*$AB271*参数!$C$13,0),"")</f>
        <v>36071</v>
      </c>
      <c r="F271" s="5">
        <f>IFERROR(ROUND($W271*$Z271*$AC271*参数!$D$13,0),"")</f>
        <v>27981</v>
      </c>
      <c r="G271" s="4">
        <v>962371</v>
      </c>
      <c r="H271" s="4">
        <v>21636</v>
      </c>
      <c r="I271" s="4">
        <v>15431</v>
      </c>
      <c r="J271" s="4">
        <v>54</v>
      </c>
      <c r="K271" s="4">
        <v>54</v>
      </c>
      <c r="L271" s="4">
        <f>IFERROR(INDEX(楼层配置!$D$5:$D$104,MATCH($K271,楼层配置!$B$5:$B$104,0)),"")</f>
        <v>308</v>
      </c>
      <c r="M271" s="4" t="str">
        <f>IFERROR(INDEX(_角色基线!$B$2:$B$100,MATCH($B271,_角色基线!$A$2:$A$100,0)),"")</f>
        <v>莉莉娅</v>
      </c>
      <c r="N271" s="4" t="str">
        <f>IFERROR(INDEX(_角色基线!$C$2:$C$100,MATCH($B271,_角色基线!$A$2:$A$100,0)),"")</f>
        <v>DPS</v>
      </c>
      <c r="O271" s="4">
        <f>IFERROR(INDEX(_怪物基线!$B$2:$B$501,MATCH(INT($L271),_怪物基线!$A$2:$A$501,0)),"")</f>
        <v>410791</v>
      </c>
      <c r="P271" s="4">
        <f>IFERROR(INDEX(_怪物基线!$C$2:$C$501,MATCH(INT($L271),_怪物基线!$A$2:$A$501,0)),"")</f>
        <v>25049</v>
      </c>
      <c r="Q271" s="4">
        <f>IFERROR(INDEX(_怪物基线!$D$2:$D$501,MATCH(INT($L271),_怪物基线!$A$2:$A$501,0)),"")</f>
        <v>27981</v>
      </c>
      <c r="R271" s="4">
        <f>参数!$B$10</f>
        <v>4</v>
      </c>
      <c r="S271" s="4">
        <f>参数!$C$10</f>
        <v>1.2</v>
      </c>
      <c r="T271" s="4">
        <f>参数!$D$10</f>
        <v>1</v>
      </c>
      <c r="U271" s="4">
        <f t="shared" si="28"/>
        <v>1643164</v>
      </c>
      <c r="V271" s="4">
        <f t="shared" si="29"/>
        <v>30058.8</v>
      </c>
      <c r="W271" s="4">
        <f t="shared" si="30"/>
        <v>27981</v>
      </c>
      <c r="X271" s="4">
        <f>IFERROR(INDEX(参数!$B$5:$B$7,MATCH($N271,参数!$A$5:$A$7,0)),"")</f>
        <v>1</v>
      </c>
      <c r="Y271" s="4">
        <f>IFERROR(INDEX(参数!$C$5:$C$7,MATCH($N271,参数!$A$5:$A$7,0)),"")</f>
        <v>1.2</v>
      </c>
      <c r="Z271" s="4">
        <f>IFERROR(INDEX(参数!$D$5:$D$7,MATCH($N271,参数!$A$5:$A$7,0)),"")</f>
        <v>1</v>
      </c>
      <c r="AA271" s="4">
        <f>IFERROR(INDEX(楼层配置!$E$5:$E$104,MATCH($K271,楼层配置!$B$5:$B$104,0)),1)</f>
        <v>1</v>
      </c>
      <c r="AB271" s="4">
        <f>IFERROR(INDEX(楼层配置!$F$5:$F$104,MATCH($K271,楼层配置!$B$5:$B$104,0)),1)</f>
        <v>1</v>
      </c>
      <c r="AC271" s="4">
        <f>IFERROR(INDEX(楼层配置!$G$5:$G$104,MATCH($K271,楼层配置!$B$5:$B$104,0)),1)</f>
        <v>1</v>
      </c>
      <c r="AD271" s="6">
        <f t="shared" si="31"/>
        <v>0.70741221420845</v>
      </c>
      <c r="AE271" s="6">
        <f t="shared" si="32"/>
        <v>0.667175078572749</v>
      </c>
      <c r="AF271" s="6">
        <f t="shared" si="33"/>
        <v>0.813297906810965</v>
      </c>
      <c r="AG271" s="4" t="str">
        <f t="shared" si="34"/>
        <v>有效</v>
      </c>
    </row>
    <row r="272" ht="14.25" customHeight="1" spans="1:33">
      <c r="A272" s="4">
        <v>268</v>
      </c>
      <c r="B272" s="4">
        <v>1024</v>
      </c>
      <c r="C272" s="4">
        <v>37</v>
      </c>
      <c r="D272" s="5">
        <f>IFERROR(ROUND($U272*$X272*$AA272*参数!$B$13,0),"")</f>
        <v>1643164</v>
      </c>
      <c r="E272" s="5">
        <f>IFERROR(ROUND($V272*$Y272*$AB272*参数!$C$13,0),"")</f>
        <v>36071</v>
      </c>
      <c r="F272" s="5">
        <f>IFERROR(ROUND($W272*$Z272*$AC272*参数!$D$13,0),"")</f>
        <v>27981</v>
      </c>
      <c r="G272" s="4">
        <v>962371</v>
      </c>
      <c r="H272" s="4">
        <v>21636</v>
      </c>
      <c r="I272" s="4">
        <v>15431</v>
      </c>
      <c r="J272" s="4">
        <v>54</v>
      </c>
      <c r="K272" s="4">
        <v>54</v>
      </c>
      <c r="L272" s="4">
        <f>IFERROR(INDEX(楼层配置!$D$5:$D$104,MATCH($K272,楼层配置!$B$5:$B$104,0)),"")</f>
        <v>308</v>
      </c>
      <c r="M272" s="4" t="str">
        <f>IFERROR(INDEX(_角色基线!$B$2:$B$100,MATCH($B272,_角色基线!$A$2:$A$100,0)),"")</f>
        <v>卡薇</v>
      </c>
      <c r="N272" s="4" t="str">
        <f>IFERROR(INDEX(_角色基线!$C$2:$C$100,MATCH($B272,_角色基线!$A$2:$A$100,0)),"")</f>
        <v>DPS</v>
      </c>
      <c r="O272" s="4">
        <f>IFERROR(INDEX(_怪物基线!$B$2:$B$501,MATCH(INT($L272),_怪物基线!$A$2:$A$501,0)),"")</f>
        <v>410791</v>
      </c>
      <c r="P272" s="4">
        <f>IFERROR(INDEX(_怪物基线!$C$2:$C$501,MATCH(INT($L272),_怪物基线!$A$2:$A$501,0)),"")</f>
        <v>25049</v>
      </c>
      <c r="Q272" s="4">
        <f>IFERROR(INDEX(_怪物基线!$D$2:$D$501,MATCH(INT($L272),_怪物基线!$A$2:$A$501,0)),"")</f>
        <v>27981</v>
      </c>
      <c r="R272" s="4">
        <f>参数!$B$10</f>
        <v>4</v>
      </c>
      <c r="S272" s="4">
        <f>参数!$C$10</f>
        <v>1.2</v>
      </c>
      <c r="T272" s="4">
        <f>参数!$D$10</f>
        <v>1</v>
      </c>
      <c r="U272" s="4">
        <f t="shared" si="28"/>
        <v>1643164</v>
      </c>
      <c r="V272" s="4">
        <f t="shared" si="29"/>
        <v>30058.8</v>
      </c>
      <c r="W272" s="4">
        <f t="shared" si="30"/>
        <v>27981</v>
      </c>
      <c r="X272" s="4">
        <f>IFERROR(INDEX(参数!$B$5:$B$7,MATCH($N272,参数!$A$5:$A$7,0)),"")</f>
        <v>1</v>
      </c>
      <c r="Y272" s="4">
        <f>IFERROR(INDEX(参数!$C$5:$C$7,MATCH($N272,参数!$A$5:$A$7,0)),"")</f>
        <v>1.2</v>
      </c>
      <c r="Z272" s="4">
        <f>IFERROR(INDEX(参数!$D$5:$D$7,MATCH($N272,参数!$A$5:$A$7,0)),"")</f>
        <v>1</v>
      </c>
      <c r="AA272" s="4">
        <f>IFERROR(INDEX(楼层配置!$E$5:$E$104,MATCH($K272,楼层配置!$B$5:$B$104,0)),1)</f>
        <v>1</v>
      </c>
      <c r="AB272" s="4">
        <f>IFERROR(INDEX(楼层配置!$F$5:$F$104,MATCH($K272,楼层配置!$B$5:$B$104,0)),1)</f>
        <v>1</v>
      </c>
      <c r="AC272" s="4">
        <f>IFERROR(INDEX(楼层配置!$G$5:$G$104,MATCH($K272,楼层配置!$B$5:$B$104,0)),1)</f>
        <v>1</v>
      </c>
      <c r="AD272" s="6">
        <f t="shared" si="31"/>
        <v>0.70741221420845</v>
      </c>
      <c r="AE272" s="6">
        <f t="shared" si="32"/>
        <v>0.667175078572749</v>
      </c>
      <c r="AF272" s="6">
        <f t="shared" si="33"/>
        <v>0.813297906810965</v>
      </c>
      <c r="AG272" s="4" t="str">
        <f t="shared" si="34"/>
        <v>有效</v>
      </c>
    </row>
    <row r="273" ht="14.25" customHeight="1" spans="1:33">
      <c r="A273" s="4">
        <v>269</v>
      </c>
      <c r="B273" s="4">
        <v>1015</v>
      </c>
      <c r="C273" s="4">
        <v>37</v>
      </c>
      <c r="D273" s="5">
        <f>IFERROR(ROUND($U273*$X273*$AA273*参数!$B$13,0),"")</f>
        <v>2053955</v>
      </c>
      <c r="E273" s="5">
        <f>IFERROR(ROUND($V273*$Y273*$AB273*参数!$C$13,0),"")</f>
        <v>30059</v>
      </c>
      <c r="F273" s="5">
        <f>IFERROR(ROUND($W273*$Z273*$AC273*参数!$D$13,0),"")</f>
        <v>34976</v>
      </c>
      <c r="G273" s="4">
        <v>1202964</v>
      </c>
      <c r="H273" s="4">
        <v>18030</v>
      </c>
      <c r="I273" s="4">
        <v>19289</v>
      </c>
      <c r="J273" s="4">
        <v>54</v>
      </c>
      <c r="K273" s="4">
        <v>54</v>
      </c>
      <c r="L273" s="4">
        <f>IFERROR(INDEX(楼层配置!$D$5:$D$104,MATCH($K273,楼层配置!$B$5:$B$104,0)),"")</f>
        <v>308</v>
      </c>
      <c r="M273" s="4" t="str">
        <f>IFERROR(INDEX(_角色基线!$B$2:$B$100,MATCH($B273,_角色基线!$A$2:$A$100,0)),"")</f>
        <v>阿莱克西娅</v>
      </c>
      <c r="N273" s="4" t="str">
        <f>IFERROR(INDEX(_角色基线!$C$2:$C$100,MATCH($B273,_角色基线!$A$2:$A$100,0)),"")</f>
        <v>Support</v>
      </c>
      <c r="O273" s="4">
        <f>IFERROR(INDEX(_怪物基线!$B$2:$B$501,MATCH(INT($L273),_怪物基线!$A$2:$A$501,0)),"")</f>
        <v>410791</v>
      </c>
      <c r="P273" s="4">
        <f>IFERROR(INDEX(_怪物基线!$C$2:$C$501,MATCH(INT($L273),_怪物基线!$A$2:$A$501,0)),"")</f>
        <v>25049</v>
      </c>
      <c r="Q273" s="4">
        <f>IFERROR(INDEX(_怪物基线!$D$2:$D$501,MATCH(INT($L273),_怪物基线!$A$2:$A$501,0)),"")</f>
        <v>27981</v>
      </c>
      <c r="R273" s="4">
        <f>参数!$B$10</f>
        <v>4</v>
      </c>
      <c r="S273" s="4">
        <f>参数!$C$10</f>
        <v>1.2</v>
      </c>
      <c r="T273" s="4">
        <f>参数!$D$10</f>
        <v>1</v>
      </c>
      <c r="U273" s="4">
        <f t="shared" si="28"/>
        <v>1643164</v>
      </c>
      <c r="V273" s="4">
        <f t="shared" si="29"/>
        <v>30058.8</v>
      </c>
      <c r="W273" s="4">
        <f t="shared" si="30"/>
        <v>27981</v>
      </c>
      <c r="X273" s="4">
        <f>IFERROR(INDEX(参数!$B$5:$B$7,MATCH($N273,参数!$A$5:$A$7,0)),"")</f>
        <v>1.25</v>
      </c>
      <c r="Y273" s="4">
        <f>IFERROR(INDEX(参数!$C$5:$C$7,MATCH($N273,参数!$A$5:$A$7,0)),"")</f>
        <v>1</v>
      </c>
      <c r="Z273" s="4">
        <f>IFERROR(INDEX(参数!$D$5:$D$7,MATCH($N273,参数!$A$5:$A$7,0)),"")</f>
        <v>1.25</v>
      </c>
      <c r="AA273" s="4">
        <f>IFERROR(INDEX(楼层配置!$E$5:$E$104,MATCH($K273,楼层配置!$B$5:$B$104,0)),1)</f>
        <v>1</v>
      </c>
      <c r="AB273" s="4">
        <f>IFERROR(INDEX(楼层配置!$F$5:$F$104,MATCH($K273,楼层配置!$B$5:$B$104,0)),1)</f>
        <v>1</v>
      </c>
      <c r="AC273" s="4">
        <f>IFERROR(INDEX(楼层配置!$G$5:$G$104,MATCH($K273,楼层配置!$B$5:$B$104,0)),1)</f>
        <v>1</v>
      </c>
      <c r="AD273" s="6">
        <f t="shared" si="31"/>
        <v>0.707411859374013</v>
      </c>
      <c r="AE273" s="6">
        <f t="shared" si="32"/>
        <v>0.667165834719911</v>
      </c>
      <c r="AF273" s="6">
        <f t="shared" si="33"/>
        <v>0.813261444346519</v>
      </c>
      <c r="AG273" s="4" t="str">
        <f t="shared" si="34"/>
        <v>有效</v>
      </c>
    </row>
    <row r="274" ht="14.25" customHeight="1" spans="1:33">
      <c r="A274" s="4">
        <v>270</v>
      </c>
      <c r="B274" s="4">
        <v>1015</v>
      </c>
      <c r="C274" s="4">
        <v>37</v>
      </c>
      <c r="D274" s="5">
        <f>IFERROR(ROUND($U274*$X274*$AA274*参数!$B$13,0),"")</f>
        <v>2053955</v>
      </c>
      <c r="E274" s="5">
        <f>IFERROR(ROUND($V274*$Y274*$AB274*参数!$C$13,0),"")</f>
        <v>30059</v>
      </c>
      <c r="F274" s="5">
        <f>IFERROR(ROUND($W274*$Z274*$AC274*参数!$D$13,0),"")</f>
        <v>34976</v>
      </c>
      <c r="G274" s="4">
        <v>1202964</v>
      </c>
      <c r="H274" s="4">
        <v>18030</v>
      </c>
      <c r="I274" s="4">
        <v>19289</v>
      </c>
      <c r="J274" s="4">
        <v>54</v>
      </c>
      <c r="K274" s="4">
        <v>54</v>
      </c>
      <c r="L274" s="4">
        <f>IFERROR(INDEX(楼层配置!$D$5:$D$104,MATCH($K274,楼层配置!$B$5:$B$104,0)),"")</f>
        <v>308</v>
      </c>
      <c r="M274" s="4" t="str">
        <f>IFERROR(INDEX(_角色基线!$B$2:$B$100,MATCH($B274,_角色基线!$A$2:$A$100,0)),"")</f>
        <v>阿莱克西娅</v>
      </c>
      <c r="N274" s="4" t="str">
        <f>IFERROR(INDEX(_角色基线!$C$2:$C$100,MATCH($B274,_角色基线!$A$2:$A$100,0)),"")</f>
        <v>Support</v>
      </c>
      <c r="O274" s="4">
        <f>IFERROR(INDEX(_怪物基线!$B$2:$B$501,MATCH(INT($L274),_怪物基线!$A$2:$A$501,0)),"")</f>
        <v>410791</v>
      </c>
      <c r="P274" s="4">
        <f>IFERROR(INDEX(_怪物基线!$C$2:$C$501,MATCH(INT($L274),_怪物基线!$A$2:$A$501,0)),"")</f>
        <v>25049</v>
      </c>
      <c r="Q274" s="4">
        <f>IFERROR(INDEX(_怪物基线!$D$2:$D$501,MATCH(INT($L274),_怪物基线!$A$2:$A$501,0)),"")</f>
        <v>27981</v>
      </c>
      <c r="R274" s="4">
        <f>参数!$B$10</f>
        <v>4</v>
      </c>
      <c r="S274" s="4">
        <f>参数!$C$10</f>
        <v>1.2</v>
      </c>
      <c r="T274" s="4">
        <f>参数!$D$10</f>
        <v>1</v>
      </c>
      <c r="U274" s="4">
        <f t="shared" si="28"/>
        <v>1643164</v>
      </c>
      <c r="V274" s="4">
        <f t="shared" si="29"/>
        <v>30058.8</v>
      </c>
      <c r="W274" s="4">
        <f t="shared" si="30"/>
        <v>27981</v>
      </c>
      <c r="X274" s="4">
        <f>IFERROR(INDEX(参数!$B$5:$B$7,MATCH($N274,参数!$A$5:$A$7,0)),"")</f>
        <v>1.25</v>
      </c>
      <c r="Y274" s="4">
        <f>IFERROR(INDEX(参数!$C$5:$C$7,MATCH($N274,参数!$A$5:$A$7,0)),"")</f>
        <v>1</v>
      </c>
      <c r="Z274" s="4">
        <f>IFERROR(INDEX(参数!$D$5:$D$7,MATCH($N274,参数!$A$5:$A$7,0)),"")</f>
        <v>1.25</v>
      </c>
      <c r="AA274" s="4">
        <f>IFERROR(INDEX(楼层配置!$E$5:$E$104,MATCH($K274,楼层配置!$B$5:$B$104,0)),1)</f>
        <v>1</v>
      </c>
      <c r="AB274" s="4">
        <f>IFERROR(INDEX(楼层配置!$F$5:$F$104,MATCH($K274,楼层配置!$B$5:$B$104,0)),1)</f>
        <v>1</v>
      </c>
      <c r="AC274" s="4">
        <f>IFERROR(INDEX(楼层配置!$G$5:$G$104,MATCH($K274,楼层配置!$B$5:$B$104,0)),1)</f>
        <v>1</v>
      </c>
      <c r="AD274" s="6">
        <f t="shared" si="31"/>
        <v>0.707411859374013</v>
      </c>
      <c r="AE274" s="6">
        <f t="shared" si="32"/>
        <v>0.667165834719911</v>
      </c>
      <c r="AF274" s="6">
        <f t="shared" si="33"/>
        <v>0.813261444346519</v>
      </c>
      <c r="AG274" s="4" t="str">
        <f t="shared" si="34"/>
        <v>有效</v>
      </c>
    </row>
    <row r="275" ht="14.25" customHeight="1" spans="1:33">
      <c r="A275" s="4">
        <v>271</v>
      </c>
      <c r="B275" s="4">
        <v>1003</v>
      </c>
      <c r="C275" s="4">
        <v>37</v>
      </c>
      <c r="D275" s="5">
        <f>IFERROR(ROUND($U275*$X275*$AA275*参数!$B$13,0),"")</f>
        <v>2508486</v>
      </c>
      <c r="E275" s="5">
        <f>IFERROR(ROUND($V275*$Y275*$AB275*参数!$C$13,0),"")</f>
        <v>30458</v>
      </c>
      <c r="F275" s="5">
        <f>IFERROR(ROUND($W275*$Z275*$AC275*参数!$D$13,0),"")</f>
        <v>42350</v>
      </c>
      <c r="G275" s="4">
        <v>1506391</v>
      </c>
      <c r="H275" s="4">
        <v>18564</v>
      </c>
      <c r="I275" s="4">
        <v>23672</v>
      </c>
      <c r="J275" s="4">
        <v>55</v>
      </c>
      <c r="K275" s="4">
        <v>55</v>
      </c>
      <c r="L275" s="4">
        <f>IFERROR(INDEX(楼层配置!$D$5:$D$104,MATCH($K275,楼层配置!$B$5:$B$104,0)),"")</f>
        <v>310</v>
      </c>
      <c r="M275" s="4" t="str">
        <f>IFERROR(INDEX(_角色基线!$B$2:$B$100,MATCH($B275,_角色基线!$A$2:$A$100,0)),"")</f>
        <v>塔拉夏</v>
      </c>
      <c r="N275" s="4" t="str">
        <f>IFERROR(INDEX(_角色基线!$C$2:$C$100,MATCH($B275,_角色基线!$A$2:$A$100,0)),"")</f>
        <v>Tank</v>
      </c>
      <c r="O275" s="4">
        <f>IFERROR(INDEX(_怪物基线!$B$2:$B$501,MATCH(INT($L275),_怪物基线!$A$2:$A$501,0)),"")</f>
        <v>418081</v>
      </c>
      <c r="P275" s="4">
        <f>IFERROR(INDEX(_怪物基线!$C$2:$C$501,MATCH(INT($L275),_怪物基线!$A$2:$A$501,0)),"")</f>
        <v>25382</v>
      </c>
      <c r="Q275" s="4">
        <f>IFERROR(INDEX(_怪物基线!$D$2:$D$501,MATCH(INT($L275),_怪物基线!$A$2:$A$501,0)),"")</f>
        <v>28233</v>
      </c>
      <c r="R275" s="4">
        <f>参数!$B$10</f>
        <v>4</v>
      </c>
      <c r="S275" s="4">
        <f>参数!$C$10</f>
        <v>1.2</v>
      </c>
      <c r="T275" s="4">
        <f>参数!$D$10</f>
        <v>1</v>
      </c>
      <c r="U275" s="4">
        <f t="shared" si="28"/>
        <v>1672324</v>
      </c>
      <c r="V275" s="4">
        <f t="shared" si="29"/>
        <v>30458.4</v>
      </c>
      <c r="W275" s="4">
        <f t="shared" si="30"/>
        <v>28233</v>
      </c>
      <c r="X275" s="4">
        <f>IFERROR(INDEX(参数!$B$5:$B$7,MATCH($N275,参数!$A$5:$A$7,0)),"")</f>
        <v>1.5</v>
      </c>
      <c r="Y275" s="4">
        <f>IFERROR(INDEX(参数!$C$5:$C$7,MATCH($N275,参数!$A$5:$A$7,0)),"")</f>
        <v>1</v>
      </c>
      <c r="Z275" s="4">
        <f>IFERROR(INDEX(参数!$D$5:$D$7,MATCH($N275,参数!$A$5:$A$7,0)),"")</f>
        <v>1.5</v>
      </c>
      <c r="AA275" s="4">
        <f>IFERROR(INDEX(楼层配置!$E$5:$E$104,MATCH($K275,楼层配置!$B$5:$B$104,0)),1)</f>
        <v>1</v>
      </c>
      <c r="AB275" s="4">
        <f>IFERROR(INDEX(楼层配置!$F$5:$F$104,MATCH($K275,楼层配置!$B$5:$B$104,0)),1)</f>
        <v>1</v>
      </c>
      <c r="AC275" s="4">
        <f>IFERROR(INDEX(楼层配置!$G$5:$G$104,MATCH($K275,楼层配置!$B$5:$B$104,0)),1)</f>
        <v>1</v>
      </c>
      <c r="AD275" s="6">
        <f t="shared" si="31"/>
        <v>0.665229014246633</v>
      </c>
      <c r="AE275" s="6">
        <f t="shared" si="32"/>
        <v>0.640702434820082</v>
      </c>
      <c r="AF275" s="6">
        <f t="shared" si="33"/>
        <v>0.789033457249071</v>
      </c>
      <c r="AG275" s="4" t="str">
        <f t="shared" si="34"/>
        <v>有效</v>
      </c>
    </row>
    <row r="276" ht="14.25" customHeight="1" spans="1:33">
      <c r="A276" s="4">
        <v>272</v>
      </c>
      <c r="B276" s="4">
        <v>1006</v>
      </c>
      <c r="C276" s="4">
        <v>37</v>
      </c>
      <c r="D276" s="5">
        <f>IFERROR(ROUND($U276*$X276*$AA276*参数!$B$13,0),"")</f>
        <v>1672324</v>
      </c>
      <c r="E276" s="5">
        <f>IFERROR(ROUND($V276*$Y276*$AB276*参数!$C$13,0),"")</f>
        <v>36550</v>
      </c>
      <c r="F276" s="5">
        <f>IFERROR(ROUND($W276*$Z276*$AC276*参数!$D$13,0),"")</f>
        <v>28233</v>
      </c>
      <c r="G276" s="4">
        <v>1004260</v>
      </c>
      <c r="H276" s="4">
        <v>22276</v>
      </c>
      <c r="I276" s="4">
        <v>15781</v>
      </c>
      <c r="J276" s="4">
        <v>55</v>
      </c>
      <c r="K276" s="4">
        <v>55</v>
      </c>
      <c r="L276" s="4">
        <f>IFERROR(INDEX(楼层配置!$D$5:$D$104,MATCH($K276,楼层配置!$B$5:$B$104,0)),"")</f>
        <v>310</v>
      </c>
      <c r="M276" s="4" t="str">
        <f>IFERROR(INDEX(_角色基线!$B$2:$B$100,MATCH($B276,_角色基线!$A$2:$A$100,0)),"")</f>
        <v>莉莉娅</v>
      </c>
      <c r="N276" s="4" t="str">
        <f>IFERROR(INDEX(_角色基线!$C$2:$C$100,MATCH($B276,_角色基线!$A$2:$A$100,0)),"")</f>
        <v>DPS</v>
      </c>
      <c r="O276" s="4">
        <f>IFERROR(INDEX(_怪物基线!$B$2:$B$501,MATCH(INT($L276),_怪物基线!$A$2:$A$501,0)),"")</f>
        <v>418081</v>
      </c>
      <c r="P276" s="4">
        <f>IFERROR(INDEX(_怪物基线!$C$2:$C$501,MATCH(INT($L276),_怪物基线!$A$2:$A$501,0)),"")</f>
        <v>25382</v>
      </c>
      <c r="Q276" s="4">
        <f>IFERROR(INDEX(_怪物基线!$D$2:$D$501,MATCH(INT($L276),_怪物基线!$A$2:$A$501,0)),"")</f>
        <v>28233</v>
      </c>
      <c r="R276" s="4">
        <f>参数!$B$10</f>
        <v>4</v>
      </c>
      <c r="S276" s="4">
        <f>参数!$C$10</f>
        <v>1.2</v>
      </c>
      <c r="T276" s="4">
        <f>参数!$D$10</f>
        <v>1</v>
      </c>
      <c r="U276" s="4">
        <f t="shared" si="28"/>
        <v>1672324</v>
      </c>
      <c r="V276" s="4">
        <f t="shared" si="29"/>
        <v>30458.4</v>
      </c>
      <c r="W276" s="4">
        <f t="shared" si="30"/>
        <v>28233</v>
      </c>
      <c r="X276" s="4">
        <f>IFERROR(INDEX(参数!$B$5:$B$7,MATCH($N276,参数!$A$5:$A$7,0)),"")</f>
        <v>1</v>
      </c>
      <c r="Y276" s="4">
        <f>IFERROR(INDEX(参数!$C$5:$C$7,MATCH($N276,参数!$A$5:$A$7,0)),"")</f>
        <v>1.2</v>
      </c>
      <c r="Z276" s="4">
        <f>IFERROR(INDEX(参数!$D$5:$D$7,MATCH($N276,参数!$A$5:$A$7,0)),"")</f>
        <v>1</v>
      </c>
      <c r="AA276" s="4">
        <f>IFERROR(INDEX(楼层配置!$E$5:$E$104,MATCH($K276,楼层配置!$B$5:$B$104,0)),1)</f>
        <v>1</v>
      </c>
      <c r="AB276" s="4">
        <f>IFERROR(INDEX(楼层配置!$F$5:$F$104,MATCH($K276,楼层配置!$B$5:$B$104,0)),1)</f>
        <v>1</v>
      </c>
      <c r="AC276" s="4">
        <f>IFERROR(INDEX(楼层配置!$G$5:$G$104,MATCH($K276,楼层配置!$B$5:$B$104,0)),1)</f>
        <v>1</v>
      </c>
      <c r="AD276" s="6">
        <f t="shared" si="31"/>
        <v>0.66523011969012</v>
      </c>
      <c r="AE276" s="6">
        <f t="shared" si="32"/>
        <v>0.640779314059975</v>
      </c>
      <c r="AF276" s="6">
        <f t="shared" si="33"/>
        <v>0.789050123566314</v>
      </c>
      <c r="AG276" s="4" t="str">
        <f t="shared" si="34"/>
        <v>有效</v>
      </c>
    </row>
    <row r="277" ht="14.25" customHeight="1" spans="1:33">
      <c r="A277" s="4">
        <v>273</v>
      </c>
      <c r="B277" s="4">
        <v>1029</v>
      </c>
      <c r="C277" s="4">
        <v>37</v>
      </c>
      <c r="D277" s="5">
        <f>IFERROR(ROUND($U277*$X277*$AA277*参数!$B$13,0),"")</f>
        <v>2090405</v>
      </c>
      <c r="E277" s="5">
        <f>IFERROR(ROUND($V277*$Y277*$AB277*参数!$C$13,0),"")</f>
        <v>30458</v>
      </c>
      <c r="F277" s="5">
        <f>IFERROR(ROUND($W277*$Z277*$AC277*参数!$D$13,0),"")</f>
        <v>35291</v>
      </c>
      <c r="G277" s="4">
        <v>1255326</v>
      </c>
      <c r="H277" s="4">
        <v>18564</v>
      </c>
      <c r="I277" s="4">
        <v>19727</v>
      </c>
      <c r="J277" s="4">
        <v>55</v>
      </c>
      <c r="K277" s="4">
        <v>55</v>
      </c>
      <c r="L277" s="4">
        <f>IFERROR(INDEX(楼层配置!$D$5:$D$104,MATCH($K277,楼层配置!$B$5:$B$104,0)),"")</f>
        <v>310</v>
      </c>
      <c r="M277" s="4" t="str">
        <f>IFERROR(INDEX(_角色基线!$B$2:$B$100,MATCH($B277,_角色基线!$A$2:$A$100,0)),"")</f>
        <v>凯兰</v>
      </c>
      <c r="N277" s="4" t="str">
        <f>IFERROR(INDEX(_角色基线!$C$2:$C$100,MATCH($B277,_角色基线!$A$2:$A$100,0)),"")</f>
        <v>Support</v>
      </c>
      <c r="O277" s="4">
        <f>IFERROR(INDEX(_怪物基线!$B$2:$B$501,MATCH(INT($L277),_怪物基线!$A$2:$A$501,0)),"")</f>
        <v>418081</v>
      </c>
      <c r="P277" s="4">
        <f>IFERROR(INDEX(_怪物基线!$C$2:$C$501,MATCH(INT($L277),_怪物基线!$A$2:$A$501,0)),"")</f>
        <v>25382</v>
      </c>
      <c r="Q277" s="4">
        <f>IFERROR(INDEX(_怪物基线!$D$2:$D$501,MATCH(INT($L277),_怪物基线!$A$2:$A$501,0)),"")</f>
        <v>28233</v>
      </c>
      <c r="R277" s="4">
        <f>参数!$B$10</f>
        <v>4</v>
      </c>
      <c r="S277" s="4">
        <f>参数!$C$10</f>
        <v>1.2</v>
      </c>
      <c r="T277" s="4">
        <f>参数!$D$10</f>
        <v>1</v>
      </c>
      <c r="U277" s="4">
        <f t="shared" si="28"/>
        <v>1672324</v>
      </c>
      <c r="V277" s="4">
        <f t="shared" si="29"/>
        <v>30458.4</v>
      </c>
      <c r="W277" s="4">
        <f t="shared" si="30"/>
        <v>28233</v>
      </c>
      <c r="X277" s="4">
        <f>IFERROR(INDEX(参数!$B$5:$B$7,MATCH($N277,参数!$A$5:$A$7,0)),"")</f>
        <v>1.25</v>
      </c>
      <c r="Y277" s="4">
        <f>IFERROR(INDEX(参数!$C$5:$C$7,MATCH($N277,参数!$A$5:$A$7,0)),"")</f>
        <v>1</v>
      </c>
      <c r="Z277" s="4">
        <f>IFERROR(INDEX(参数!$D$5:$D$7,MATCH($N277,参数!$A$5:$A$7,0)),"")</f>
        <v>1.25</v>
      </c>
      <c r="AA277" s="4">
        <f>IFERROR(INDEX(楼层配置!$E$5:$E$104,MATCH($K277,楼层配置!$B$5:$B$104,0)),1)</f>
        <v>1</v>
      </c>
      <c r="AB277" s="4">
        <f>IFERROR(INDEX(楼层配置!$F$5:$F$104,MATCH($K277,楼层配置!$B$5:$B$104,0)),1)</f>
        <v>1</v>
      </c>
      <c r="AC277" s="4">
        <f>IFERROR(INDEX(楼层配置!$G$5:$G$104,MATCH($K277,楼层配置!$B$5:$B$104,0)),1)</f>
        <v>1</v>
      </c>
      <c r="AD277" s="6">
        <f t="shared" si="31"/>
        <v>0.665228793158112</v>
      </c>
      <c r="AE277" s="6">
        <f t="shared" si="32"/>
        <v>0.640702434820082</v>
      </c>
      <c r="AF277" s="6">
        <f t="shared" si="33"/>
        <v>0.788969432757135</v>
      </c>
      <c r="AG277" s="4" t="str">
        <f t="shared" si="34"/>
        <v>有效</v>
      </c>
    </row>
    <row r="278" ht="14.25" customHeight="1" spans="1:33">
      <c r="A278" s="4">
        <v>274</v>
      </c>
      <c r="B278" s="4">
        <v>1020</v>
      </c>
      <c r="C278" s="4">
        <v>37</v>
      </c>
      <c r="D278" s="5">
        <f>IFERROR(ROUND($U278*$X278*$AA278*参数!$B$13,0),"")</f>
        <v>2090405</v>
      </c>
      <c r="E278" s="5">
        <f>IFERROR(ROUND($V278*$Y278*$AB278*参数!$C$13,0),"")</f>
        <v>30458</v>
      </c>
      <c r="F278" s="5">
        <f>IFERROR(ROUND($W278*$Z278*$AC278*参数!$D$13,0),"")</f>
        <v>35291</v>
      </c>
      <c r="G278" s="4">
        <v>1255326</v>
      </c>
      <c r="H278" s="4">
        <v>18564</v>
      </c>
      <c r="I278" s="4">
        <v>19727</v>
      </c>
      <c r="J278" s="4">
        <v>55</v>
      </c>
      <c r="K278" s="4">
        <v>55</v>
      </c>
      <c r="L278" s="4">
        <f>IFERROR(INDEX(楼层配置!$D$5:$D$104,MATCH($K278,楼层配置!$B$5:$B$104,0)),"")</f>
        <v>310</v>
      </c>
      <c r="M278" s="4" t="str">
        <f>IFERROR(INDEX(_角色基线!$B$2:$B$100,MATCH($B278,_角色基线!$A$2:$A$100,0)),"")</f>
        <v>卡斯帕</v>
      </c>
      <c r="N278" s="4" t="str">
        <f>IFERROR(INDEX(_角色基线!$C$2:$C$100,MATCH($B278,_角色基线!$A$2:$A$100,0)),"")</f>
        <v>Support</v>
      </c>
      <c r="O278" s="4">
        <f>IFERROR(INDEX(_怪物基线!$B$2:$B$501,MATCH(INT($L278),_怪物基线!$A$2:$A$501,0)),"")</f>
        <v>418081</v>
      </c>
      <c r="P278" s="4">
        <f>IFERROR(INDEX(_怪物基线!$C$2:$C$501,MATCH(INT($L278),_怪物基线!$A$2:$A$501,0)),"")</f>
        <v>25382</v>
      </c>
      <c r="Q278" s="4">
        <f>IFERROR(INDEX(_怪物基线!$D$2:$D$501,MATCH(INT($L278),_怪物基线!$A$2:$A$501,0)),"")</f>
        <v>28233</v>
      </c>
      <c r="R278" s="4">
        <f>参数!$B$10</f>
        <v>4</v>
      </c>
      <c r="S278" s="4">
        <f>参数!$C$10</f>
        <v>1.2</v>
      </c>
      <c r="T278" s="4">
        <f>参数!$D$10</f>
        <v>1</v>
      </c>
      <c r="U278" s="4">
        <f t="shared" si="28"/>
        <v>1672324</v>
      </c>
      <c r="V278" s="4">
        <f t="shared" si="29"/>
        <v>30458.4</v>
      </c>
      <c r="W278" s="4">
        <f t="shared" si="30"/>
        <v>28233</v>
      </c>
      <c r="X278" s="4">
        <f>IFERROR(INDEX(参数!$B$5:$B$7,MATCH($N278,参数!$A$5:$A$7,0)),"")</f>
        <v>1.25</v>
      </c>
      <c r="Y278" s="4">
        <f>IFERROR(INDEX(参数!$C$5:$C$7,MATCH($N278,参数!$A$5:$A$7,0)),"")</f>
        <v>1</v>
      </c>
      <c r="Z278" s="4">
        <f>IFERROR(INDEX(参数!$D$5:$D$7,MATCH($N278,参数!$A$5:$A$7,0)),"")</f>
        <v>1.25</v>
      </c>
      <c r="AA278" s="4">
        <f>IFERROR(INDEX(楼层配置!$E$5:$E$104,MATCH($K278,楼层配置!$B$5:$B$104,0)),1)</f>
        <v>1</v>
      </c>
      <c r="AB278" s="4">
        <f>IFERROR(INDEX(楼层配置!$F$5:$F$104,MATCH($K278,楼层配置!$B$5:$B$104,0)),1)</f>
        <v>1</v>
      </c>
      <c r="AC278" s="4">
        <f>IFERROR(INDEX(楼层配置!$G$5:$G$104,MATCH($K278,楼层配置!$B$5:$B$104,0)),1)</f>
        <v>1</v>
      </c>
      <c r="AD278" s="6">
        <f t="shared" si="31"/>
        <v>0.665228793158112</v>
      </c>
      <c r="AE278" s="6">
        <f t="shared" si="32"/>
        <v>0.640702434820082</v>
      </c>
      <c r="AF278" s="6">
        <f t="shared" si="33"/>
        <v>0.788969432757135</v>
      </c>
      <c r="AG278" s="4" t="str">
        <f t="shared" si="34"/>
        <v>有效</v>
      </c>
    </row>
    <row r="279" ht="14.25" customHeight="1" spans="1:33">
      <c r="A279" s="4">
        <v>275</v>
      </c>
      <c r="B279" s="4">
        <v>1018</v>
      </c>
      <c r="C279" s="4">
        <v>37</v>
      </c>
      <c r="D279" s="5">
        <f>IFERROR(ROUND($U279*$X279*$AA279*参数!$B$13,0),"")</f>
        <v>2090405</v>
      </c>
      <c r="E279" s="5">
        <f>IFERROR(ROUND($V279*$Y279*$AB279*参数!$C$13,0),"")</f>
        <v>30458</v>
      </c>
      <c r="F279" s="5">
        <f>IFERROR(ROUND($W279*$Z279*$AC279*参数!$D$13,0),"")</f>
        <v>35291</v>
      </c>
      <c r="G279" s="4">
        <v>1255326</v>
      </c>
      <c r="H279" s="4">
        <v>18564</v>
      </c>
      <c r="I279" s="4">
        <v>19727</v>
      </c>
      <c r="J279" s="4">
        <v>55</v>
      </c>
      <c r="K279" s="4">
        <v>55</v>
      </c>
      <c r="L279" s="4">
        <f>IFERROR(INDEX(楼层配置!$D$5:$D$104,MATCH($K279,楼层配置!$B$5:$B$104,0)),"")</f>
        <v>310</v>
      </c>
      <c r="M279" s="4" t="str">
        <f>IFERROR(INDEX(_角色基线!$B$2:$B$100,MATCH($B279,_角色基线!$A$2:$A$100,0)),"")</f>
        <v>埃莉诺</v>
      </c>
      <c r="N279" s="4" t="str">
        <f>IFERROR(INDEX(_角色基线!$C$2:$C$100,MATCH($B279,_角色基线!$A$2:$A$100,0)),"")</f>
        <v>Support</v>
      </c>
      <c r="O279" s="4">
        <f>IFERROR(INDEX(_怪物基线!$B$2:$B$501,MATCH(INT($L279),_怪物基线!$A$2:$A$501,0)),"")</f>
        <v>418081</v>
      </c>
      <c r="P279" s="4">
        <f>IFERROR(INDEX(_怪物基线!$C$2:$C$501,MATCH(INT($L279),_怪物基线!$A$2:$A$501,0)),"")</f>
        <v>25382</v>
      </c>
      <c r="Q279" s="4">
        <f>IFERROR(INDEX(_怪物基线!$D$2:$D$501,MATCH(INT($L279),_怪物基线!$A$2:$A$501,0)),"")</f>
        <v>28233</v>
      </c>
      <c r="R279" s="4">
        <f>参数!$B$10</f>
        <v>4</v>
      </c>
      <c r="S279" s="4">
        <f>参数!$C$10</f>
        <v>1.2</v>
      </c>
      <c r="T279" s="4">
        <f>参数!$D$10</f>
        <v>1</v>
      </c>
      <c r="U279" s="4">
        <f t="shared" si="28"/>
        <v>1672324</v>
      </c>
      <c r="V279" s="4">
        <f t="shared" si="29"/>
        <v>30458.4</v>
      </c>
      <c r="W279" s="4">
        <f t="shared" si="30"/>
        <v>28233</v>
      </c>
      <c r="X279" s="4">
        <f>IFERROR(INDEX(参数!$B$5:$B$7,MATCH($N279,参数!$A$5:$A$7,0)),"")</f>
        <v>1.25</v>
      </c>
      <c r="Y279" s="4">
        <f>IFERROR(INDEX(参数!$C$5:$C$7,MATCH($N279,参数!$A$5:$A$7,0)),"")</f>
        <v>1</v>
      </c>
      <c r="Z279" s="4">
        <f>IFERROR(INDEX(参数!$D$5:$D$7,MATCH($N279,参数!$A$5:$A$7,0)),"")</f>
        <v>1.25</v>
      </c>
      <c r="AA279" s="4">
        <f>IFERROR(INDEX(楼层配置!$E$5:$E$104,MATCH($K279,楼层配置!$B$5:$B$104,0)),1)</f>
        <v>1</v>
      </c>
      <c r="AB279" s="4">
        <f>IFERROR(INDEX(楼层配置!$F$5:$F$104,MATCH($K279,楼层配置!$B$5:$B$104,0)),1)</f>
        <v>1</v>
      </c>
      <c r="AC279" s="4">
        <f>IFERROR(INDEX(楼层配置!$G$5:$G$104,MATCH($K279,楼层配置!$B$5:$B$104,0)),1)</f>
        <v>1</v>
      </c>
      <c r="AD279" s="6">
        <f t="shared" si="31"/>
        <v>0.665228793158112</v>
      </c>
      <c r="AE279" s="6">
        <f t="shared" si="32"/>
        <v>0.640702434820082</v>
      </c>
      <c r="AF279" s="6">
        <f t="shared" si="33"/>
        <v>0.788969432757135</v>
      </c>
      <c r="AG279" s="4" t="str">
        <f t="shared" si="34"/>
        <v>有效</v>
      </c>
    </row>
    <row r="280" ht="14.25" customHeight="1" spans="1:33">
      <c r="A280" s="4">
        <v>276</v>
      </c>
      <c r="B280" s="4">
        <v>1003</v>
      </c>
      <c r="C280" s="4">
        <v>38</v>
      </c>
      <c r="D280" s="5">
        <f>IFERROR(ROUND($U280*$X280*$AA280*参数!$B$13,0),"")</f>
        <v>2552796</v>
      </c>
      <c r="E280" s="5">
        <f>IFERROR(ROUND($V280*$Y280*$AB280*参数!$C$13,0),"")</f>
        <v>30862</v>
      </c>
      <c r="F280" s="5">
        <f>IFERROR(ROUND($W280*$Z280*$AC280*参数!$D$13,0),"")</f>
        <v>42729</v>
      </c>
      <c r="G280" s="4">
        <v>1571169</v>
      </c>
      <c r="H280" s="4">
        <v>19109</v>
      </c>
      <c r="I280" s="4">
        <v>24201</v>
      </c>
      <c r="J280" s="4">
        <v>56</v>
      </c>
      <c r="K280" s="4">
        <v>56</v>
      </c>
      <c r="L280" s="4">
        <f>IFERROR(INDEX(楼层配置!$D$5:$D$104,MATCH($K280,楼层配置!$B$5:$B$104,0)),"")</f>
        <v>312</v>
      </c>
      <c r="M280" s="4" t="str">
        <f>IFERROR(INDEX(_角色基线!$B$2:$B$100,MATCH($B280,_角色基线!$A$2:$A$100,0)),"")</f>
        <v>塔拉夏</v>
      </c>
      <c r="N280" s="4" t="str">
        <f>IFERROR(INDEX(_角色基线!$C$2:$C$100,MATCH($B280,_角色基线!$A$2:$A$100,0)),"")</f>
        <v>Tank</v>
      </c>
      <c r="O280" s="4">
        <f>IFERROR(INDEX(_怪物基线!$B$2:$B$501,MATCH(INT($L280),_怪物基线!$A$2:$A$501,0)),"")</f>
        <v>425466</v>
      </c>
      <c r="P280" s="4">
        <f>IFERROR(INDEX(_怪物基线!$C$2:$C$501,MATCH(INT($L280),_怪物基线!$A$2:$A$501,0)),"")</f>
        <v>25718</v>
      </c>
      <c r="Q280" s="4">
        <f>IFERROR(INDEX(_怪物基线!$D$2:$D$501,MATCH(INT($L280),_怪物基线!$A$2:$A$501,0)),"")</f>
        <v>28486</v>
      </c>
      <c r="R280" s="4">
        <f>参数!$B$10</f>
        <v>4</v>
      </c>
      <c r="S280" s="4">
        <f>参数!$C$10</f>
        <v>1.2</v>
      </c>
      <c r="T280" s="4">
        <f>参数!$D$10</f>
        <v>1</v>
      </c>
      <c r="U280" s="4">
        <f t="shared" si="28"/>
        <v>1701864</v>
      </c>
      <c r="V280" s="4">
        <f t="shared" si="29"/>
        <v>30861.6</v>
      </c>
      <c r="W280" s="4">
        <f t="shared" si="30"/>
        <v>28486</v>
      </c>
      <c r="X280" s="4">
        <f>IFERROR(INDEX(参数!$B$5:$B$7,MATCH($N280,参数!$A$5:$A$7,0)),"")</f>
        <v>1.5</v>
      </c>
      <c r="Y280" s="4">
        <f>IFERROR(INDEX(参数!$C$5:$C$7,MATCH($N280,参数!$A$5:$A$7,0)),"")</f>
        <v>1</v>
      </c>
      <c r="Z280" s="4">
        <f>IFERROR(INDEX(参数!$D$5:$D$7,MATCH($N280,参数!$A$5:$A$7,0)),"")</f>
        <v>1.5</v>
      </c>
      <c r="AA280" s="4">
        <f>IFERROR(INDEX(楼层配置!$E$5:$E$104,MATCH($K280,楼层配置!$B$5:$B$104,0)),1)</f>
        <v>1</v>
      </c>
      <c r="AB280" s="4">
        <f>IFERROR(INDEX(楼层配置!$F$5:$F$104,MATCH($K280,楼层配置!$B$5:$B$104,0)),1)</f>
        <v>1</v>
      </c>
      <c r="AC280" s="4">
        <f>IFERROR(INDEX(楼层配置!$G$5:$G$104,MATCH($K280,楼层配置!$B$5:$B$104,0)),1)</f>
        <v>1</v>
      </c>
      <c r="AD280" s="6">
        <f t="shared" si="31"/>
        <v>0.624774928731409</v>
      </c>
      <c r="AE280" s="6">
        <f t="shared" si="32"/>
        <v>0.615050499764509</v>
      </c>
      <c r="AF280" s="6">
        <f t="shared" si="33"/>
        <v>0.765588198834759</v>
      </c>
      <c r="AG280" s="4" t="str">
        <f t="shared" si="34"/>
        <v>有效</v>
      </c>
    </row>
    <row r="281" ht="14.25" customHeight="1" spans="1:33">
      <c r="A281" s="4">
        <v>277</v>
      </c>
      <c r="B281" s="4">
        <v>1015</v>
      </c>
      <c r="C281" s="4">
        <v>38</v>
      </c>
      <c r="D281" s="5">
        <f>IFERROR(ROUND($U281*$X281*$AA281*参数!$B$13,0),"")</f>
        <v>2127330</v>
      </c>
      <c r="E281" s="5">
        <f>IFERROR(ROUND($V281*$Y281*$AB281*参数!$C$13,0),"")</f>
        <v>30862</v>
      </c>
      <c r="F281" s="5">
        <f>IFERROR(ROUND($W281*$Z281*$AC281*参数!$D$13,0),"")</f>
        <v>35608</v>
      </c>
      <c r="G281" s="4">
        <v>1309308</v>
      </c>
      <c r="H281" s="4">
        <v>19109</v>
      </c>
      <c r="I281" s="4">
        <v>20168</v>
      </c>
      <c r="J281" s="4">
        <v>56</v>
      </c>
      <c r="K281" s="4">
        <v>56</v>
      </c>
      <c r="L281" s="4">
        <f>IFERROR(INDEX(楼层配置!$D$5:$D$104,MATCH($K281,楼层配置!$B$5:$B$104,0)),"")</f>
        <v>312</v>
      </c>
      <c r="M281" s="4" t="str">
        <f>IFERROR(INDEX(_角色基线!$B$2:$B$100,MATCH($B281,_角色基线!$A$2:$A$100,0)),"")</f>
        <v>阿莱克西娅</v>
      </c>
      <c r="N281" s="4" t="str">
        <f>IFERROR(INDEX(_角色基线!$C$2:$C$100,MATCH($B281,_角色基线!$A$2:$A$100,0)),"")</f>
        <v>Support</v>
      </c>
      <c r="O281" s="4">
        <f>IFERROR(INDEX(_怪物基线!$B$2:$B$501,MATCH(INT($L281),_怪物基线!$A$2:$A$501,0)),"")</f>
        <v>425466</v>
      </c>
      <c r="P281" s="4">
        <f>IFERROR(INDEX(_怪物基线!$C$2:$C$501,MATCH(INT($L281),_怪物基线!$A$2:$A$501,0)),"")</f>
        <v>25718</v>
      </c>
      <c r="Q281" s="4">
        <f>IFERROR(INDEX(_怪物基线!$D$2:$D$501,MATCH(INT($L281),_怪物基线!$A$2:$A$501,0)),"")</f>
        <v>28486</v>
      </c>
      <c r="R281" s="4">
        <f>参数!$B$10</f>
        <v>4</v>
      </c>
      <c r="S281" s="4">
        <f>参数!$C$10</f>
        <v>1.2</v>
      </c>
      <c r="T281" s="4">
        <f>参数!$D$10</f>
        <v>1</v>
      </c>
      <c r="U281" s="4">
        <f t="shared" si="28"/>
        <v>1701864</v>
      </c>
      <c r="V281" s="4">
        <f t="shared" si="29"/>
        <v>30861.6</v>
      </c>
      <c r="W281" s="4">
        <f t="shared" si="30"/>
        <v>28486</v>
      </c>
      <c r="X281" s="4">
        <f>IFERROR(INDEX(参数!$B$5:$B$7,MATCH($N281,参数!$A$5:$A$7,0)),"")</f>
        <v>1.25</v>
      </c>
      <c r="Y281" s="4">
        <f>IFERROR(INDEX(参数!$C$5:$C$7,MATCH($N281,参数!$A$5:$A$7,0)),"")</f>
        <v>1</v>
      </c>
      <c r="Z281" s="4">
        <f>IFERROR(INDEX(参数!$D$5:$D$7,MATCH($N281,参数!$A$5:$A$7,0)),"")</f>
        <v>1.25</v>
      </c>
      <c r="AA281" s="4">
        <f>IFERROR(INDEX(楼层配置!$E$5:$E$104,MATCH($K281,楼层配置!$B$5:$B$104,0)),1)</f>
        <v>1</v>
      </c>
      <c r="AB281" s="4">
        <f>IFERROR(INDEX(楼层配置!$F$5:$F$104,MATCH($K281,楼层配置!$B$5:$B$104,0)),1)</f>
        <v>1</v>
      </c>
      <c r="AC281" s="4">
        <f>IFERROR(INDEX(楼层配置!$G$5:$G$104,MATCH($K281,楼层配置!$B$5:$B$104,0)),1)</f>
        <v>1</v>
      </c>
      <c r="AD281" s="6">
        <f t="shared" si="31"/>
        <v>0.624774308260547</v>
      </c>
      <c r="AE281" s="6">
        <f t="shared" si="32"/>
        <v>0.615050499764509</v>
      </c>
      <c r="AF281" s="6">
        <f t="shared" si="33"/>
        <v>0.765569218564062</v>
      </c>
      <c r="AG281" s="4" t="str">
        <f t="shared" si="34"/>
        <v>有效</v>
      </c>
    </row>
    <row r="282" ht="14.25" customHeight="1" spans="1:33">
      <c r="A282" s="4">
        <v>278</v>
      </c>
      <c r="B282" s="4">
        <v>1012</v>
      </c>
      <c r="C282" s="4">
        <v>38</v>
      </c>
      <c r="D282" s="5">
        <f>IFERROR(ROUND($U282*$X282*$AA282*参数!$B$13,0),"")</f>
        <v>2127330</v>
      </c>
      <c r="E282" s="5">
        <f>IFERROR(ROUND($V282*$Y282*$AB282*参数!$C$13,0),"")</f>
        <v>30862</v>
      </c>
      <c r="F282" s="5">
        <f>IFERROR(ROUND($W282*$Z282*$AC282*参数!$D$13,0),"")</f>
        <v>35608</v>
      </c>
      <c r="G282" s="4">
        <v>1309308</v>
      </c>
      <c r="H282" s="4">
        <v>19109</v>
      </c>
      <c r="I282" s="4">
        <v>20168</v>
      </c>
      <c r="J282" s="4">
        <v>56</v>
      </c>
      <c r="K282" s="4">
        <v>56</v>
      </c>
      <c r="L282" s="4">
        <f>IFERROR(INDEX(楼层配置!$D$5:$D$104,MATCH($K282,楼层配置!$B$5:$B$104,0)),"")</f>
        <v>312</v>
      </c>
      <c r="M282" s="4" t="str">
        <f>IFERROR(INDEX(_角色基线!$B$2:$B$100,MATCH($B282,_角色基线!$A$2:$A$100,0)),"")</f>
        <v>艾德琳</v>
      </c>
      <c r="N282" s="4" t="str">
        <f>IFERROR(INDEX(_角色基线!$C$2:$C$100,MATCH($B282,_角色基线!$A$2:$A$100,0)),"")</f>
        <v>Support</v>
      </c>
      <c r="O282" s="4">
        <f>IFERROR(INDEX(_怪物基线!$B$2:$B$501,MATCH(INT($L282),_怪物基线!$A$2:$A$501,0)),"")</f>
        <v>425466</v>
      </c>
      <c r="P282" s="4">
        <f>IFERROR(INDEX(_怪物基线!$C$2:$C$501,MATCH(INT($L282),_怪物基线!$A$2:$A$501,0)),"")</f>
        <v>25718</v>
      </c>
      <c r="Q282" s="4">
        <f>IFERROR(INDEX(_怪物基线!$D$2:$D$501,MATCH(INT($L282),_怪物基线!$A$2:$A$501,0)),"")</f>
        <v>28486</v>
      </c>
      <c r="R282" s="4">
        <f>参数!$B$10</f>
        <v>4</v>
      </c>
      <c r="S282" s="4">
        <f>参数!$C$10</f>
        <v>1.2</v>
      </c>
      <c r="T282" s="4">
        <f>参数!$D$10</f>
        <v>1</v>
      </c>
      <c r="U282" s="4">
        <f t="shared" si="28"/>
        <v>1701864</v>
      </c>
      <c r="V282" s="4">
        <f t="shared" si="29"/>
        <v>30861.6</v>
      </c>
      <c r="W282" s="4">
        <f t="shared" si="30"/>
        <v>28486</v>
      </c>
      <c r="X282" s="4">
        <f>IFERROR(INDEX(参数!$B$5:$B$7,MATCH($N282,参数!$A$5:$A$7,0)),"")</f>
        <v>1.25</v>
      </c>
      <c r="Y282" s="4">
        <f>IFERROR(INDEX(参数!$C$5:$C$7,MATCH($N282,参数!$A$5:$A$7,0)),"")</f>
        <v>1</v>
      </c>
      <c r="Z282" s="4">
        <f>IFERROR(INDEX(参数!$D$5:$D$7,MATCH($N282,参数!$A$5:$A$7,0)),"")</f>
        <v>1.25</v>
      </c>
      <c r="AA282" s="4">
        <f>IFERROR(INDEX(楼层配置!$E$5:$E$104,MATCH($K282,楼层配置!$B$5:$B$104,0)),1)</f>
        <v>1</v>
      </c>
      <c r="AB282" s="4">
        <f>IFERROR(INDEX(楼层配置!$F$5:$F$104,MATCH($K282,楼层配置!$B$5:$B$104,0)),1)</f>
        <v>1</v>
      </c>
      <c r="AC282" s="4">
        <f>IFERROR(INDEX(楼层配置!$G$5:$G$104,MATCH($K282,楼层配置!$B$5:$B$104,0)),1)</f>
        <v>1</v>
      </c>
      <c r="AD282" s="6">
        <f t="shared" si="31"/>
        <v>0.624774308260547</v>
      </c>
      <c r="AE282" s="6">
        <f t="shared" si="32"/>
        <v>0.615050499764509</v>
      </c>
      <c r="AF282" s="6">
        <f t="shared" si="33"/>
        <v>0.765569218564062</v>
      </c>
      <c r="AG282" s="4" t="str">
        <f t="shared" si="34"/>
        <v>有效</v>
      </c>
    </row>
    <row r="283" ht="14.25" customHeight="1" spans="1:33">
      <c r="A283" s="4">
        <v>279</v>
      </c>
      <c r="B283" s="4">
        <v>1006</v>
      </c>
      <c r="C283" s="4">
        <v>38</v>
      </c>
      <c r="D283" s="5">
        <f>IFERROR(ROUND($U283*$X283*$AA283*参数!$B$13,0),"")</f>
        <v>1701864</v>
      </c>
      <c r="E283" s="5">
        <f>IFERROR(ROUND($V283*$Y283*$AB283*参数!$C$13,0),"")</f>
        <v>37034</v>
      </c>
      <c r="F283" s="5">
        <f>IFERROR(ROUND($W283*$Z283*$AC283*参数!$D$13,0),"")</f>
        <v>28486</v>
      </c>
      <c r="G283" s="4">
        <v>1047446</v>
      </c>
      <c r="H283" s="4">
        <v>22930</v>
      </c>
      <c r="I283" s="4">
        <v>16134</v>
      </c>
      <c r="J283" s="4">
        <v>56</v>
      </c>
      <c r="K283" s="4">
        <v>56</v>
      </c>
      <c r="L283" s="4">
        <f>IFERROR(INDEX(楼层配置!$D$5:$D$104,MATCH($K283,楼层配置!$B$5:$B$104,0)),"")</f>
        <v>312</v>
      </c>
      <c r="M283" s="4" t="str">
        <f>IFERROR(INDEX(_角色基线!$B$2:$B$100,MATCH($B283,_角色基线!$A$2:$A$100,0)),"")</f>
        <v>莉莉娅</v>
      </c>
      <c r="N283" s="4" t="str">
        <f>IFERROR(INDEX(_角色基线!$C$2:$C$100,MATCH($B283,_角色基线!$A$2:$A$100,0)),"")</f>
        <v>DPS</v>
      </c>
      <c r="O283" s="4">
        <f>IFERROR(INDEX(_怪物基线!$B$2:$B$501,MATCH(INT($L283),_怪物基线!$A$2:$A$501,0)),"")</f>
        <v>425466</v>
      </c>
      <c r="P283" s="4">
        <f>IFERROR(INDEX(_怪物基线!$C$2:$C$501,MATCH(INT($L283),_怪物基线!$A$2:$A$501,0)),"")</f>
        <v>25718</v>
      </c>
      <c r="Q283" s="4">
        <f>IFERROR(INDEX(_怪物基线!$D$2:$D$501,MATCH(INT($L283),_怪物基线!$A$2:$A$501,0)),"")</f>
        <v>28486</v>
      </c>
      <c r="R283" s="4">
        <f>参数!$B$10</f>
        <v>4</v>
      </c>
      <c r="S283" s="4">
        <f>参数!$C$10</f>
        <v>1.2</v>
      </c>
      <c r="T283" s="4">
        <f>参数!$D$10</f>
        <v>1</v>
      </c>
      <c r="U283" s="4">
        <f t="shared" si="28"/>
        <v>1701864</v>
      </c>
      <c r="V283" s="4">
        <f t="shared" si="29"/>
        <v>30861.6</v>
      </c>
      <c r="W283" s="4">
        <f t="shared" si="30"/>
        <v>28486</v>
      </c>
      <c r="X283" s="4">
        <f>IFERROR(INDEX(参数!$B$5:$B$7,MATCH($N283,参数!$A$5:$A$7,0)),"")</f>
        <v>1</v>
      </c>
      <c r="Y283" s="4">
        <f>IFERROR(INDEX(参数!$C$5:$C$7,MATCH($N283,参数!$A$5:$A$7,0)),"")</f>
        <v>1.2</v>
      </c>
      <c r="Z283" s="4">
        <f>IFERROR(INDEX(参数!$D$5:$D$7,MATCH($N283,参数!$A$5:$A$7,0)),"")</f>
        <v>1</v>
      </c>
      <c r="AA283" s="4">
        <f>IFERROR(INDEX(楼层配置!$E$5:$E$104,MATCH($K283,楼层配置!$B$5:$B$104,0)),1)</f>
        <v>1</v>
      </c>
      <c r="AB283" s="4">
        <f>IFERROR(INDEX(楼层配置!$F$5:$F$104,MATCH($K283,楼层配置!$B$5:$B$104,0)),1)</f>
        <v>1</v>
      </c>
      <c r="AC283" s="4">
        <f>IFERROR(INDEX(楼层配置!$G$5:$G$104,MATCH($K283,楼层配置!$B$5:$B$104,0)),1)</f>
        <v>1</v>
      </c>
      <c r="AD283" s="6">
        <f t="shared" si="31"/>
        <v>0.624774928731409</v>
      </c>
      <c r="AE283" s="6">
        <f t="shared" si="32"/>
        <v>0.615089402529437</v>
      </c>
      <c r="AF283" s="6">
        <f t="shared" si="33"/>
        <v>0.765588198834759</v>
      </c>
      <c r="AG283" s="4" t="str">
        <f t="shared" si="34"/>
        <v>有效</v>
      </c>
    </row>
    <row r="284" ht="14.25" customHeight="1" spans="1:33">
      <c r="A284" s="4">
        <v>280</v>
      </c>
      <c r="B284" s="4">
        <v>1001</v>
      </c>
      <c r="C284" s="4">
        <v>38</v>
      </c>
      <c r="D284" s="5">
        <f>IFERROR(ROUND($U284*$X284*$AA284*参数!$B$13,0),"")</f>
        <v>1701864</v>
      </c>
      <c r="E284" s="5">
        <f>IFERROR(ROUND($V284*$Y284*$AB284*参数!$C$13,0),"")</f>
        <v>37034</v>
      </c>
      <c r="F284" s="5">
        <f>IFERROR(ROUND($W284*$Z284*$AC284*参数!$D$13,0),"")</f>
        <v>28486</v>
      </c>
      <c r="G284" s="4">
        <v>1047446</v>
      </c>
      <c r="H284" s="4">
        <v>22930</v>
      </c>
      <c r="I284" s="4">
        <v>16134</v>
      </c>
      <c r="J284" s="4">
        <v>56</v>
      </c>
      <c r="K284" s="4">
        <v>56</v>
      </c>
      <c r="L284" s="4">
        <f>IFERROR(INDEX(楼层配置!$D$5:$D$104,MATCH($K284,楼层配置!$B$5:$B$104,0)),"")</f>
        <v>312</v>
      </c>
      <c r="M284" s="4" t="str">
        <f>IFERROR(INDEX(_角色基线!$B$2:$B$100,MATCH($B284,_角色基线!$A$2:$A$100,0)),"")</f>
        <v>星海</v>
      </c>
      <c r="N284" s="4" t="str">
        <f>IFERROR(INDEX(_角色基线!$C$2:$C$100,MATCH($B284,_角色基线!$A$2:$A$100,0)),"")</f>
        <v>DPS</v>
      </c>
      <c r="O284" s="4">
        <f>IFERROR(INDEX(_怪物基线!$B$2:$B$501,MATCH(INT($L284),_怪物基线!$A$2:$A$501,0)),"")</f>
        <v>425466</v>
      </c>
      <c r="P284" s="4">
        <f>IFERROR(INDEX(_怪物基线!$C$2:$C$501,MATCH(INT($L284),_怪物基线!$A$2:$A$501,0)),"")</f>
        <v>25718</v>
      </c>
      <c r="Q284" s="4">
        <f>IFERROR(INDEX(_怪物基线!$D$2:$D$501,MATCH(INT($L284),_怪物基线!$A$2:$A$501,0)),"")</f>
        <v>28486</v>
      </c>
      <c r="R284" s="4">
        <f>参数!$B$10</f>
        <v>4</v>
      </c>
      <c r="S284" s="4">
        <f>参数!$C$10</f>
        <v>1.2</v>
      </c>
      <c r="T284" s="4">
        <f>参数!$D$10</f>
        <v>1</v>
      </c>
      <c r="U284" s="4">
        <f t="shared" si="28"/>
        <v>1701864</v>
      </c>
      <c r="V284" s="4">
        <f t="shared" si="29"/>
        <v>30861.6</v>
      </c>
      <c r="W284" s="4">
        <f t="shared" si="30"/>
        <v>28486</v>
      </c>
      <c r="X284" s="4">
        <f>IFERROR(INDEX(参数!$B$5:$B$7,MATCH($N284,参数!$A$5:$A$7,0)),"")</f>
        <v>1</v>
      </c>
      <c r="Y284" s="4">
        <f>IFERROR(INDEX(参数!$C$5:$C$7,MATCH($N284,参数!$A$5:$A$7,0)),"")</f>
        <v>1.2</v>
      </c>
      <c r="Z284" s="4">
        <f>IFERROR(INDEX(参数!$D$5:$D$7,MATCH($N284,参数!$A$5:$A$7,0)),"")</f>
        <v>1</v>
      </c>
      <c r="AA284" s="4">
        <f>IFERROR(INDEX(楼层配置!$E$5:$E$104,MATCH($K284,楼层配置!$B$5:$B$104,0)),1)</f>
        <v>1</v>
      </c>
      <c r="AB284" s="4">
        <f>IFERROR(INDEX(楼层配置!$F$5:$F$104,MATCH($K284,楼层配置!$B$5:$B$104,0)),1)</f>
        <v>1</v>
      </c>
      <c r="AC284" s="4">
        <f>IFERROR(INDEX(楼层配置!$G$5:$G$104,MATCH($K284,楼层配置!$B$5:$B$104,0)),1)</f>
        <v>1</v>
      </c>
      <c r="AD284" s="6">
        <f t="shared" si="31"/>
        <v>0.624774928731409</v>
      </c>
      <c r="AE284" s="6">
        <f t="shared" si="32"/>
        <v>0.615089402529437</v>
      </c>
      <c r="AF284" s="6">
        <f t="shared" si="33"/>
        <v>0.765588198834759</v>
      </c>
      <c r="AG284" s="4" t="str">
        <f t="shared" si="34"/>
        <v>有效</v>
      </c>
    </row>
    <row r="285" ht="14.25" customHeight="1" spans="1:33">
      <c r="A285" s="4">
        <v>281</v>
      </c>
      <c r="B285" s="4">
        <v>1002</v>
      </c>
      <c r="C285" s="4">
        <v>38</v>
      </c>
      <c r="D285" s="5">
        <f>IFERROR(ROUND($U285*$X285*$AA285*参数!$B$13,0),"")</f>
        <v>2597682</v>
      </c>
      <c r="E285" s="5">
        <f>IFERROR(ROUND($V285*$Y285*$AB285*参数!$C$13,0),"")</f>
        <v>31270</v>
      </c>
      <c r="F285" s="5">
        <f>IFERROR(ROUND($W285*$Z285*$AC285*参数!$D$13,0),"")</f>
        <v>43110</v>
      </c>
      <c r="G285" s="4">
        <v>1637935</v>
      </c>
      <c r="H285" s="4">
        <v>19667</v>
      </c>
      <c r="I285" s="4">
        <v>24736</v>
      </c>
      <c r="J285" s="4">
        <v>57</v>
      </c>
      <c r="K285" s="4">
        <v>57</v>
      </c>
      <c r="L285" s="4">
        <f>IFERROR(INDEX(楼层配置!$D$5:$D$104,MATCH($K285,楼层配置!$B$5:$B$104,0)),"")</f>
        <v>314</v>
      </c>
      <c r="M285" s="4" t="str">
        <f>IFERROR(INDEX(_角色基线!$B$2:$B$100,MATCH($B285,_角色基线!$A$2:$A$100,0)),"")</f>
        <v>大暑</v>
      </c>
      <c r="N285" s="4" t="str">
        <f>IFERROR(INDEX(_角色基线!$C$2:$C$100,MATCH($B285,_角色基线!$A$2:$A$100,0)),"")</f>
        <v>Tank</v>
      </c>
      <c r="O285" s="4">
        <f>IFERROR(INDEX(_怪物基线!$B$2:$B$501,MATCH(INT($L285),_怪物基线!$A$2:$A$501,0)),"")</f>
        <v>432947</v>
      </c>
      <c r="P285" s="4">
        <f>IFERROR(INDEX(_怪物基线!$C$2:$C$501,MATCH(INT($L285),_怪物基线!$A$2:$A$501,0)),"")</f>
        <v>26058</v>
      </c>
      <c r="Q285" s="4">
        <f>IFERROR(INDEX(_怪物基线!$D$2:$D$501,MATCH(INT($L285),_怪物基线!$A$2:$A$501,0)),"")</f>
        <v>28740</v>
      </c>
      <c r="R285" s="4">
        <f>参数!$B$10</f>
        <v>4</v>
      </c>
      <c r="S285" s="4">
        <f>参数!$C$10</f>
        <v>1.2</v>
      </c>
      <c r="T285" s="4">
        <f>参数!$D$10</f>
        <v>1</v>
      </c>
      <c r="U285" s="4">
        <f t="shared" si="28"/>
        <v>1731788</v>
      </c>
      <c r="V285" s="4">
        <f t="shared" si="29"/>
        <v>31269.6</v>
      </c>
      <c r="W285" s="4">
        <f t="shared" si="30"/>
        <v>28740</v>
      </c>
      <c r="X285" s="4">
        <f>IFERROR(INDEX(参数!$B$5:$B$7,MATCH($N285,参数!$A$5:$A$7,0)),"")</f>
        <v>1.5</v>
      </c>
      <c r="Y285" s="4">
        <f>IFERROR(INDEX(参数!$C$5:$C$7,MATCH($N285,参数!$A$5:$A$7,0)),"")</f>
        <v>1</v>
      </c>
      <c r="Z285" s="4">
        <f>IFERROR(INDEX(参数!$D$5:$D$7,MATCH($N285,参数!$A$5:$A$7,0)),"")</f>
        <v>1.5</v>
      </c>
      <c r="AA285" s="4">
        <f>IFERROR(INDEX(楼层配置!$E$5:$E$104,MATCH($K285,楼层配置!$B$5:$B$104,0)),1)</f>
        <v>1</v>
      </c>
      <c r="AB285" s="4">
        <f>IFERROR(INDEX(楼层配置!$F$5:$F$104,MATCH($K285,楼层配置!$B$5:$B$104,0)),1)</f>
        <v>1</v>
      </c>
      <c r="AC285" s="4">
        <f>IFERROR(INDEX(楼层配置!$G$5:$G$104,MATCH($K285,楼层配置!$B$5:$B$104,0)),1)</f>
        <v>1</v>
      </c>
      <c r="AD285" s="6">
        <f t="shared" si="31"/>
        <v>0.585949381385708</v>
      </c>
      <c r="AE285" s="6">
        <f t="shared" si="32"/>
        <v>0.589973051304215</v>
      </c>
      <c r="AF285" s="6">
        <f t="shared" si="33"/>
        <v>0.742804010349289</v>
      </c>
      <c r="AG285" s="4" t="str">
        <f t="shared" si="34"/>
        <v>有效</v>
      </c>
    </row>
    <row r="286" ht="14.25" customHeight="1" spans="1:33">
      <c r="A286" s="4">
        <v>282</v>
      </c>
      <c r="B286" s="4">
        <v>1021</v>
      </c>
      <c r="C286" s="4">
        <v>38</v>
      </c>
      <c r="D286" s="5">
        <f>IFERROR(ROUND($U286*$X286*$AA286*参数!$B$13,0),"")</f>
        <v>1731788</v>
      </c>
      <c r="E286" s="5">
        <f>IFERROR(ROUND($V286*$Y286*$AB286*参数!$C$13,0),"")</f>
        <v>37524</v>
      </c>
      <c r="F286" s="5">
        <f>IFERROR(ROUND($W286*$Z286*$AC286*参数!$D$13,0),"")</f>
        <v>28740</v>
      </c>
      <c r="G286" s="4">
        <v>1091956</v>
      </c>
      <c r="H286" s="4">
        <v>23600</v>
      </c>
      <c r="I286" s="4">
        <v>16491</v>
      </c>
      <c r="J286" s="4">
        <v>57</v>
      </c>
      <c r="K286" s="4">
        <v>57</v>
      </c>
      <c r="L286" s="4">
        <f>IFERROR(INDEX(楼层配置!$D$5:$D$104,MATCH($K286,楼层配置!$B$5:$B$104,0)),"")</f>
        <v>314</v>
      </c>
      <c r="M286" s="4" t="str">
        <f>IFERROR(INDEX(_角色基线!$B$2:$B$100,MATCH($B286,_角色基线!$A$2:$A$100,0)),"")</f>
        <v>梅梅</v>
      </c>
      <c r="N286" s="4" t="str">
        <f>IFERROR(INDEX(_角色基线!$C$2:$C$100,MATCH($B286,_角色基线!$A$2:$A$100,0)),"")</f>
        <v>DPS</v>
      </c>
      <c r="O286" s="4">
        <f>IFERROR(INDEX(_怪物基线!$B$2:$B$501,MATCH(INT($L286),_怪物基线!$A$2:$A$501,0)),"")</f>
        <v>432947</v>
      </c>
      <c r="P286" s="4">
        <f>IFERROR(INDEX(_怪物基线!$C$2:$C$501,MATCH(INT($L286),_怪物基线!$A$2:$A$501,0)),"")</f>
        <v>26058</v>
      </c>
      <c r="Q286" s="4">
        <f>IFERROR(INDEX(_怪物基线!$D$2:$D$501,MATCH(INT($L286),_怪物基线!$A$2:$A$501,0)),"")</f>
        <v>28740</v>
      </c>
      <c r="R286" s="4">
        <f>参数!$B$10</f>
        <v>4</v>
      </c>
      <c r="S286" s="4">
        <f>参数!$C$10</f>
        <v>1.2</v>
      </c>
      <c r="T286" s="4">
        <f>参数!$D$10</f>
        <v>1</v>
      </c>
      <c r="U286" s="4">
        <f t="shared" si="28"/>
        <v>1731788</v>
      </c>
      <c r="V286" s="4">
        <f t="shared" si="29"/>
        <v>31269.6</v>
      </c>
      <c r="W286" s="4">
        <f t="shared" si="30"/>
        <v>28740</v>
      </c>
      <c r="X286" s="4">
        <f>IFERROR(INDEX(参数!$B$5:$B$7,MATCH($N286,参数!$A$5:$A$7,0)),"")</f>
        <v>1</v>
      </c>
      <c r="Y286" s="4">
        <f>IFERROR(INDEX(参数!$C$5:$C$7,MATCH($N286,参数!$A$5:$A$7,0)),"")</f>
        <v>1.2</v>
      </c>
      <c r="Z286" s="4">
        <f>IFERROR(INDEX(参数!$D$5:$D$7,MATCH($N286,参数!$A$5:$A$7,0)),"")</f>
        <v>1</v>
      </c>
      <c r="AA286" s="4">
        <f>IFERROR(INDEX(楼层配置!$E$5:$E$104,MATCH($K286,楼层配置!$B$5:$B$104,0)),1)</f>
        <v>1</v>
      </c>
      <c r="AB286" s="4">
        <f>IFERROR(INDEX(楼层配置!$F$5:$F$104,MATCH($K286,楼层配置!$B$5:$B$104,0)),1)</f>
        <v>1</v>
      </c>
      <c r="AC286" s="4">
        <f>IFERROR(INDEX(楼层配置!$G$5:$G$104,MATCH($K286,楼层配置!$B$5:$B$104,0)),1)</f>
        <v>1</v>
      </c>
      <c r="AD286" s="6">
        <f t="shared" si="31"/>
        <v>0.585950349647788</v>
      </c>
      <c r="AE286" s="6">
        <f t="shared" si="32"/>
        <v>0.59</v>
      </c>
      <c r="AF286" s="6">
        <f t="shared" si="33"/>
        <v>0.74276878297253</v>
      </c>
      <c r="AG286" s="4" t="str">
        <f t="shared" si="34"/>
        <v>有效</v>
      </c>
    </row>
    <row r="287" ht="14.25" customHeight="1" spans="1:33">
      <c r="A287" s="4">
        <v>283</v>
      </c>
      <c r="B287" s="4">
        <v>1001</v>
      </c>
      <c r="C287" s="4">
        <v>38</v>
      </c>
      <c r="D287" s="5">
        <f>IFERROR(ROUND($U287*$X287*$AA287*参数!$B$13,0),"")</f>
        <v>1731788</v>
      </c>
      <c r="E287" s="5">
        <f>IFERROR(ROUND($V287*$Y287*$AB287*参数!$C$13,0),"")</f>
        <v>37524</v>
      </c>
      <c r="F287" s="5">
        <f>IFERROR(ROUND($W287*$Z287*$AC287*参数!$D$13,0),"")</f>
        <v>28740</v>
      </c>
      <c r="G287" s="4">
        <v>1091956</v>
      </c>
      <c r="H287" s="4">
        <v>23600</v>
      </c>
      <c r="I287" s="4">
        <v>16491</v>
      </c>
      <c r="J287" s="4">
        <v>57</v>
      </c>
      <c r="K287" s="4">
        <v>57</v>
      </c>
      <c r="L287" s="4">
        <f>IFERROR(INDEX(楼层配置!$D$5:$D$104,MATCH($K287,楼层配置!$B$5:$B$104,0)),"")</f>
        <v>314</v>
      </c>
      <c r="M287" s="4" t="str">
        <f>IFERROR(INDEX(_角色基线!$B$2:$B$100,MATCH($B287,_角色基线!$A$2:$A$100,0)),"")</f>
        <v>星海</v>
      </c>
      <c r="N287" s="4" t="str">
        <f>IFERROR(INDEX(_角色基线!$C$2:$C$100,MATCH($B287,_角色基线!$A$2:$A$100,0)),"")</f>
        <v>DPS</v>
      </c>
      <c r="O287" s="4">
        <f>IFERROR(INDEX(_怪物基线!$B$2:$B$501,MATCH(INT($L287),_怪物基线!$A$2:$A$501,0)),"")</f>
        <v>432947</v>
      </c>
      <c r="P287" s="4">
        <f>IFERROR(INDEX(_怪物基线!$C$2:$C$501,MATCH(INT($L287),_怪物基线!$A$2:$A$501,0)),"")</f>
        <v>26058</v>
      </c>
      <c r="Q287" s="4">
        <f>IFERROR(INDEX(_怪物基线!$D$2:$D$501,MATCH(INT($L287),_怪物基线!$A$2:$A$501,0)),"")</f>
        <v>28740</v>
      </c>
      <c r="R287" s="4">
        <f>参数!$B$10</f>
        <v>4</v>
      </c>
      <c r="S287" s="4">
        <f>参数!$C$10</f>
        <v>1.2</v>
      </c>
      <c r="T287" s="4">
        <f>参数!$D$10</f>
        <v>1</v>
      </c>
      <c r="U287" s="4">
        <f t="shared" si="28"/>
        <v>1731788</v>
      </c>
      <c r="V287" s="4">
        <f t="shared" si="29"/>
        <v>31269.6</v>
      </c>
      <c r="W287" s="4">
        <f t="shared" si="30"/>
        <v>28740</v>
      </c>
      <c r="X287" s="4">
        <f>IFERROR(INDEX(参数!$B$5:$B$7,MATCH($N287,参数!$A$5:$A$7,0)),"")</f>
        <v>1</v>
      </c>
      <c r="Y287" s="4">
        <f>IFERROR(INDEX(参数!$C$5:$C$7,MATCH($N287,参数!$A$5:$A$7,0)),"")</f>
        <v>1.2</v>
      </c>
      <c r="Z287" s="4">
        <f>IFERROR(INDEX(参数!$D$5:$D$7,MATCH($N287,参数!$A$5:$A$7,0)),"")</f>
        <v>1</v>
      </c>
      <c r="AA287" s="4">
        <f>IFERROR(INDEX(楼层配置!$E$5:$E$104,MATCH($K287,楼层配置!$B$5:$B$104,0)),1)</f>
        <v>1</v>
      </c>
      <c r="AB287" s="4">
        <f>IFERROR(INDEX(楼层配置!$F$5:$F$104,MATCH($K287,楼层配置!$B$5:$B$104,0)),1)</f>
        <v>1</v>
      </c>
      <c r="AC287" s="4">
        <f>IFERROR(INDEX(楼层配置!$G$5:$G$104,MATCH($K287,楼层配置!$B$5:$B$104,0)),1)</f>
        <v>1</v>
      </c>
      <c r="AD287" s="6">
        <f t="shared" si="31"/>
        <v>0.585950349647788</v>
      </c>
      <c r="AE287" s="6">
        <f t="shared" si="32"/>
        <v>0.59</v>
      </c>
      <c r="AF287" s="6">
        <f t="shared" si="33"/>
        <v>0.74276878297253</v>
      </c>
      <c r="AG287" s="4" t="str">
        <f t="shared" si="34"/>
        <v>有效</v>
      </c>
    </row>
    <row r="288" ht="14.25" customHeight="1" spans="1:33">
      <c r="A288" s="4">
        <v>284</v>
      </c>
      <c r="B288" s="4">
        <v>1015</v>
      </c>
      <c r="C288" s="4">
        <v>38</v>
      </c>
      <c r="D288" s="5">
        <f>IFERROR(ROUND($U288*$X288*$AA288*参数!$B$13,0),"")</f>
        <v>2164735</v>
      </c>
      <c r="E288" s="5">
        <f>IFERROR(ROUND($V288*$Y288*$AB288*参数!$C$13,0),"")</f>
        <v>31270</v>
      </c>
      <c r="F288" s="5">
        <f>IFERROR(ROUND($W288*$Z288*$AC288*参数!$D$13,0),"")</f>
        <v>35925</v>
      </c>
      <c r="G288" s="4">
        <v>1364946</v>
      </c>
      <c r="H288" s="4">
        <v>19667</v>
      </c>
      <c r="I288" s="4">
        <v>20614</v>
      </c>
      <c r="J288" s="4">
        <v>57</v>
      </c>
      <c r="K288" s="4">
        <v>57</v>
      </c>
      <c r="L288" s="4">
        <f>IFERROR(INDEX(楼层配置!$D$5:$D$104,MATCH($K288,楼层配置!$B$5:$B$104,0)),"")</f>
        <v>314</v>
      </c>
      <c r="M288" s="4" t="str">
        <f>IFERROR(INDEX(_角色基线!$B$2:$B$100,MATCH($B288,_角色基线!$A$2:$A$100,0)),"")</f>
        <v>阿莱克西娅</v>
      </c>
      <c r="N288" s="4" t="str">
        <f>IFERROR(INDEX(_角色基线!$C$2:$C$100,MATCH($B288,_角色基线!$A$2:$A$100,0)),"")</f>
        <v>Support</v>
      </c>
      <c r="O288" s="4">
        <f>IFERROR(INDEX(_怪物基线!$B$2:$B$501,MATCH(INT($L288),_怪物基线!$A$2:$A$501,0)),"")</f>
        <v>432947</v>
      </c>
      <c r="P288" s="4">
        <f>IFERROR(INDEX(_怪物基线!$C$2:$C$501,MATCH(INT($L288),_怪物基线!$A$2:$A$501,0)),"")</f>
        <v>26058</v>
      </c>
      <c r="Q288" s="4">
        <f>IFERROR(INDEX(_怪物基线!$D$2:$D$501,MATCH(INT($L288),_怪物基线!$A$2:$A$501,0)),"")</f>
        <v>28740</v>
      </c>
      <c r="R288" s="4">
        <f>参数!$B$10</f>
        <v>4</v>
      </c>
      <c r="S288" s="4">
        <f>参数!$C$10</f>
        <v>1.2</v>
      </c>
      <c r="T288" s="4">
        <f>参数!$D$10</f>
        <v>1</v>
      </c>
      <c r="U288" s="4">
        <f t="shared" si="28"/>
        <v>1731788</v>
      </c>
      <c r="V288" s="4">
        <f t="shared" si="29"/>
        <v>31269.6</v>
      </c>
      <c r="W288" s="4">
        <f t="shared" si="30"/>
        <v>28740</v>
      </c>
      <c r="X288" s="4">
        <f>IFERROR(INDEX(参数!$B$5:$B$7,MATCH($N288,参数!$A$5:$A$7,0)),"")</f>
        <v>1.25</v>
      </c>
      <c r="Y288" s="4">
        <f>IFERROR(INDEX(参数!$C$5:$C$7,MATCH($N288,参数!$A$5:$A$7,0)),"")</f>
        <v>1</v>
      </c>
      <c r="Z288" s="4">
        <f>IFERROR(INDEX(参数!$D$5:$D$7,MATCH($N288,参数!$A$5:$A$7,0)),"")</f>
        <v>1.25</v>
      </c>
      <c r="AA288" s="4">
        <f>IFERROR(INDEX(楼层配置!$E$5:$E$104,MATCH($K288,楼层配置!$B$5:$B$104,0)),1)</f>
        <v>1</v>
      </c>
      <c r="AB288" s="4">
        <f>IFERROR(INDEX(楼层配置!$F$5:$F$104,MATCH($K288,楼层配置!$B$5:$B$104,0)),1)</f>
        <v>1</v>
      </c>
      <c r="AC288" s="4">
        <f>IFERROR(INDEX(楼层配置!$G$5:$G$104,MATCH($K288,楼层配置!$B$5:$B$104,0)),1)</f>
        <v>1</v>
      </c>
      <c r="AD288" s="6">
        <f t="shared" si="31"/>
        <v>0.585949187733434</v>
      </c>
      <c r="AE288" s="6">
        <f t="shared" si="32"/>
        <v>0.589973051304215</v>
      </c>
      <c r="AF288" s="6">
        <f t="shared" si="33"/>
        <v>0.742747647230038</v>
      </c>
      <c r="AG288" s="4" t="str">
        <f t="shared" si="34"/>
        <v>有效</v>
      </c>
    </row>
    <row r="289" ht="14.25" customHeight="1" spans="1:33">
      <c r="A289" s="4">
        <v>285</v>
      </c>
      <c r="B289" s="4">
        <v>1024</v>
      </c>
      <c r="C289" s="4">
        <v>38</v>
      </c>
      <c r="D289" s="5">
        <f>IFERROR(ROUND($U289*$X289*$AA289*参数!$B$13,0),"")</f>
        <v>1731788</v>
      </c>
      <c r="E289" s="5">
        <f>IFERROR(ROUND($V289*$Y289*$AB289*参数!$C$13,0),"")</f>
        <v>37524</v>
      </c>
      <c r="F289" s="5">
        <f>IFERROR(ROUND($W289*$Z289*$AC289*参数!$D$13,0),"")</f>
        <v>28740</v>
      </c>
      <c r="G289" s="4">
        <v>1091956</v>
      </c>
      <c r="H289" s="4">
        <v>23600</v>
      </c>
      <c r="I289" s="4">
        <v>16491</v>
      </c>
      <c r="J289" s="4">
        <v>57</v>
      </c>
      <c r="K289" s="4">
        <v>57</v>
      </c>
      <c r="L289" s="4">
        <f>IFERROR(INDEX(楼层配置!$D$5:$D$104,MATCH($K289,楼层配置!$B$5:$B$104,0)),"")</f>
        <v>314</v>
      </c>
      <c r="M289" s="4" t="str">
        <f>IFERROR(INDEX(_角色基线!$B$2:$B$100,MATCH($B289,_角色基线!$A$2:$A$100,0)),"")</f>
        <v>卡薇</v>
      </c>
      <c r="N289" s="4" t="str">
        <f>IFERROR(INDEX(_角色基线!$C$2:$C$100,MATCH($B289,_角色基线!$A$2:$A$100,0)),"")</f>
        <v>DPS</v>
      </c>
      <c r="O289" s="4">
        <f>IFERROR(INDEX(_怪物基线!$B$2:$B$501,MATCH(INT($L289),_怪物基线!$A$2:$A$501,0)),"")</f>
        <v>432947</v>
      </c>
      <c r="P289" s="4">
        <f>IFERROR(INDEX(_怪物基线!$C$2:$C$501,MATCH(INT($L289),_怪物基线!$A$2:$A$501,0)),"")</f>
        <v>26058</v>
      </c>
      <c r="Q289" s="4">
        <f>IFERROR(INDEX(_怪物基线!$D$2:$D$501,MATCH(INT($L289),_怪物基线!$A$2:$A$501,0)),"")</f>
        <v>28740</v>
      </c>
      <c r="R289" s="4">
        <f>参数!$B$10</f>
        <v>4</v>
      </c>
      <c r="S289" s="4">
        <f>参数!$C$10</f>
        <v>1.2</v>
      </c>
      <c r="T289" s="4">
        <f>参数!$D$10</f>
        <v>1</v>
      </c>
      <c r="U289" s="4">
        <f t="shared" si="28"/>
        <v>1731788</v>
      </c>
      <c r="V289" s="4">
        <f t="shared" si="29"/>
        <v>31269.6</v>
      </c>
      <c r="W289" s="4">
        <f t="shared" si="30"/>
        <v>28740</v>
      </c>
      <c r="X289" s="4">
        <f>IFERROR(INDEX(参数!$B$5:$B$7,MATCH($N289,参数!$A$5:$A$7,0)),"")</f>
        <v>1</v>
      </c>
      <c r="Y289" s="4">
        <f>IFERROR(INDEX(参数!$C$5:$C$7,MATCH($N289,参数!$A$5:$A$7,0)),"")</f>
        <v>1.2</v>
      </c>
      <c r="Z289" s="4">
        <f>IFERROR(INDEX(参数!$D$5:$D$7,MATCH($N289,参数!$A$5:$A$7,0)),"")</f>
        <v>1</v>
      </c>
      <c r="AA289" s="4">
        <f>IFERROR(INDEX(楼层配置!$E$5:$E$104,MATCH($K289,楼层配置!$B$5:$B$104,0)),1)</f>
        <v>1</v>
      </c>
      <c r="AB289" s="4">
        <f>IFERROR(INDEX(楼层配置!$F$5:$F$104,MATCH($K289,楼层配置!$B$5:$B$104,0)),1)</f>
        <v>1</v>
      </c>
      <c r="AC289" s="4">
        <f>IFERROR(INDEX(楼层配置!$G$5:$G$104,MATCH($K289,楼层配置!$B$5:$B$104,0)),1)</f>
        <v>1</v>
      </c>
      <c r="AD289" s="6">
        <f t="shared" si="31"/>
        <v>0.585950349647788</v>
      </c>
      <c r="AE289" s="6">
        <f t="shared" si="32"/>
        <v>0.59</v>
      </c>
      <c r="AF289" s="6">
        <f t="shared" si="33"/>
        <v>0.74276878297253</v>
      </c>
      <c r="AG289" s="4" t="str">
        <f t="shared" si="34"/>
        <v>有效</v>
      </c>
    </row>
    <row r="290" ht="14.25" customHeight="1" spans="1:33">
      <c r="A290" s="4">
        <v>286</v>
      </c>
      <c r="B290" s="4">
        <v>1030</v>
      </c>
      <c r="C290" s="4">
        <v>39</v>
      </c>
      <c r="D290" s="5">
        <f>IFERROR(ROUND($U290*$X290*$AA290*参数!$B$13,0),"")</f>
        <v>2643150</v>
      </c>
      <c r="E290" s="5">
        <f>IFERROR(ROUND($V290*$Y290*$AB290*参数!$C$13,0),"")</f>
        <v>31682</v>
      </c>
      <c r="F290" s="5">
        <f>IFERROR(ROUND($W290*$Z290*$AC290*参数!$D$13,0),"")</f>
        <v>43493</v>
      </c>
      <c r="G290" s="4">
        <v>1706731</v>
      </c>
      <c r="H290" s="4">
        <v>20236</v>
      </c>
      <c r="I290" s="4">
        <v>25275</v>
      </c>
      <c r="J290" s="4">
        <v>58</v>
      </c>
      <c r="K290" s="4">
        <v>58</v>
      </c>
      <c r="L290" s="4">
        <f>IFERROR(INDEX(楼层配置!$D$5:$D$104,MATCH($K290,楼层配置!$B$5:$B$104,0)),"")</f>
        <v>316</v>
      </c>
      <c r="M290" s="4" t="str">
        <f>IFERROR(INDEX(_角色基线!$B$2:$B$100,MATCH($B290,_角色基线!$A$2:$A$100,0)),"")</f>
        <v>莫莉</v>
      </c>
      <c r="N290" s="4" t="str">
        <f>IFERROR(INDEX(_角色基线!$C$2:$C$100,MATCH($B290,_角色基线!$A$2:$A$100,0)),"")</f>
        <v>Tank</v>
      </c>
      <c r="O290" s="4">
        <f>IFERROR(INDEX(_怪物基线!$B$2:$B$501,MATCH(INT($L290),_怪物基线!$A$2:$A$501,0)),"")</f>
        <v>440525</v>
      </c>
      <c r="P290" s="4">
        <f>IFERROR(INDEX(_怪物基线!$C$2:$C$501,MATCH(INT($L290),_怪物基线!$A$2:$A$501,0)),"")</f>
        <v>26402</v>
      </c>
      <c r="Q290" s="4">
        <f>IFERROR(INDEX(_怪物基线!$D$2:$D$501,MATCH(INT($L290),_怪物基线!$A$2:$A$501,0)),"")</f>
        <v>28995</v>
      </c>
      <c r="R290" s="4">
        <f>参数!$B$10</f>
        <v>4</v>
      </c>
      <c r="S290" s="4">
        <f>参数!$C$10</f>
        <v>1.2</v>
      </c>
      <c r="T290" s="4">
        <f>参数!$D$10</f>
        <v>1</v>
      </c>
      <c r="U290" s="4">
        <f t="shared" si="28"/>
        <v>1762100</v>
      </c>
      <c r="V290" s="4">
        <f t="shared" si="29"/>
        <v>31682.4</v>
      </c>
      <c r="W290" s="4">
        <f t="shared" si="30"/>
        <v>28995</v>
      </c>
      <c r="X290" s="4">
        <f>IFERROR(INDEX(参数!$B$5:$B$7,MATCH($N290,参数!$A$5:$A$7,0)),"")</f>
        <v>1.5</v>
      </c>
      <c r="Y290" s="4">
        <f>IFERROR(INDEX(参数!$C$5:$C$7,MATCH($N290,参数!$A$5:$A$7,0)),"")</f>
        <v>1</v>
      </c>
      <c r="Z290" s="4">
        <f>IFERROR(INDEX(参数!$D$5:$D$7,MATCH($N290,参数!$A$5:$A$7,0)),"")</f>
        <v>1.5</v>
      </c>
      <c r="AA290" s="4">
        <f>IFERROR(INDEX(楼层配置!$E$5:$E$104,MATCH($K290,楼层配置!$B$5:$B$104,0)),1)</f>
        <v>1</v>
      </c>
      <c r="AB290" s="4">
        <f>IFERROR(INDEX(楼层配置!$F$5:$F$104,MATCH($K290,楼层配置!$B$5:$B$104,0)),1)</f>
        <v>1</v>
      </c>
      <c r="AC290" s="4">
        <f>IFERROR(INDEX(楼层配置!$G$5:$G$104,MATCH($K290,楼层配置!$B$5:$B$104,0)),1)</f>
        <v>1</v>
      </c>
      <c r="AD290" s="6">
        <f t="shared" si="31"/>
        <v>0.548662325814671</v>
      </c>
      <c r="AE290" s="6">
        <f t="shared" si="32"/>
        <v>0.56562561771101</v>
      </c>
      <c r="AF290" s="6">
        <f t="shared" si="33"/>
        <v>0.720791295746785</v>
      </c>
      <c r="AG290" s="4" t="str">
        <f t="shared" si="34"/>
        <v>有效</v>
      </c>
    </row>
    <row r="291" ht="14.25" customHeight="1" spans="1:33">
      <c r="A291" s="4">
        <v>287</v>
      </c>
      <c r="B291" s="4">
        <v>1015</v>
      </c>
      <c r="C291" s="4">
        <v>39</v>
      </c>
      <c r="D291" s="5">
        <f>IFERROR(ROUND($U291*$X291*$AA291*参数!$B$13,0),"")</f>
        <v>2202625</v>
      </c>
      <c r="E291" s="5">
        <f>IFERROR(ROUND($V291*$Y291*$AB291*参数!$C$13,0),"")</f>
        <v>31682</v>
      </c>
      <c r="F291" s="5">
        <f>IFERROR(ROUND($W291*$Z291*$AC291*参数!$D$13,0),"")</f>
        <v>36244</v>
      </c>
      <c r="G291" s="4">
        <v>1422276</v>
      </c>
      <c r="H291" s="4">
        <v>20236</v>
      </c>
      <c r="I291" s="4">
        <v>21063</v>
      </c>
      <c r="J291" s="4">
        <v>58</v>
      </c>
      <c r="K291" s="4">
        <v>58</v>
      </c>
      <c r="L291" s="4">
        <f>IFERROR(INDEX(楼层配置!$D$5:$D$104,MATCH($K291,楼层配置!$B$5:$B$104,0)),"")</f>
        <v>316</v>
      </c>
      <c r="M291" s="4" t="str">
        <f>IFERROR(INDEX(_角色基线!$B$2:$B$100,MATCH($B291,_角色基线!$A$2:$A$100,0)),"")</f>
        <v>阿莱克西娅</v>
      </c>
      <c r="N291" s="4" t="str">
        <f>IFERROR(INDEX(_角色基线!$C$2:$C$100,MATCH($B291,_角色基线!$A$2:$A$100,0)),"")</f>
        <v>Support</v>
      </c>
      <c r="O291" s="4">
        <f>IFERROR(INDEX(_怪物基线!$B$2:$B$501,MATCH(INT($L291),_怪物基线!$A$2:$A$501,0)),"")</f>
        <v>440525</v>
      </c>
      <c r="P291" s="4">
        <f>IFERROR(INDEX(_怪物基线!$C$2:$C$501,MATCH(INT($L291),_怪物基线!$A$2:$A$501,0)),"")</f>
        <v>26402</v>
      </c>
      <c r="Q291" s="4">
        <f>IFERROR(INDEX(_怪物基线!$D$2:$D$501,MATCH(INT($L291),_怪物基线!$A$2:$A$501,0)),"")</f>
        <v>28995</v>
      </c>
      <c r="R291" s="4">
        <f>参数!$B$10</f>
        <v>4</v>
      </c>
      <c r="S291" s="4">
        <f>参数!$C$10</f>
        <v>1.2</v>
      </c>
      <c r="T291" s="4">
        <f>参数!$D$10</f>
        <v>1</v>
      </c>
      <c r="U291" s="4">
        <f t="shared" si="28"/>
        <v>1762100</v>
      </c>
      <c r="V291" s="4">
        <f t="shared" si="29"/>
        <v>31682.4</v>
      </c>
      <c r="W291" s="4">
        <f t="shared" si="30"/>
        <v>28995</v>
      </c>
      <c r="X291" s="4">
        <f>IFERROR(INDEX(参数!$B$5:$B$7,MATCH($N291,参数!$A$5:$A$7,0)),"")</f>
        <v>1.25</v>
      </c>
      <c r="Y291" s="4">
        <f>IFERROR(INDEX(参数!$C$5:$C$7,MATCH($N291,参数!$A$5:$A$7,0)),"")</f>
        <v>1</v>
      </c>
      <c r="Z291" s="4">
        <f>IFERROR(INDEX(参数!$D$5:$D$7,MATCH($N291,参数!$A$5:$A$7,0)),"")</f>
        <v>1.25</v>
      </c>
      <c r="AA291" s="4">
        <f>IFERROR(INDEX(楼层配置!$E$5:$E$104,MATCH($K291,楼层配置!$B$5:$B$104,0)),1)</f>
        <v>1</v>
      </c>
      <c r="AB291" s="4">
        <f>IFERROR(INDEX(楼层配置!$F$5:$F$104,MATCH($K291,楼层配置!$B$5:$B$104,0)),1)</f>
        <v>1</v>
      </c>
      <c r="AC291" s="4">
        <f>IFERROR(INDEX(楼层配置!$G$5:$G$104,MATCH($K291,楼层配置!$B$5:$B$104,0)),1)</f>
        <v>1</v>
      </c>
      <c r="AD291" s="6">
        <f t="shared" si="31"/>
        <v>0.548662144337667</v>
      </c>
      <c r="AE291" s="6">
        <f t="shared" si="32"/>
        <v>0.56562561771101</v>
      </c>
      <c r="AF291" s="6">
        <f t="shared" si="33"/>
        <v>0.720742534301856</v>
      </c>
      <c r="AG291" s="4" t="str">
        <f t="shared" si="34"/>
        <v>有效</v>
      </c>
    </row>
    <row r="292" ht="14.25" customHeight="1" spans="1:33">
      <c r="A292" s="4">
        <v>288</v>
      </c>
      <c r="B292" s="4">
        <v>1021</v>
      </c>
      <c r="C292" s="4">
        <v>39</v>
      </c>
      <c r="D292" s="5">
        <f>IFERROR(ROUND($U292*$X292*$AA292*参数!$B$13,0),"")</f>
        <v>1762100</v>
      </c>
      <c r="E292" s="5">
        <f>IFERROR(ROUND($V292*$Y292*$AB292*参数!$C$13,0),"")</f>
        <v>38019</v>
      </c>
      <c r="F292" s="5">
        <f>IFERROR(ROUND($W292*$Z292*$AC292*参数!$D$13,0),"")</f>
        <v>28995</v>
      </c>
      <c r="G292" s="4">
        <v>1137820</v>
      </c>
      <c r="H292" s="4">
        <v>24283</v>
      </c>
      <c r="I292" s="4">
        <v>16850</v>
      </c>
      <c r="J292" s="4">
        <v>58</v>
      </c>
      <c r="K292" s="4">
        <v>58</v>
      </c>
      <c r="L292" s="4">
        <f>IFERROR(INDEX(楼层配置!$D$5:$D$104,MATCH($K292,楼层配置!$B$5:$B$104,0)),"")</f>
        <v>316</v>
      </c>
      <c r="M292" s="4" t="str">
        <f>IFERROR(INDEX(_角色基线!$B$2:$B$100,MATCH($B292,_角色基线!$A$2:$A$100,0)),"")</f>
        <v>梅梅</v>
      </c>
      <c r="N292" s="4" t="str">
        <f>IFERROR(INDEX(_角色基线!$C$2:$C$100,MATCH($B292,_角色基线!$A$2:$A$100,0)),"")</f>
        <v>DPS</v>
      </c>
      <c r="O292" s="4">
        <f>IFERROR(INDEX(_怪物基线!$B$2:$B$501,MATCH(INT($L292),_怪物基线!$A$2:$A$501,0)),"")</f>
        <v>440525</v>
      </c>
      <c r="P292" s="4">
        <f>IFERROR(INDEX(_怪物基线!$C$2:$C$501,MATCH(INT($L292),_怪物基线!$A$2:$A$501,0)),"")</f>
        <v>26402</v>
      </c>
      <c r="Q292" s="4">
        <f>IFERROR(INDEX(_怪物基线!$D$2:$D$501,MATCH(INT($L292),_怪物基线!$A$2:$A$501,0)),"")</f>
        <v>28995</v>
      </c>
      <c r="R292" s="4">
        <f>参数!$B$10</f>
        <v>4</v>
      </c>
      <c r="S292" s="4">
        <f>参数!$C$10</f>
        <v>1.2</v>
      </c>
      <c r="T292" s="4">
        <f>参数!$D$10</f>
        <v>1</v>
      </c>
      <c r="U292" s="4">
        <f t="shared" si="28"/>
        <v>1762100</v>
      </c>
      <c r="V292" s="4">
        <f t="shared" si="29"/>
        <v>31682.4</v>
      </c>
      <c r="W292" s="4">
        <f t="shared" si="30"/>
        <v>28995</v>
      </c>
      <c r="X292" s="4">
        <f>IFERROR(INDEX(参数!$B$5:$B$7,MATCH($N292,参数!$A$5:$A$7,0)),"")</f>
        <v>1</v>
      </c>
      <c r="Y292" s="4">
        <f>IFERROR(INDEX(参数!$C$5:$C$7,MATCH($N292,参数!$A$5:$A$7,0)),"")</f>
        <v>1.2</v>
      </c>
      <c r="Z292" s="4">
        <f>IFERROR(INDEX(参数!$D$5:$D$7,MATCH($N292,参数!$A$5:$A$7,0)),"")</f>
        <v>1</v>
      </c>
      <c r="AA292" s="4">
        <f>IFERROR(INDEX(楼层配置!$E$5:$E$104,MATCH($K292,楼层配置!$B$5:$B$104,0)),1)</f>
        <v>1</v>
      </c>
      <c r="AB292" s="4">
        <f>IFERROR(INDEX(楼层配置!$F$5:$F$104,MATCH($K292,楼层配置!$B$5:$B$104,0)),1)</f>
        <v>1</v>
      </c>
      <c r="AC292" s="4">
        <f>IFERROR(INDEX(楼层配置!$G$5:$G$104,MATCH($K292,楼层配置!$B$5:$B$104,0)),1)</f>
        <v>1</v>
      </c>
      <c r="AD292" s="6">
        <f t="shared" si="31"/>
        <v>0.548663233200331</v>
      </c>
      <c r="AE292" s="6">
        <f t="shared" si="32"/>
        <v>0.565663221183544</v>
      </c>
      <c r="AF292" s="6">
        <f t="shared" si="33"/>
        <v>0.720771513353116</v>
      </c>
      <c r="AG292" s="4" t="str">
        <f t="shared" si="34"/>
        <v>有效</v>
      </c>
    </row>
    <row r="293" ht="14.25" customHeight="1" spans="1:33">
      <c r="A293" s="4">
        <v>289</v>
      </c>
      <c r="B293" s="4">
        <v>1021</v>
      </c>
      <c r="C293" s="4">
        <v>39</v>
      </c>
      <c r="D293" s="5">
        <f>IFERROR(ROUND($U293*$X293*$AA293*参数!$B$13,0),"")</f>
        <v>1762100</v>
      </c>
      <c r="E293" s="5">
        <f>IFERROR(ROUND($V293*$Y293*$AB293*参数!$C$13,0),"")</f>
        <v>38019</v>
      </c>
      <c r="F293" s="5">
        <f>IFERROR(ROUND($W293*$Z293*$AC293*参数!$D$13,0),"")</f>
        <v>28995</v>
      </c>
      <c r="G293" s="4">
        <v>1137820</v>
      </c>
      <c r="H293" s="4">
        <v>24283</v>
      </c>
      <c r="I293" s="4">
        <v>16850</v>
      </c>
      <c r="J293" s="4">
        <v>58</v>
      </c>
      <c r="K293" s="4">
        <v>58</v>
      </c>
      <c r="L293" s="4">
        <f>IFERROR(INDEX(楼层配置!$D$5:$D$104,MATCH($K293,楼层配置!$B$5:$B$104,0)),"")</f>
        <v>316</v>
      </c>
      <c r="M293" s="4" t="str">
        <f>IFERROR(INDEX(_角色基线!$B$2:$B$100,MATCH($B293,_角色基线!$A$2:$A$100,0)),"")</f>
        <v>梅梅</v>
      </c>
      <c r="N293" s="4" t="str">
        <f>IFERROR(INDEX(_角色基线!$C$2:$C$100,MATCH($B293,_角色基线!$A$2:$A$100,0)),"")</f>
        <v>DPS</v>
      </c>
      <c r="O293" s="4">
        <f>IFERROR(INDEX(_怪物基线!$B$2:$B$501,MATCH(INT($L293),_怪物基线!$A$2:$A$501,0)),"")</f>
        <v>440525</v>
      </c>
      <c r="P293" s="4">
        <f>IFERROR(INDEX(_怪物基线!$C$2:$C$501,MATCH(INT($L293),_怪物基线!$A$2:$A$501,0)),"")</f>
        <v>26402</v>
      </c>
      <c r="Q293" s="4">
        <f>IFERROR(INDEX(_怪物基线!$D$2:$D$501,MATCH(INT($L293),_怪物基线!$A$2:$A$501,0)),"")</f>
        <v>28995</v>
      </c>
      <c r="R293" s="4">
        <f>参数!$B$10</f>
        <v>4</v>
      </c>
      <c r="S293" s="4">
        <f>参数!$C$10</f>
        <v>1.2</v>
      </c>
      <c r="T293" s="4">
        <f>参数!$D$10</f>
        <v>1</v>
      </c>
      <c r="U293" s="4">
        <f t="shared" si="28"/>
        <v>1762100</v>
      </c>
      <c r="V293" s="4">
        <f t="shared" si="29"/>
        <v>31682.4</v>
      </c>
      <c r="W293" s="4">
        <f t="shared" si="30"/>
        <v>28995</v>
      </c>
      <c r="X293" s="4">
        <f>IFERROR(INDEX(参数!$B$5:$B$7,MATCH($N293,参数!$A$5:$A$7,0)),"")</f>
        <v>1</v>
      </c>
      <c r="Y293" s="4">
        <f>IFERROR(INDEX(参数!$C$5:$C$7,MATCH($N293,参数!$A$5:$A$7,0)),"")</f>
        <v>1.2</v>
      </c>
      <c r="Z293" s="4">
        <f>IFERROR(INDEX(参数!$D$5:$D$7,MATCH($N293,参数!$A$5:$A$7,0)),"")</f>
        <v>1</v>
      </c>
      <c r="AA293" s="4">
        <f>IFERROR(INDEX(楼层配置!$E$5:$E$104,MATCH($K293,楼层配置!$B$5:$B$104,0)),1)</f>
        <v>1</v>
      </c>
      <c r="AB293" s="4">
        <f>IFERROR(INDEX(楼层配置!$F$5:$F$104,MATCH($K293,楼层配置!$B$5:$B$104,0)),1)</f>
        <v>1</v>
      </c>
      <c r="AC293" s="4">
        <f>IFERROR(INDEX(楼层配置!$G$5:$G$104,MATCH($K293,楼层配置!$B$5:$B$104,0)),1)</f>
        <v>1</v>
      </c>
      <c r="AD293" s="6">
        <f t="shared" si="31"/>
        <v>0.548663233200331</v>
      </c>
      <c r="AE293" s="6">
        <f t="shared" si="32"/>
        <v>0.565663221183544</v>
      </c>
      <c r="AF293" s="6">
        <f t="shared" si="33"/>
        <v>0.720771513353116</v>
      </c>
      <c r="AG293" s="4" t="str">
        <f t="shared" si="34"/>
        <v>有效</v>
      </c>
    </row>
    <row r="294" ht="14.25" customHeight="1" spans="1:33">
      <c r="A294" s="4">
        <v>290</v>
      </c>
      <c r="B294" s="4">
        <v>1001</v>
      </c>
      <c r="C294" s="4">
        <v>39</v>
      </c>
      <c r="D294" s="5">
        <f>IFERROR(ROUND($U294*$X294*$AA294*参数!$B$13,0),"")</f>
        <v>1762100</v>
      </c>
      <c r="E294" s="5">
        <f>IFERROR(ROUND($V294*$Y294*$AB294*参数!$C$13,0),"")</f>
        <v>38019</v>
      </c>
      <c r="F294" s="5">
        <f>IFERROR(ROUND($W294*$Z294*$AC294*参数!$D$13,0),"")</f>
        <v>28995</v>
      </c>
      <c r="G294" s="4">
        <v>1137820</v>
      </c>
      <c r="H294" s="4">
        <v>24283</v>
      </c>
      <c r="I294" s="4">
        <v>16850</v>
      </c>
      <c r="J294" s="4">
        <v>58</v>
      </c>
      <c r="K294" s="4">
        <v>58</v>
      </c>
      <c r="L294" s="4">
        <f>IFERROR(INDEX(楼层配置!$D$5:$D$104,MATCH($K294,楼层配置!$B$5:$B$104,0)),"")</f>
        <v>316</v>
      </c>
      <c r="M294" s="4" t="str">
        <f>IFERROR(INDEX(_角色基线!$B$2:$B$100,MATCH($B294,_角色基线!$A$2:$A$100,0)),"")</f>
        <v>星海</v>
      </c>
      <c r="N294" s="4" t="str">
        <f>IFERROR(INDEX(_角色基线!$C$2:$C$100,MATCH($B294,_角色基线!$A$2:$A$100,0)),"")</f>
        <v>DPS</v>
      </c>
      <c r="O294" s="4">
        <f>IFERROR(INDEX(_怪物基线!$B$2:$B$501,MATCH(INT($L294),_怪物基线!$A$2:$A$501,0)),"")</f>
        <v>440525</v>
      </c>
      <c r="P294" s="4">
        <f>IFERROR(INDEX(_怪物基线!$C$2:$C$501,MATCH(INT($L294),_怪物基线!$A$2:$A$501,0)),"")</f>
        <v>26402</v>
      </c>
      <c r="Q294" s="4">
        <f>IFERROR(INDEX(_怪物基线!$D$2:$D$501,MATCH(INT($L294),_怪物基线!$A$2:$A$501,0)),"")</f>
        <v>28995</v>
      </c>
      <c r="R294" s="4">
        <f>参数!$B$10</f>
        <v>4</v>
      </c>
      <c r="S294" s="4">
        <f>参数!$C$10</f>
        <v>1.2</v>
      </c>
      <c r="T294" s="4">
        <f>参数!$D$10</f>
        <v>1</v>
      </c>
      <c r="U294" s="4">
        <f t="shared" si="28"/>
        <v>1762100</v>
      </c>
      <c r="V294" s="4">
        <f t="shared" si="29"/>
        <v>31682.4</v>
      </c>
      <c r="W294" s="4">
        <f t="shared" si="30"/>
        <v>28995</v>
      </c>
      <c r="X294" s="4">
        <f>IFERROR(INDEX(参数!$B$5:$B$7,MATCH($N294,参数!$A$5:$A$7,0)),"")</f>
        <v>1</v>
      </c>
      <c r="Y294" s="4">
        <f>IFERROR(INDEX(参数!$C$5:$C$7,MATCH($N294,参数!$A$5:$A$7,0)),"")</f>
        <v>1.2</v>
      </c>
      <c r="Z294" s="4">
        <f>IFERROR(INDEX(参数!$D$5:$D$7,MATCH($N294,参数!$A$5:$A$7,0)),"")</f>
        <v>1</v>
      </c>
      <c r="AA294" s="4">
        <f>IFERROR(INDEX(楼层配置!$E$5:$E$104,MATCH($K294,楼层配置!$B$5:$B$104,0)),1)</f>
        <v>1</v>
      </c>
      <c r="AB294" s="4">
        <f>IFERROR(INDEX(楼层配置!$F$5:$F$104,MATCH($K294,楼层配置!$B$5:$B$104,0)),1)</f>
        <v>1</v>
      </c>
      <c r="AC294" s="4">
        <f>IFERROR(INDEX(楼层配置!$G$5:$G$104,MATCH($K294,楼层配置!$B$5:$B$104,0)),1)</f>
        <v>1</v>
      </c>
      <c r="AD294" s="6">
        <f t="shared" si="31"/>
        <v>0.548663233200331</v>
      </c>
      <c r="AE294" s="6">
        <f t="shared" si="32"/>
        <v>0.565663221183544</v>
      </c>
      <c r="AF294" s="6">
        <f t="shared" si="33"/>
        <v>0.720771513353116</v>
      </c>
      <c r="AG294" s="4" t="str">
        <f t="shared" si="34"/>
        <v>有效</v>
      </c>
    </row>
    <row r="295" ht="14.25" customHeight="1" spans="1:33">
      <c r="A295" s="4">
        <v>291</v>
      </c>
      <c r="B295" s="4">
        <v>1030</v>
      </c>
      <c r="C295" s="4">
        <v>39</v>
      </c>
      <c r="D295" s="5">
        <f>IFERROR(ROUND($U295*$X295*$AA295*参数!$B$13,0),"")</f>
        <v>2689206</v>
      </c>
      <c r="E295" s="5">
        <f>IFERROR(ROUND($V295*$Y295*$AB295*参数!$C$13,0),"")</f>
        <v>32100</v>
      </c>
      <c r="F295" s="5">
        <f>IFERROR(ROUND($W295*$Z295*$AC295*参数!$D$13,0),"")</f>
        <v>43877</v>
      </c>
      <c r="G295" s="4">
        <v>1777586</v>
      </c>
      <c r="H295" s="4">
        <v>20816</v>
      </c>
      <c r="I295" s="4">
        <v>25818</v>
      </c>
      <c r="J295" s="4">
        <v>59</v>
      </c>
      <c r="K295" s="4">
        <v>59</v>
      </c>
      <c r="L295" s="4">
        <f>IFERROR(INDEX(楼层配置!$D$5:$D$104,MATCH($K295,楼层配置!$B$5:$B$104,0)),"")</f>
        <v>318</v>
      </c>
      <c r="M295" s="4" t="str">
        <f>IFERROR(INDEX(_角色基线!$B$2:$B$100,MATCH($B295,_角色基线!$A$2:$A$100,0)),"")</f>
        <v>莫莉</v>
      </c>
      <c r="N295" s="4" t="str">
        <f>IFERROR(INDEX(_角色基线!$C$2:$C$100,MATCH($B295,_角色基线!$A$2:$A$100,0)),"")</f>
        <v>Tank</v>
      </c>
      <c r="O295" s="4">
        <f>IFERROR(INDEX(_怪物基线!$B$2:$B$501,MATCH(INT($L295),_怪物基线!$A$2:$A$501,0)),"")</f>
        <v>448201</v>
      </c>
      <c r="P295" s="4">
        <f>IFERROR(INDEX(_怪物基线!$C$2:$C$501,MATCH(INT($L295),_怪物基线!$A$2:$A$501,0)),"")</f>
        <v>26750</v>
      </c>
      <c r="Q295" s="4">
        <f>IFERROR(INDEX(_怪物基线!$D$2:$D$501,MATCH(INT($L295),_怪物基线!$A$2:$A$501,0)),"")</f>
        <v>29251</v>
      </c>
      <c r="R295" s="4">
        <f>参数!$B$10</f>
        <v>4</v>
      </c>
      <c r="S295" s="4">
        <f>参数!$C$10</f>
        <v>1.2</v>
      </c>
      <c r="T295" s="4">
        <f>参数!$D$10</f>
        <v>1</v>
      </c>
      <c r="U295" s="4">
        <f t="shared" si="28"/>
        <v>1792804</v>
      </c>
      <c r="V295" s="4">
        <f t="shared" si="29"/>
        <v>32100</v>
      </c>
      <c r="W295" s="4">
        <f t="shared" si="30"/>
        <v>29251</v>
      </c>
      <c r="X295" s="4">
        <f>IFERROR(INDEX(参数!$B$5:$B$7,MATCH($N295,参数!$A$5:$A$7,0)),"")</f>
        <v>1.5</v>
      </c>
      <c r="Y295" s="4">
        <f>IFERROR(INDEX(参数!$C$5:$C$7,MATCH($N295,参数!$A$5:$A$7,0)),"")</f>
        <v>1</v>
      </c>
      <c r="Z295" s="4">
        <f>IFERROR(INDEX(参数!$D$5:$D$7,MATCH($N295,参数!$A$5:$A$7,0)),"")</f>
        <v>1.5</v>
      </c>
      <c r="AA295" s="4">
        <f>IFERROR(INDEX(楼层配置!$E$5:$E$104,MATCH($K295,楼层配置!$B$5:$B$104,0)),1)</f>
        <v>1</v>
      </c>
      <c r="AB295" s="4">
        <f>IFERROR(INDEX(楼层配置!$F$5:$F$104,MATCH($K295,楼层配置!$B$5:$B$104,0)),1)</f>
        <v>1</v>
      </c>
      <c r="AC295" s="4">
        <f>IFERROR(INDEX(楼层配置!$G$5:$G$104,MATCH($K295,楼层配置!$B$5:$B$104,0)),1)</f>
        <v>1</v>
      </c>
      <c r="AD295" s="6">
        <f t="shared" si="31"/>
        <v>0.512841572784664</v>
      </c>
      <c r="AE295" s="6">
        <f t="shared" si="32"/>
        <v>0.542083013066872</v>
      </c>
      <c r="AF295" s="6">
        <f t="shared" si="33"/>
        <v>0.699473235727012</v>
      </c>
      <c r="AG295" s="4" t="str">
        <f t="shared" si="34"/>
        <v>有效</v>
      </c>
    </row>
    <row r="296" ht="14.25" customHeight="1" spans="1:33">
      <c r="A296" s="4">
        <v>292</v>
      </c>
      <c r="B296" s="4">
        <v>1005</v>
      </c>
      <c r="C296" s="4">
        <v>39</v>
      </c>
      <c r="D296" s="5">
        <f>IFERROR(ROUND($U296*$X296*$AA296*参数!$B$13,0),"")</f>
        <v>1792804</v>
      </c>
      <c r="E296" s="5">
        <f>IFERROR(ROUND($V296*$Y296*$AB296*参数!$C$13,0),"")</f>
        <v>38520</v>
      </c>
      <c r="F296" s="5">
        <f>IFERROR(ROUND($W296*$Z296*$AC296*参数!$D$13,0),"")</f>
        <v>29251</v>
      </c>
      <c r="G296" s="4">
        <v>1185057</v>
      </c>
      <c r="H296" s="4">
        <v>24979</v>
      </c>
      <c r="I296" s="4">
        <v>17212</v>
      </c>
      <c r="J296" s="4">
        <v>59</v>
      </c>
      <c r="K296" s="4">
        <v>59</v>
      </c>
      <c r="L296" s="4">
        <f>IFERROR(INDEX(楼层配置!$D$5:$D$104,MATCH($K296,楼层配置!$B$5:$B$104,0)),"")</f>
        <v>318</v>
      </c>
      <c r="M296" s="4" t="str">
        <f>IFERROR(INDEX(_角色基线!$B$2:$B$100,MATCH($B296,_角色基线!$A$2:$A$100,0)),"")</f>
        <v>陈单单</v>
      </c>
      <c r="N296" s="4" t="str">
        <f>IFERROR(INDEX(_角色基线!$C$2:$C$100,MATCH($B296,_角色基线!$A$2:$A$100,0)),"")</f>
        <v>DPS</v>
      </c>
      <c r="O296" s="4">
        <f>IFERROR(INDEX(_怪物基线!$B$2:$B$501,MATCH(INT($L296),_怪物基线!$A$2:$A$501,0)),"")</f>
        <v>448201</v>
      </c>
      <c r="P296" s="4">
        <f>IFERROR(INDEX(_怪物基线!$C$2:$C$501,MATCH(INT($L296),_怪物基线!$A$2:$A$501,0)),"")</f>
        <v>26750</v>
      </c>
      <c r="Q296" s="4">
        <f>IFERROR(INDEX(_怪物基线!$D$2:$D$501,MATCH(INT($L296),_怪物基线!$A$2:$A$501,0)),"")</f>
        <v>29251</v>
      </c>
      <c r="R296" s="4">
        <f>参数!$B$10</f>
        <v>4</v>
      </c>
      <c r="S296" s="4">
        <f>参数!$C$10</f>
        <v>1.2</v>
      </c>
      <c r="T296" s="4">
        <f>参数!$D$10</f>
        <v>1</v>
      </c>
      <c r="U296" s="4">
        <f t="shared" si="28"/>
        <v>1792804</v>
      </c>
      <c r="V296" s="4">
        <f t="shared" si="29"/>
        <v>32100</v>
      </c>
      <c r="W296" s="4">
        <f t="shared" si="30"/>
        <v>29251</v>
      </c>
      <c r="X296" s="4">
        <f>IFERROR(INDEX(参数!$B$5:$B$7,MATCH($N296,参数!$A$5:$A$7,0)),"")</f>
        <v>1</v>
      </c>
      <c r="Y296" s="4">
        <f>IFERROR(INDEX(参数!$C$5:$C$7,MATCH($N296,参数!$A$5:$A$7,0)),"")</f>
        <v>1.2</v>
      </c>
      <c r="Z296" s="4">
        <f>IFERROR(INDEX(参数!$D$5:$D$7,MATCH($N296,参数!$A$5:$A$7,0)),"")</f>
        <v>1</v>
      </c>
      <c r="AA296" s="4">
        <f>IFERROR(INDEX(楼层配置!$E$5:$E$104,MATCH($K296,楼层配置!$B$5:$B$104,0)),1)</f>
        <v>1</v>
      </c>
      <c r="AB296" s="4">
        <f>IFERROR(INDEX(楼层配置!$F$5:$F$104,MATCH($K296,楼层配置!$B$5:$B$104,0)),1)</f>
        <v>1</v>
      </c>
      <c r="AC296" s="4">
        <f>IFERROR(INDEX(楼层配置!$G$5:$G$104,MATCH($K296,楼层配置!$B$5:$B$104,0)),1)</f>
        <v>1</v>
      </c>
      <c r="AD296" s="6">
        <f t="shared" si="31"/>
        <v>0.51284199831738</v>
      </c>
      <c r="AE296" s="6">
        <f t="shared" si="32"/>
        <v>0.542095360102486</v>
      </c>
      <c r="AF296" s="6">
        <f t="shared" si="33"/>
        <v>0.699453869393446</v>
      </c>
      <c r="AG296" s="4" t="str">
        <f t="shared" si="34"/>
        <v>有效</v>
      </c>
    </row>
    <row r="297" ht="14.25" customHeight="1" spans="1:33">
      <c r="A297" s="4">
        <v>293</v>
      </c>
      <c r="B297" s="4">
        <v>1005</v>
      </c>
      <c r="C297" s="4">
        <v>39</v>
      </c>
      <c r="D297" s="5">
        <f>IFERROR(ROUND($U297*$X297*$AA297*参数!$B$13,0),"")</f>
        <v>1792804</v>
      </c>
      <c r="E297" s="5">
        <f>IFERROR(ROUND($V297*$Y297*$AB297*参数!$C$13,0),"")</f>
        <v>38520</v>
      </c>
      <c r="F297" s="5">
        <f>IFERROR(ROUND($W297*$Z297*$AC297*参数!$D$13,0),"")</f>
        <v>29251</v>
      </c>
      <c r="G297" s="4">
        <v>1185057</v>
      </c>
      <c r="H297" s="4">
        <v>24979</v>
      </c>
      <c r="I297" s="4">
        <v>17212</v>
      </c>
      <c r="J297" s="4">
        <v>59</v>
      </c>
      <c r="K297" s="4">
        <v>59</v>
      </c>
      <c r="L297" s="4">
        <f>IFERROR(INDEX(楼层配置!$D$5:$D$104,MATCH($K297,楼层配置!$B$5:$B$104,0)),"")</f>
        <v>318</v>
      </c>
      <c r="M297" s="4" t="str">
        <f>IFERROR(INDEX(_角色基线!$B$2:$B$100,MATCH($B297,_角色基线!$A$2:$A$100,0)),"")</f>
        <v>陈单单</v>
      </c>
      <c r="N297" s="4" t="str">
        <f>IFERROR(INDEX(_角色基线!$C$2:$C$100,MATCH($B297,_角色基线!$A$2:$A$100,0)),"")</f>
        <v>DPS</v>
      </c>
      <c r="O297" s="4">
        <f>IFERROR(INDEX(_怪物基线!$B$2:$B$501,MATCH(INT($L297),_怪物基线!$A$2:$A$501,0)),"")</f>
        <v>448201</v>
      </c>
      <c r="P297" s="4">
        <f>IFERROR(INDEX(_怪物基线!$C$2:$C$501,MATCH(INT($L297),_怪物基线!$A$2:$A$501,0)),"")</f>
        <v>26750</v>
      </c>
      <c r="Q297" s="4">
        <f>IFERROR(INDEX(_怪物基线!$D$2:$D$501,MATCH(INT($L297),_怪物基线!$A$2:$A$501,0)),"")</f>
        <v>29251</v>
      </c>
      <c r="R297" s="4">
        <f>参数!$B$10</f>
        <v>4</v>
      </c>
      <c r="S297" s="4">
        <f>参数!$C$10</f>
        <v>1.2</v>
      </c>
      <c r="T297" s="4">
        <f>参数!$D$10</f>
        <v>1</v>
      </c>
      <c r="U297" s="4">
        <f t="shared" si="28"/>
        <v>1792804</v>
      </c>
      <c r="V297" s="4">
        <f t="shared" si="29"/>
        <v>32100</v>
      </c>
      <c r="W297" s="4">
        <f t="shared" si="30"/>
        <v>29251</v>
      </c>
      <c r="X297" s="4">
        <f>IFERROR(INDEX(参数!$B$5:$B$7,MATCH($N297,参数!$A$5:$A$7,0)),"")</f>
        <v>1</v>
      </c>
      <c r="Y297" s="4">
        <f>IFERROR(INDEX(参数!$C$5:$C$7,MATCH($N297,参数!$A$5:$A$7,0)),"")</f>
        <v>1.2</v>
      </c>
      <c r="Z297" s="4">
        <f>IFERROR(INDEX(参数!$D$5:$D$7,MATCH($N297,参数!$A$5:$A$7,0)),"")</f>
        <v>1</v>
      </c>
      <c r="AA297" s="4">
        <f>IFERROR(INDEX(楼层配置!$E$5:$E$104,MATCH($K297,楼层配置!$B$5:$B$104,0)),1)</f>
        <v>1</v>
      </c>
      <c r="AB297" s="4">
        <f>IFERROR(INDEX(楼层配置!$F$5:$F$104,MATCH($K297,楼层配置!$B$5:$B$104,0)),1)</f>
        <v>1</v>
      </c>
      <c r="AC297" s="4">
        <f>IFERROR(INDEX(楼层配置!$G$5:$G$104,MATCH($K297,楼层配置!$B$5:$B$104,0)),1)</f>
        <v>1</v>
      </c>
      <c r="AD297" s="6">
        <f t="shared" si="31"/>
        <v>0.51284199831738</v>
      </c>
      <c r="AE297" s="6">
        <f t="shared" si="32"/>
        <v>0.542095360102486</v>
      </c>
      <c r="AF297" s="6">
        <f t="shared" si="33"/>
        <v>0.699453869393446</v>
      </c>
      <c r="AG297" s="4" t="str">
        <f t="shared" si="34"/>
        <v>有效</v>
      </c>
    </row>
    <row r="298" ht="14.25" customHeight="1" spans="1:33">
      <c r="A298" s="4">
        <v>294</v>
      </c>
      <c r="B298" s="4">
        <v>1018</v>
      </c>
      <c r="C298" s="4">
        <v>39</v>
      </c>
      <c r="D298" s="5">
        <f>IFERROR(ROUND($U298*$X298*$AA298*参数!$B$13,0),"")</f>
        <v>2241005</v>
      </c>
      <c r="E298" s="5">
        <f>IFERROR(ROUND($V298*$Y298*$AB298*参数!$C$13,0),"")</f>
        <v>32100</v>
      </c>
      <c r="F298" s="5">
        <f>IFERROR(ROUND($W298*$Z298*$AC298*参数!$D$13,0),"")</f>
        <v>36564</v>
      </c>
      <c r="G298" s="4">
        <v>1481322</v>
      </c>
      <c r="H298" s="4">
        <v>20816</v>
      </c>
      <c r="I298" s="4">
        <v>21515</v>
      </c>
      <c r="J298" s="4">
        <v>59</v>
      </c>
      <c r="K298" s="4">
        <v>59</v>
      </c>
      <c r="L298" s="4">
        <f>IFERROR(INDEX(楼层配置!$D$5:$D$104,MATCH($K298,楼层配置!$B$5:$B$104,0)),"")</f>
        <v>318</v>
      </c>
      <c r="M298" s="4" t="str">
        <f>IFERROR(INDEX(_角色基线!$B$2:$B$100,MATCH($B298,_角色基线!$A$2:$A$100,0)),"")</f>
        <v>埃莉诺</v>
      </c>
      <c r="N298" s="4" t="str">
        <f>IFERROR(INDEX(_角色基线!$C$2:$C$100,MATCH($B298,_角色基线!$A$2:$A$100,0)),"")</f>
        <v>Support</v>
      </c>
      <c r="O298" s="4">
        <f>IFERROR(INDEX(_怪物基线!$B$2:$B$501,MATCH(INT($L298),_怪物基线!$A$2:$A$501,0)),"")</f>
        <v>448201</v>
      </c>
      <c r="P298" s="4">
        <f>IFERROR(INDEX(_怪物基线!$C$2:$C$501,MATCH(INT($L298),_怪物基线!$A$2:$A$501,0)),"")</f>
        <v>26750</v>
      </c>
      <c r="Q298" s="4">
        <f>IFERROR(INDEX(_怪物基线!$D$2:$D$501,MATCH(INT($L298),_怪物基线!$A$2:$A$501,0)),"")</f>
        <v>29251</v>
      </c>
      <c r="R298" s="4">
        <f>参数!$B$10</f>
        <v>4</v>
      </c>
      <c r="S298" s="4">
        <f>参数!$C$10</f>
        <v>1.2</v>
      </c>
      <c r="T298" s="4">
        <f>参数!$D$10</f>
        <v>1</v>
      </c>
      <c r="U298" s="4">
        <f t="shared" si="28"/>
        <v>1792804</v>
      </c>
      <c r="V298" s="4">
        <f t="shared" si="29"/>
        <v>32100</v>
      </c>
      <c r="W298" s="4">
        <f t="shared" si="30"/>
        <v>29251</v>
      </c>
      <c r="X298" s="4">
        <f>IFERROR(INDEX(参数!$B$5:$B$7,MATCH($N298,参数!$A$5:$A$7,0)),"")</f>
        <v>1.25</v>
      </c>
      <c r="Y298" s="4">
        <f>IFERROR(INDEX(参数!$C$5:$C$7,MATCH($N298,参数!$A$5:$A$7,0)),"")</f>
        <v>1</v>
      </c>
      <c r="Z298" s="4">
        <f>IFERROR(INDEX(参数!$D$5:$D$7,MATCH($N298,参数!$A$5:$A$7,0)),"")</f>
        <v>1.25</v>
      </c>
      <c r="AA298" s="4">
        <f>IFERROR(INDEX(楼层配置!$E$5:$E$104,MATCH($K298,楼层配置!$B$5:$B$104,0)),1)</f>
        <v>1</v>
      </c>
      <c r="AB298" s="4">
        <f>IFERROR(INDEX(楼层配置!$F$5:$F$104,MATCH($K298,楼层配置!$B$5:$B$104,0)),1)</f>
        <v>1</v>
      </c>
      <c r="AC298" s="4">
        <f>IFERROR(INDEX(楼层配置!$G$5:$G$104,MATCH($K298,楼层配置!$B$5:$B$104,0)),1)</f>
        <v>1</v>
      </c>
      <c r="AD298" s="6">
        <f t="shared" si="31"/>
        <v>0.512841232358663</v>
      </c>
      <c r="AE298" s="6">
        <f t="shared" si="32"/>
        <v>0.542083013066872</v>
      </c>
      <c r="AF298" s="6">
        <f t="shared" si="33"/>
        <v>0.699465489193586</v>
      </c>
      <c r="AG298" s="4" t="str">
        <f t="shared" si="34"/>
        <v>有效</v>
      </c>
    </row>
    <row r="299" ht="14.25" customHeight="1" spans="1:33">
      <c r="A299" s="4">
        <v>295</v>
      </c>
      <c r="B299" s="4">
        <v>1007</v>
      </c>
      <c r="C299" s="4">
        <v>39</v>
      </c>
      <c r="D299" s="5">
        <f>IFERROR(ROUND($U299*$X299*$AA299*参数!$B$13,0),"")</f>
        <v>2241005</v>
      </c>
      <c r="E299" s="5">
        <f>IFERROR(ROUND($V299*$Y299*$AB299*参数!$C$13,0),"")</f>
        <v>32100</v>
      </c>
      <c r="F299" s="5">
        <f>IFERROR(ROUND($W299*$Z299*$AC299*参数!$D$13,0),"")</f>
        <v>36564</v>
      </c>
      <c r="G299" s="4">
        <v>1481322</v>
      </c>
      <c r="H299" s="4">
        <v>20816</v>
      </c>
      <c r="I299" s="4">
        <v>21515</v>
      </c>
      <c r="J299" s="4">
        <v>59</v>
      </c>
      <c r="K299" s="4">
        <v>59</v>
      </c>
      <c r="L299" s="4">
        <f>IFERROR(INDEX(楼层配置!$D$5:$D$104,MATCH($K299,楼层配置!$B$5:$B$104,0)),"")</f>
        <v>318</v>
      </c>
      <c r="M299" s="4" t="str">
        <f>IFERROR(INDEX(_角色基线!$B$2:$B$100,MATCH($B299,_角色基线!$A$2:$A$100,0)),"")</f>
        <v>萨萨莉安</v>
      </c>
      <c r="N299" s="4" t="str">
        <f>IFERROR(INDEX(_角色基线!$C$2:$C$100,MATCH($B299,_角色基线!$A$2:$A$100,0)),"")</f>
        <v>Support</v>
      </c>
      <c r="O299" s="4">
        <f>IFERROR(INDEX(_怪物基线!$B$2:$B$501,MATCH(INT($L299),_怪物基线!$A$2:$A$501,0)),"")</f>
        <v>448201</v>
      </c>
      <c r="P299" s="4">
        <f>IFERROR(INDEX(_怪物基线!$C$2:$C$501,MATCH(INT($L299),_怪物基线!$A$2:$A$501,0)),"")</f>
        <v>26750</v>
      </c>
      <c r="Q299" s="4">
        <f>IFERROR(INDEX(_怪物基线!$D$2:$D$501,MATCH(INT($L299),_怪物基线!$A$2:$A$501,0)),"")</f>
        <v>29251</v>
      </c>
      <c r="R299" s="4">
        <f>参数!$B$10</f>
        <v>4</v>
      </c>
      <c r="S299" s="4">
        <f>参数!$C$10</f>
        <v>1.2</v>
      </c>
      <c r="T299" s="4">
        <f>参数!$D$10</f>
        <v>1</v>
      </c>
      <c r="U299" s="4">
        <f t="shared" si="28"/>
        <v>1792804</v>
      </c>
      <c r="V299" s="4">
        <f t="shared" si="29"/>
        <v>32100</v>
      </c>
      <c r="W299" s="4">
        <f t="shared" si="30"/>
        <v>29251</v>
      </c>
      <c r="X299" s="4">
        <f>IFERROR(INDEX(参数!$B$5:$B$7,MATCH($N299,参数!$A$5:$A$7,0)),"")</f>
        <v>1.25</v>
      </c>
      <c r="Y299" s="4">
        <f>IFERROR(INDEX(参数!$C$5:$C$7,MATCH($N299,参数!$A$5:$A$7,0)),"")</f>
        <v>1</v>
      </c>
      <c r="Z299" s="4">
        <f>IFERROR(INDEX(参数!$D$5:$D$7,MATCH($N299,参数!$A$5:$A$7,0)),"")</f>
        <v>1.25</v>
      </c>
      <c r="AA299" s="4">
        <f>IFERROR(INDEX(楼层配置!$E$5:$E$104,MATCH($K299,楼层配置!$B$5:$B$104,0)),1)</f>
        <v>1</v>
      </c>
      <c r="AB299" s="4">
        <f>IFERROR(INDEX(楼层配置!$F$5:$F$104,MATCH($K299,楼层配置!$B$5:$B$104,0)),1)</f>
        <v>1</v>
      </c>
      <c r="AC299" s="4">
        <f>IFERROR(INDEX(楼层配置!$G$5:$G$104,MATCH($K299,楼层配置!$B$5:$B$104,0)),1)</f>
        <v>1</v>
      </c>
      <c r="AD299" s="6">
        <f t="shared" si="31"/>
        <v>0.512841232358663</v>
      </c>
      <c r="AE299" s="6">
        <f t="shared" si="32"/>
        <v>0.542083013066872</v>
      </c>
      <c r="AF299" s="6">
        <f t="shared" si="33"/>
        <v>0.699465489193586</v>
      </c>
      <c r="AG299" s="4" t="str">
        <f t="shared" si="34"/>
        <v>有效</v>
      </c>
    </row>
    <row r="300" ht="14.25" customHeight="1" spans="1:33">
      <c r="A300" s="4">
        <v>296</v>
      </c>
      <c r="B300" s="4">
        <v>1003</v>
      </c>
      <c r="C300" s="4">
        <v>40</v>
      </c>
      <c r="D300" s="5">
        <f>IFERROR(ROUND($U300*$X300*$AA300*参数!$B$13,0),"")</f>
        <v>2759394</v>
      </c>
      <c r="E300" s="5">
        <f>IFERROR(ROUND($V300*$Y300*$AB300*参数!$C$13,0),"")</f>
        <v>32735</v>
      </c>
      <c r="F300" s="5">
        <f>IFERROR(ROUND($W300*$Z300*$AC300*参数!$D$13,0),"")</f>
        <v>44454</v>
      </c>
      <c r="G300" s="4">
        <v>1850544</v>
      </c>
      <c r="H300" s="4">
        <v>21412</v>
      </c>
      <c r="I300" s="4">
        <v>26365</v>
      </c>
      <c r="J300" s="4">
        <v>60</v>
      </c>
      <c r="K300" s="4">
        <v>60</v>
      </c>
      <c r="L300" s="4">
        <f>IFERROR(INDEX(楼层配置!$D$5:$D$104,MATCH($K300,楼层配置!$B$5:$B$104,0)),"")</f>
        <v>321</v>
      </c>
      <c r="M300" s="4" t="str">
        <f>IFERROR(INDEX(_角色基线!$B$2:$B$100,MATCH($B300,_角色基线!$A$2:$A$100,0)),"")</f>
        <v>塔拉夏</v>
      </c>
      <c r="N300" s="4" t="str">
        <f>IFERROR(INDEX(_角色基线!$C$2:$C$100,MATCH($B300,_角色基线!$A$2:$A$100,0)),"")</f>
        <v>Tank</v>
      </c>
      <c r="O300" s="4">
        <f>IFERROR(INDEX(_怪物基线!$B$2:$B$501,MATCH(INT($L300),_怪物基线!$A$2:$A$501,0)),"")</f>
        <v>459899</v>
      </c>
      <c r="P300" s="4">
        <f>IFERROR(INDEX(_怪物基线!$C$2:$C$501,MATCH(INT($L300),_怪物基线!$A$2:$A$501,0)),"")</f>
        <v>27279</v>
      </c>
      <c r="Q300" s="4">
        <f>IFERROR(INDEX(_怪物基线!$D$2:$D$501,MATCH(INT($L300),_怪物基线!$A$2:$A$501,0)),"")</f>
        <v>29636</v>
      </c>
      <c r="R300" s="4">
        <f>参数!$B$10</f>
        <v>4</v>
      </c>
      <c r="S300" s="4">
        <f>参数!$C$10</f>
        <v>1.2</v>
      </c>
      <c r="T300" s="4">
        <f>参数!$D$10</f>
        <v>1</v>
      </c>
      <c r="U300" s="4">
        <f t="shared" si="28"/>
        <v>1839596</v>
      </c>
      <c r="V300" s="4">
        <f t="shared" si="29"/>
        <v>32734.8</v>
      </c>
      <c r="W300" s="4">
        <f t="shared" si="30"/>
        <v>29636</v>
      </c>
      <c r="X300" s="4">
        <f>IFERROR(INDEX(参数!$B$5:$B$7,MATCH($N300,参数!$A$5:$A$7,0)),"")</f>
        <v>1.5</v>
      </c>
      <c r="Y300" s="4">
        <f>IFERROR(INDEX(参数!$C$5:$C$7,MATCH($N300,参数!$A$5:$A$7,0)),"")</f>
        <v>1</v>
      </c>
      <c r="Z300" s="4">
        <f>IFERROR(INDEX(参数!$D$5:$D$7,MATCH($N300,参数!$A$5:$A$7,0)),"")</f>
        <v>1.5</v>
      </c>
      <c r="AA300" s="4">
        <f>IFERROR(INDEX(楼层配置!$E$5:$E$104,MATCH($K300,楼层配置!$B$5:$B$104,0)),1)</f>
        <v>1</v>
      </c>
      <c r="AB300" s="4">
        <f>IFERROR(INDEX(楼层配置!$F$5:$F$104,MATCH($K300,楼层配置!$B$5:$B$104,0)),1)</f>
        <v>1</v>
      </c>
      <c r="AC300" s="4">
        <f>IFERROR(INDEX(楼层配置!$G$5:$G$104,MATCH($K300,楼层配置!$B$5:$B$104,0)),1)</f>
        <v>1</v>
      </c>
      <c r="AD300" s="6">
        <f t="shared" si="31"/>
        <v>0.491125852722227</v>
      </c>
      <c r="AE300" s="6">
        <f t="shared" si="32"/>
        <v>0.528815617410798</v>
      </c>
      <c r="AF300" s="6">
        <f t="shared" si="33"/>
        <v>0.686098994879575</v>
      </c>
      <c r="AG300" s="4" t="str">
        <f t="shared" si="34"/>
        <v>有效</v>
      </c>
    </row>
    <row r="301" ht="14.25" customHeight="1" spans="1:33">
      <c r="A301" s="4">
        <v>297</v>
      </c>
      <c r="B301" s="4">
        <v>1005</v>
      </c>
      <c r="C301" s="4">
        <v>40</v>
      </c>
      <c r="D301" s="5">
        <f>IFERROR(ROUND($U301*$X301*$AA301*参数!$B$13,0),"")</f>
        <v>1839596</v>
      </c>
      <c r="E301" s="5">
        <f>IFERROR(ROUND($V301*$Y301*$AB301*参数!$C$13,0),"")</f>
        <v>39282</v>
      </c>
      <c r="F301" s="5">
        <f>IFERROR(ROUND($W301*$Z301*$AC301*参数!$D$13,0),"")</f>
        <v>29636</v>
      </c>
      <c r="G301" s="4">
        <v>1233696</v>
      </c>
      <c r="H301" s="4">
        <v>25694</v>
      </c>
      <c r="I301" s="4">
        <v>17576</v>
      </c>
      <c r="J301" s="4">
        <v>60</v>
      </c>
      <c r="K301" s="4">
        <v>60</v>
      </c>
      <c r="L301" s="4">
        <f>IFERROR(INDEX(楼层配置!$D$5:$D$104,MATCH($K301,楼层配置!$B$5:$B$104,0)),"")</f>
        <v>321</v>
      </c>
      <c r="M301" s="4" t="str">
        <f>IFERROR(INDEX(_角色基线!$B$2:$B$100,MATCH($B301,_角色基线!$A$2:$A$100,0)),"")</f>
        <v>陈单单</v>
      </c>
      <c r="N301" s="4" t="str">
        <f>IFERROR(INDEX(_角色基线!$C$2:$C$100,MATCH($B301,_角色基线!$A$2:$A$100,0)),"")</f>
        <v>DPS</v>
      </c>
      <c r="O301" s="4">
        <f>IFERROR(INDEX(_怪物基线!$B$2:$B$501,MATCH(INT($L301),_怪物基线!$A$2:$A$501,0)),"")</f>
        <v>459899</v>
      </c>
      <c r="P301" s="4">
        <f>IFERROR(INDEX(_怪物基线!$C$2:$C$501,MATCH(INT($L301),_怪物基线!$A$2:$A$501,0)),"")</f>
        <v>27279</v>
      </c>
      <c r="Q301" s="4">
        <f>IFERROR(INDEX(_怪物基线!$D$2:$D$501,MATCH(INT($L301),_怪物基线!$A$2:$A$501,0)),"")</f>
        <v>29636</v>
      </c>
      <c r="R301" s="4">
        <f>参数!$B$10</f>
        <v>4</v>
      </c>
      <c r="S301" s="4">
        <f>参数!$C$10</f>
        <v>1.2</v>
      </c>
      <c r="T301" s="4">
        <f>参数!$D$10</f>
        <v>1</v>
      </c>
      <c r="U301" s="4">
        <f t="shared" si="28"/>
        <v>1839596</v>
      </c>
      <c r="V301" s="4">
        <f t="shared" si="29"/>
        <v>32734.8</v>
      </c>
      <c r="W301" s="4">
        <f t="shared" si="30"/>
        <v>29636</v>
      </c>
      <c r="X301" s="4">
        <f>IFERROR(INDEX(参数!$B$5:$B$7,MATCH($N301,参数!$A$5:$A$7,0)),"")</f>
        <v>1</v>
      </c>
      <c r="Y301" s="4">
        <f>IFERROR(INDEX(参数!$C$5:$C$7,MATCH($N301,参数!$A$5:$A$7,0)),"")</f>
        <v>1.2</v>
      </c>
      <c r="Z301" s="4">
        <f>IFERROR(INDEX(参数!$D$5:$D$7,MATCH($N301,参数!$A$5:$A$7,0)),"")</f>
        <v>1</v>
      </c>
      <c r="AA301" s="4">
        <f>IFERROR(INDEX(楼层配置!$E$5:$E$104,MATCH($K301,楼层配置!$B$5:$B$104,0)),1)</f>
        <v>1</v>
      </c>
      <c r="AB301" s="4">
        <f>IFERROR(INDEX(楼层配置!$F$5:$F$104,MATCH($K301,楼层配置!$B$5:$B$104,0)),1)</f>
        <v>1</v>
      </c>
      <c r="AC301" s="4">
        <f>IFERROR(INDEX(楼层配置!$G$5:$G$104,MATCH($K301,楼层配置!$B$5:$B$104,0)),1)</f>
        <v>1</v>
      </c>
      <c r="AD301" s="6">
        <f t="shared" si="31"/>
        <v>0.491125852722227</v>
      </c>
      <c r="AE301" s="6">
        <f t="shared" si="32"/>
        <v>0.528839417762902</v>
      </c>
      <c r="AF301" s="6">
        <f t="shared" si="33"/>
        <v>0.686162949476559</v>
      </c>
      <c r="AG301" s="4" t="str">
        <f t="shared" si="34"/>
        <v>有效</v>
      </c>
    </row>
    <row r="302" ht="14.25" customHeight="1" spans="1:33">
      <c r="A302" s="4">
        <v>298</v>
      </c>
      <c r="B302" s="4">
        <v>1029</v>
      </c>
      <c r="C302" s="4">
        <v>40</v>
      </c>
      <c r="D302" s="5">
        <f>IFERROR(ROUND($U302*$X302*$AA302*参数!$B$13,0),"")</f>
        <v>2299495</v>
      </c>
      <c r="E302" s="5">
        <f>IFERROR(ROUND($V302*$Y302*$AB302*参数!$C$13,0),"")</f>
        <v>32735</v>
      </c>
      <c r="F302" s="5">
        <f>IFERROR(ROUND($W302*$Z302*$AC302*参数!$D$13,0),"")</f>
        <v>37045</v>
      </c>
      <c r="G302" s="4">
        <v>1542120</v>
      </c>
      <c r="H302" s="4">
        <v>21412</v>
      </c>
      <c r="I302" s="4">
        <v>21971</v>
      </c>
      <c r="J302" s="4">
        <v>60</v>
      </c>
      <c r="K302" s="4">
        <v>60</v>
      </c>
      <c r="L302" s="4">
        <f>IFERROR(INDEX(楼层配置!$D$5:$D$104,MATCH($K302,楼层配置!$B$5:$B$104,0)),"")</f>
        <v>321</v>
      </c>
      <c r="M302" s="4" t="str">
        <f>IFERROR(INDEX(_角色基线!$B$2:$B$100,MATCH($B302,_角色基线!$A$2:$A$100,0)),"")</f>
        <v>凯兰</v>
      </c>
      <c r="N302" s="4" t="str">
        <f>IFERROR(INDEX(_角色基线!$C$2:$C$100,MATCH($B302,_角色基线!$A$2:$A$100,0)),"")</f>
        <v>Support</v>
      </c>
      <c r="O302" s="4">
        <f>IFERROR(INDEX(_怪物基线!$B$2:$B$501,MATCH(INT($L302),_怪物基线!$A$2:$A$501,0)),"")</f>
        <v>459899</v>
      </c>
      <c r="P302" s="4">
        <f>IFERROR(INDEX(_怪物基线!$C$2:$C$501,MATCH(INT($L302),_怪物基线!$A$2:$A$501,0)),"")</f>
        <v>27279</v>
      </c>
      <c r="Q302" s="4">
        <f>IFERROR(INDEX(_怪物基线!$D$2:$D$501,MATCH(INT($L302),_怪物基线!$A$2:$A$501,0)),"")</f>
        <v>29636</v>
      </c>
      <c r="R302" s="4">
        <f>参数!$B$10</f>
        <v>4</v>
      </c>
      <c r="S302" s="4">
        <f>参数!$C$10</f>
        <v>1.2</v>
      </c>
      <c r="T302" s="4">
        <f>参数!$D$10</f>
        <v>1</v>
      </c>
      <c r="U302" s="4">
        <f t="shared" si="28"/>
        <v>1839596</v>
      </c>
      <c r="V302" s="4">
        <f t="shared" si="29"/>
        <v>32734.8</v>
      </c>
      <c r="W302" s="4">
        <f t="shared" si="30"/>
        <v>29636</v>
      </c>
      <c r="X302" s="4">
        <f>IFERROR(INDEX(参数!$B$5:$B$7,MATCH($N302,参数!$A$5:$A$7,0)),"")</f>
        <v>1.25</v>
      </c>
      <c r="Y302" s="4">
        <f>IFERROR(INDEX(参数!$C$5:$C$7,MATCH($N302,参数!$A$5:$A$7,0)),"")</f>
        <v>1</v>
      </c>
      <c r="Z302" s="4">
        <f>IFERROR(INDEX(参数!$D$5:$D$7,MATCH($N302,参数!$A$5:$A$7,0)),"")</f>
        <v>1.25</v>
      </c>
      <c r="AA302" s="4">
        <f>IFERROR(INDEX(楼层配置!$E$5:$E$104,MATCH($K302,楼层配置!$B$5:$B$104,0)),1)</f>
        <v>1</v>
      </c>
      <c r="AB302" s="4">
        <f>IFERROR(INDEX(楼层配置!$F$5:$F$104,MATCH($K302,楼层配置!$B$5:$B$104,0)),1)</f>
        <v>1</v>
      </c>
      <c r="AC302" s="4">
        <f>IFERROR(INDEX(楼层配置!$G$5:$G$104,MATCH($K302,楼层配置!$B$5:$B$104,0)),1)</f>
        <v>1</v>
      </c>
      <c r="AD302" s="6">
        <f t="shared" si="31"/>
        <v>0.491125852722227</v>
      </c>
      <c r="AE302" s="6">
        <f t="shared" si="32"/>
        <v>0.528815617410798</v>
      </c>
      <c r="AF302" s="6">
        <f t="shared" si="33"/>
        <v>0.686086204542351</v>
      </c>
      <c r="AG302" s="4" t="str">
        <f t="shared" si="34"/>
        <v>有效</v>
      </c>
    </row>
    <row r="303" ht="14.25" customHeight="1" spans="1:33">
      <c r="A303" s="4">
        <v>299</v>
      </c>
      <c r="B303" s="4">
        <v>1007</v>
      </c>
      <c r="C303" s="4">
        <v>40</v>
      </c>
      <c r="D303" s="5">
        <f>IFERROR(ROUND($U303*$X303*$AA303*参数!$B$13,0),"")</f>
        <v>2299495</v>
      </c>
      <c r="E303" s="5">
        <f>IFERROR(ROUND($V303*$Y303*$AB303*参数!$C$13,0),"")</f>
        <v>32735</v>
      </c>
      <c r="F303" s="5">
        <f>IFERROR(ROUND($W303*$Z303*$AC303*参数!$D$13,0),"")</f>
        <v>37045</v>
      </c>
      <c r="G303" s="4">
        <v>1542120</v>
      </c>
      <c r="H303" s="4">
        <v>21412</v>
      </c>
      <c r="I303" s="4">
        <v>21971</v>
      </c>
      <c r="J303" s="4">
        <v>60</v>
      </c>
      <c r="K303" s="4">
        <v>60</v>
      </c>
      <c r="L303" s="4">
        <f>IFERROR(INDEX(楼层配置!$D$5:$D$104,MATCH($K303,楼层配置!$B$5:$B$104,0)),"")</f>
        <v>321</v>
      </c>
      <c r="M303" s="4" t="str">
        <f>IFERROR(INDEX(_角色基线!$B$2:$B$100,MATCH($B303,_角色基线!$A$2:$A$100,0)),"")</f>
        <v>萨萨莉安</v>
      </c>
      <c r="N303" s="4" t="str">
        <f>IFERROR(INDEX(_角色基线!$C$2:$C$100,MATCH($B303,_角色基线!$A$2:$A$100,0)),"")</f>
        <v>Support</v>
      </c>
      <c r="O303" s="4">
        <f>IFERROR(INDEX(_怪物基线!$B$2:$B$501,MATCH(INT($L303),_怪物基线!$A$2:$A$501,0)),"")</f>
        <v>459899</v>
      </c>
      <c r="P303" s="4">
        <f>IFERROR(INDEX(_怪物基线!$C$2:$C$501,MATCH(INT($L303),_怪物基线!$A$2:$A$501,0)),"")</f>
        <v>27279</v>
      </c>
      <c r="Q303" s="4">
        <f>IFERROR(INDEX(_怪物基线!$D$2:$D$501,MATCH(INT($L303),_怪物基线!$A$2:$A$501,0)),"")</f>
        <v>29636</v>
      </c>
      <c r="R303" s="4">
        <f>参数!$B$10</f>
        <v>4</v>
      </c>
      <c r="S303" s="4">
        <f>参数!$C$10</f>
        <v>1.2</v>
      </c>
      <c r="T303" s="4">
        <f>参数!$D$10</f>
        <v>1</v>
      </c>
      <c r="U303" s="4">
        <f t="shared" si="28"/>
        <v>1839596</v>
      </c>
      <c r="V303" s="4">
        <f t="shared" si="29"/>
        <v>32734.8</v>
      </c>
      <c r="W303" s="4">
        <f t="shared" si="30"/>
        <v>29636</v>
      </c>
      <c r="X303" s="4">
        <f>IFERROR(INDEX(参数!$B$5:$B$7,MATCH($N303,参数!$A$5:$A$7,0)),"")</f>
        <v>1.25</v>
      </c>
      <c r="Y303" s="4">
        <f>IFERROR(INDEX(参数!$C$5:$C$7,MATCH($N303,参数!$A$5:$A$7,0)),"")</f>
        <v>1</v>
      </c>
      <c r="Z303" s="4">
        <f>IFERROR(INDEX(参数!$D$5:$D$7,MATCH($N303,参数!$A$5:$A$7,0)),"")</f>
        <v>1.25</v>
      </c>
      <c r="AA303" s="4">
        <f>IFERROR(INDEX(楼层配置!$E$5:$E$104,MATCH($K303,楼层配置!$B$5:$B$104,0)),1)</f>
        <v>1</v>
      </c>
      <c r="AB303" s="4">
        <f>IFERROR(INDEX(楼层配置!$F$5:$F$104,MATCH($K303,楼层配置!$B$5:$B$104,0)),1)</f>
        <v>1</v>
      </c>
      <c r="AC303" s="4">
        <f>IFERROR(INDEX(楼层配置!$G$5:$G$104,MATCH($K303,楼层配置!$B$5:$B$104,0)),1)</f>
        <v>1</v>
      </c>
      <c r="AD303" s="6">
        <f t="shared" si="31"/>
        <v>0.491125852722227</v>
      </c>
      <c r="AE303" s="6">
        <f t="shared" si="32"/>
        <v>0.528815617410798</v>
      </c>
      <c r="AF303" s="6">
        <f t="shared" si="33"/>
        <v>0.686086204542351</v>
      </c>
      <c r="AG303" s="4" t="str">
        <f t="shared" si="34"/>
        <v>有效</v>
      </c>
    </row>
    <row r="304" ht="14.25" customHeight="1" spans="1:33">
      <c r="A304" s="4">
        <v>300</v>
      </c>
      <c r="B304" s="4">
        <v>1018</v>
      </c>
      <c r="C304" s="4">
        <v>40</v>
      </c>
      <c r="D304" s="5">
        <f>IFERROR(ROUND($U304*$X304*$AA304*参数!$B$13,0),"")</f>
        <v>2299495</v>
      </c>
      <c r="E304" s="5">
        <f>IFERROR(ROUND($V304*$Y304*$AB304*参数!$C$13,0),"")</f>
        <v>32735</v>
      </c>
      <c r="F304" s="5">
        <f>IFERROR(ROUND($W304*$Z304*$AC304*参数!$D$13,0),"")</f>
        <v>37045</v>
      </c>
      <c r="G304" s="4">
        <v>1542120</v>
      </c>
      <c r="H304" s="4">
        <v>21412</v>
      </c>
      <c r="I304" s="4">
        <v>21971</v>
      </c>
      <c r="J304" s="4">
        <v>60</v>
      </c>
      <c r="K304" s="4">
        <v>60</v>
      </c>
      <c r="L304" s="4">
        <f>IFERROR(INDEX(楼层配置!$D$5:$D$104,MATCH($K304,楼层配置!$B$5:$B$104,0)),"")</f>
        <v>321</v>
      </c>
      <c r="M304" s="4" t="str">
        <f>IFERROR(INDEX(_角色基线!$B$2:$B$100,MATCH($B304,_角色基线!$A$2:$A$100,0)),"")</f>
        <v>埃莉诺</v>
      </c>
      <c r="N304" s="4" t="str">
        <f>IFERROR(INDEX(_角色基线!$C$2:$C$100,MATCH($B304,_角色基线!$A$2:$A$100,0)),"")</f>
        <v>Support</v>
      </c>
      <c r="O304" s="4">
        <f>IFERROR(INDEX(_怪物基线!$B$2:$B$501,MATCH(INT($L304),_怪物基线!$A$2:$A$501,0)),"")</f>
        <v>459899</v>
      </c>
      <c r="P304" s="4">
        <f>IFERROR(INDEX(_怪物基线!$C$2:$C$501,MATCH(INT($L304),_怪物基线!$A$2:$A$501,0)),"")</f>
        <v>27279</v>
      </c>
      <c r="Q304" s="4">
        <f>IFERROR(INDEX(_怪物基线!$D$2:$D$501,MATCH(INT($L304),_怪物基线!$A$2:$A$501,0)),"")</f>
        <v>29636</v>
      </c>
      <c r="R304" s="4">
        <f>参数!$B$10</f>
        <v>4</v>
      </c>
      <c r="S304" s="4">
        <f>参数!$C$10</f>
        <v>1.2</v>
      </c>
      <c r="T304" s="4">
        <f>参数!$D$10</f>
        <v>1</v>
      </c>
      <c r="U304" s="4">
        <f t="shared" si="28"/>
        <v>1839596</v>
      </c>
      <c r="V304" s="4">
        <f t="shared" si="29"/>
        <v>32734.8</v>
      </c>
      <c r="W304" s="4">
        <f t="shared" si="30"/>
        <v>29636</v>
      </c>
      <c r="X304" s="4">
        <f>IFERROR(INDEX(参数!$B$5:$B$7,MATCH($N304,参数!$A$5:$A$7,0)),"")</f>
        <v>1.25</v>
      </c>
      <c r="Y304" s="4">
        <f>IFERROR(INDEX(参数!$C$5:$C$7,MATCH($N304,参数!$A$5:$A$7,0)),"")</f>
        <v>1</v>
      </c>
      <c r="Z304" s="4">
        <f>IFERROR(INDEX(参数!$D$5:$D$7,MATCH($N304,参数!$A$5:$A$7,0)),"")</f>
        <v>1.25</v>
      </c>
      <c r="AA304" s="4">
        <f>IFERROR(INDEX(楼层配置!$E$5:$E$104,MATCH($K304,楼层配置!$B$5:$B$104,0)),1)</f>
        <v>1</v>
      </c>
      <c r="AB304" s="4">
        <f>IFERROR(INDEX(楼层配置!$F$5:$F$104,MATCH($K304,楼层配置!$B$5:$B$104,0)),1)</f>
        <v>1</v>
      </c>
      <c r="AC304" s="4">
        <f>IFERROR(INDEX(楼层配置!$G$5:$G$104,MATCH($K304,楼层配置!$B$5:$B$104,0)),1)</f>
        <v>1</v>
      </c>
      <c r="AD304" s="6">
        <f t="shared" si="31"/>
        <v>0.491125852722227</v>
      </c>
      <c r="AE304" s="6">
        <f t="shared" si="32"/>
        <v>0.528815617410798</v>
      </c>
      <c r="AF304" s="6">
        <f t="shared" si="33"/>
        <v>0.686086204542351</v>
      </c>
      <c r="AG304" s="4" t="str">
        <f t="shared" si="34"/>
        <v>有效</v>
      </c>
    </row>
    <row r="305" ht="14.25" customHeight="1" spans="1:33">
      <c r="A305" s="4">
        <v>301</v>
      </c>
      <c r="B305" s="4">
        <v>1003</v>
      </c>
      <c r="C305" s="4">
        <v>40</v>
      </c>
      <c r="D305" s="5">
        <f>IFERROR(ROUND($U305*$X305*$AA305*参数!$B$13,0),"")</f>
        <v>2783088</v>
      </c>
      <c r="E305" s="5">
        <f>IFERROR(ROUND($V305*$Y305*$AB305*参数!$C$13,0),"")</f>
        <v>32950</v>
      </c>
      <c r="F305" s="5">
        <f>IFERROR(ROUND($W305*$Z305*$AC305*参数!$D$13,0),"")</f>
        <v>44648</v>
      </c>
      <c r="G305" s="4">
        <v>1925647</v>
      </c>
      <c r="H305" s="4">
        <v>22019</v>
      </c>
      <c r="I305" s="4">
        <v>26917</v>
      </c>
      <c r="J305" s="4">
        <v>61</v>
      </c>
      <c r="K305" s="4">
        <v>61</v>
      </c>
      <c r="L305" s="4">
        <f>IFERROR(INDEX(楼层配置!$D$5:$D$104,MATCH($K305,楼层配置!$B$5:$B$104,0)),"")</f>
        <v>322</v>
      </c>
      <c r="M305" s="4" t="str">
        <f>IFERROR(INDEX(_角色基线!$B$2:$B$100,MATCH($B305,_角色基线!$A$2:$A$100,0)),"")</f>
        <v>塔拉夏</v>
      </c>
      <c r="N305" s="4" t="str">
        <f>IFERROR(INDEX(_角色基线!$C$2:$C$100,MATCH($B305,_角色基线!$A$2:$A$100,0)),"")</f>
        <v>Tank</v>
      </c>
      <c r="O305" s="4">
        <f>IFERROR(INDEX(_怪物基线!$B$2:$B$501,MATCH(INT($L305),_怪物基线!$A$2:$A$501,0)),"")</f>
        <v>463848</v>
      </c>
      <c r="P305" s="4">
        <f>IFERROR(INDEX(_怪物基线!$C$2:$C$501,MATCH(INT($L305),_怪物基线!$A$2:$A$501,0)),"")</f>
        <v>27458</v>
      </c>
      <c r="Q305" s="4">
        <f>IFERROR(INDEX(_怪物基线!$D$2:$D$501,MATCH(INT($L305),_怪物基线!$A$2:$A$501,0)),"")</f>
        <v>29765</v>
      </c>
      <c r="R305" s="4">
        <f>参数!$B$10</f>
        <v>4</v>
      </c>
      <c r="S305" s="4">
        <f>参数!$C$10</f>
        <v>1.2</v>
      </c>
      <c r="T305" s="4">
        <f>参数!$D$10</f>
        <v>1</v>
      </c>
      <c r="U305" s="4">
        <f t="shared" si="28"/>
        <v>1855392</v>
      </c>
      <c r="V305" s="4">
        <f t="shared" si="29"/>
        <v>32949.6</v>
      </c>
      <c r="W305" s="4">
        <f t="shared" si="30"/>
        <v>29765</v>
      </c>
      <c r="X305" s="4">
        <f>IFERROR(INDEX(参数!$B$5:$B$7,MATCH($N305,参数!$A$5:$A$7,0)),"")</f>
        <v>1.5</v>
      </c>
      <c r="Y305" s="4">
        <f>IFERROR(INDEX(参数!$C$5:$C$7,MATCH($N305,参数!$A$5:$A$7,0)),"")</f>
        <v>1</v>
      </c>
      <c r="Z305" s="4">
        <f>IFERROR(INDEX(参数!$D$5:$D$7,MATCH($N305,参数!$A$5:$A$7,0)),"")</f>
        <v>1.5</v>
      </c>
      <c r="AA305" s="4">
        <f>IFERROR(INDEX(楼层配置!$E$5:$E$104,MATCH($K305,楼层配置!$B$5:$B$104,0)),1)</f>
        <v>1</v>
      </c>
      <c r="AB305" s="4">
        <f>IFERROR(INDEX(楼层配置!$F$5:$F$104,MATCH($K305,楼层配置!$B$5:$B$104,0)),1)</f>
        <v>1</v>
      </c>
      <c r="AC305" s="4">
        <f>IFERROR(INDEX(楼层配置!$G$5:$G$104,MATCH($K305,楼层配置!$B$5:$B$104,0)),1)</f>
        <v>1</v>
      </c>
      <c r="AD305" s="6">
        <f t="shared" si="31"/>
        <v>0.445274237697771</v>
      </c>
      <c r="AE305" s="6">
        <f t="shared" si="32"/>
        <v>0.496434897134293</v>
      </c>
      <c r="AF305" s="6">
        <f t="shared" si="33"/>
        <v>0.658728684474496</v>
      </c>
      <c r="AG305" s="4" t="str">
        <f t="shared" si="34"/>
        <v>有效</v>
      </c>
    </row>
    <row r="306" ht="14.25" customHeight="1" spans="1:33">
      <c r="A306" s="4">
        <v>302</v>
      </c>
      <c r="B306" s="4">
        <v>1001</v>
      </c>
      <c r="C306" s="4">
        <v>40</v>
      </c>
      <c r="D306" s="5">
        <f>IFERROR(ROUND($U306*$X306*$AA306*参数!$B$13,0),"")</f>
        <v>1855392</v>
      </c>
      <c r="E306" s="5">
        <f>IFERROR(ROUND($V306*$Y306*$AB306*参数!$C$13,0),"")</f>
        <v>39540</v>
      </c>
      <c r="F306" s="5">
        <f>IFERROR(ROUND($W306*$Z306*$AC306*参数!$D$13,0),"")</f>
        <v>29765</v>
      </c>
      <c r="G306" s="4">
        <v>1283764</v>
      </c>
      <c r="H306" s="4">
        <v>26422</v>
      </c>
      <c r="I306" s="4">
        <v>17944</v>
      </c>
      <c r="J306" s="4">
        <v>61</v>
      </c>
      <c r="K306" s="4">
        <v>61</v>
      </c>
      <c r="L306" s="4">
        <f>IFERROR(INDEX(楼层配置!$D$5:$D$104,MATCH($K306,楼层配置!$B$5:$B$104,0)),"")</f>
        <v>322</v>
      </c>
      <c r="M306" s="4" t="str">
        <f>IFERROR(INDEX(_角色基线!$B$2:$B$100,MATCH($B306,_角色基线!$A$2:$A$100,0)),"")</f>
        <v>星海</v>
      </c>
      <c r="N306" s="4" t="str">
        <f>IFERROR(INDEX(_角色基线!$C$2:$C$100,MATCH($B306,_角色基线!$A$2:$A$100,0)),"")</f>
        <v>DPS</v>
      </c>
      <c r="O306" s="4">
        <f>IFERROR(INDEX(_怪物基线!$B$2:$B$501,MATCH(INT($L306),_怪物基线!$A$2:$A$501,0)),"")</f>
        <v>463848</v>
      </c>
      <c r="P306" s="4">
        <f>IFERROR(INDEX(_怪物基线!$C$2:$C$501,MATCH(INT($L306),_怪物基线!$A$2:$A$501,0)),"")</f>
        <v>27458</v>
      </c>
      <c r="Q306" s="4">
        <f>IFERROR(INDEX(_怪物基线!$D$2:$D$501,MATCH(INT($L306),_怪物基线!$A$2:$A$501,0)),"")</f>
        <v>29765</v>
      </c>
      <c r="R306" s="4">
        <f>参数!$B$10</f>
        <v>4</v>
      </c>
      <c r="S306" s="4">
        <f>参数!$C$10</f>
        <v>1.2</v>
      </c>
      <c r="T306" s="4">
        <f>参数!$D$10</f>
        <v>1</v>
      </c>
      <c r="U306" s="4">
        <f t="shared" si="28"/>
        <v>1855392</v>
      </c>
      <c r="V306" s="4">
        <f t="shared" si="29"/>
        <v>32949.6</v>
      </c>
      <c r="W306" s="4">
        <f t="shared" si="30"/>
        <v>29765</v>
      </c>
      <c r="X306" s="4">
        <f>IFERROR(INDEX(参数!$B$5:$B$7,MATCH($N306,参数!$A$5:$A$7,0)),"")</f>
        <v>1</v>
      </c>
      <c r="Y306" s="4">
        <f>IFERROR(INDEX(参数!$C$5:$C$7,MATCH($N306,参数!$A$5:$A$7,0)),"")</f>
        <v>1.2</v>
      </c>
      <c r="Z306" s="4">
        <f>IFERROR(INDEX(参数!$D$5:$D$7,MATCH($N306,参数!$A$5:$A$7,0)),"")</f>
        <v>1</v>
      </c>
      <c r="AA306" s="4">
        <f>IFERROR(INDEX(楼层配置!$E$5:$E$104,MATCH($K306,楼层配置!$B$5:$B$104,0)),1)</f>
        <v>1</v>
      </c>
      <c r="AB306" s="4">
        <f>IFERROR(INDEX(楼层配置!$F$5:$F$104,MATCH($K306,楼层配置!$B$5:$B$104,0)),1)</f>
        <v>1</v>
      </c>
      <c r="AC306" s="4">
        <f>IFERROR(INDEX(楼层配置!$G$5:$G$104,MATCH($K306,楼层配置!$B$5:$B$104,0)),1)</f>
        <v>1</v>
      </c>
      <c r="AD306" s="6">
        <f t="shared" si="31"/>
        <v>0.445274988237713</v>
      </c>
      <c r="AE306" s="6">
        <f t="shared" si="32"/>
        <v>0.496480205889032</v>
      </c>
      <c r="AF306" s="6">
        <f t="shared" si="33"/>
        <v>0.658771734284441</v>
      </c>
      <c r="AG306" s="4" t="str">
        <f t="shared" si="34"/>
        <v>有效</v>
      </c>
    </row>
    <row r="307" ht="14.25" customHeight="1" spans="1:33">
      <c r="A307" s="4">
        <v>303</v>
      </c>
      <c r="B307" s="4">
        <v>1012</v>
      </c>
      <c r="C307" s="4">
        <v>40</v>
      </c>
      <c r="D307" s="5">
        <f>IFERROR(ROUND($U307*$X307*$AA307*参数!$B$13,0),"")</f>
        <v>2319240</v>
      </c>
      <c r="E307" s="5">
        <f>IFERROR(ROUND($V307*$Y307*$AB307*参数!$C$13,0),"")</f>
        <v>32950</v>
      </c>
      <c r="F307" s="5">
        <f>IFERROR(ROUND($W307*$Z307*$AC307*参数!$D$13,0),"")</f>
        <v>37206</v>
      </c>
      <c r="G307" s="4">
        <v>1604706</v>
      </c>
      <c r="H307" s="4">
        <v>22019</v>
      </c>
      <c r="I307" s="4">
        <v>22431</v>
      </c>
      <c r="J307" s="4">
        <v>61</v>
      </c>
      <c r="K307" s="4">
        <v>61</v>
      </c>
      <c r="L307" s="4">
        <f>IFERROR(INDEX(楼层配置!$D$5:$D$104,MATCH($K307,楼层配置!$B$5:$B$104,0)),"")</f>
        <v>322</v>
      </c>
      <c r="M307" s="4" t="str">
        <f>IFERROR(INDEX(_角色基线!$B$2:$B$100,MATCH($B307,_角色基线!$A$2:$A$100,0)),"")</f>
        <v>艾德琳</v>
      </c>
      <c r="N307" s="4" t="str">
        <f>IFERROR(INDEX(_角色基线!$C$2:$C$100,MATCH($B307,_角色基线!$A$2:$A$100,0)),"")</f>
        <v>Support</v>
      </c>
      <c r="O307" s="4">
        <f>IFERROR(INDEX(_怪物基线!$B$2:$B$501,MATCH(INT($L307),_怪物基线!$A$2:$A$501,0)),"")</f>
        <v>463848</v>
      </c>
      <c r="P307" s="4">
        <f>IFERROR(INDEX(_怪物基线!$C$2:$C$501,MATCH(INT($L307),_怪物基线!$A$2:$A$501,0)),"")</f>
        <v>27458</v>
      </c>
      <c r="Q307" s="4">
        <f>IFERROR(INDEX(_怪物基线!$D$2:$D$501,MATCH(INT($L307),_怪物基线!$A$2:$A$501,0)),"")</f>
        <v>29765</v>
      </c>
      <c r="R307" s="4">
        <f>参数!$B$10</f>
        <v>4</v>
      </c>
      <c r="S307" s="4">
        <f>参数!$C$10</f>
        <v>1.2</v>
      </c>
      <c r="T307" s="4">
        <f>参数!$D$10</f>
        <v>1</v>
      </c>
      <c r="U307" s="4">
        <f t="shared" si="28"/>
        <v>1855392</v>
      </c>
      <c r="V307" s="4">
        <f t="shared" si="29"/>
        <v>32949.6</v>
      </c>
      <c r="W307" s="4">
        <f t="shared" si="30"/>
        <v>29765</v>
      </c>
      <c r="X307" s="4">
        <f>IFERROR(INDEX(参数!$B$5:$B$7,MATCH($N307,参数!$A$5:$A$7,0)),"")</f>
        <v>1.25</v>
      </c>
      <c r="Y307" s="4">
        <f>IFERROR(INDEX(参数!$C$5:$C$7,MATCH($N307,参数!$A$5:$A$7,0)),"")</f>
        <v>1</v>
      </c>
      <c r="Z307" s="4">
        <f>IFERROR(INDEX(参数!$D$5:$D$7,MATCH($N307,参数!$A$5:$A$7,0)),"")</f>
        <v>1.25</v>
      </c>
      <c r="AA307" s="4">
        <f>IFERROR(INDEX(楼层配置!$E$5:$E$104,MATCH($K307,楼层配置!$B$5:$B$104,0)),1)</f>
        <v>1</v>
      </c>
      <c r="AB307" s="4">
        <f>IFERROR(INDEX(楼层配置!$F$5:$F$104,MATCH($K307,楼层配置!$B$5:$B$104,0)),1)</f>
        <v>1</v>
      </c>
      <c r="AC307" s="4">
        <f>IFERROR(INDEX(楼层配置!$G$5:$G$104,MATCH($K307,楼层配置!$B$5:$B$104,0)),1)</f>
        <v>1</v>
      </c>
      <c r="AD307" s="6">
        <f t="shared" si="31"/>
        <v>0.445274087589876</v>
      </c>
      <c r="AE307" s="6">
        <f t="shared" si="32"/>
        <v>0.496434897134293</v>
      </c>
      <c r="AF307" s="6">
        <f t="shared" si="33"/>
        <v>0.658686639026347</v>
      </c>
      <c r="AG307" s="4" t="str">
        <f t="shared" si="34"/>
        <v>有效</v>
      </c>
    </row>
    <row r="308" ht="14.25" customHeight="1" spans="1:33">
      <c r="A308" s="4">
        <v>304</v>
      </c>
      <c r="B308" s="4">
        <v>1021</v>
      </c>
      <c r="C308" s="4">
        <v>40</v>
      </c>
      <c r="D308" s="5">
        <f>IFERROR(ROUND($U308*$X308*$AA308*参数!$B$13,0),"")</f>
        <v>1855392</v>
      </c>
      <c r="E308" s="5">
        <f>IFERROR(ROUND($V308*$Y308*$AB308*参数!$C$13,0),"")</f>
        <v>39540</v>
      </c>
      <c r="F308" s="5">
        <f>IFERROR(ROUND($W308*$Z308*$AC308*参数!$D$13,0),"")</f>
        <v>29765</v>
      </c>
      <c r="G308" s="4">
        <v>1283764</v>
      </c>
      <c r="H308" s="4">
        <v>26422</v>
      </c>
      <c r="I308" s="4">
        <v>17944</v>
      </c>
      <c r="J308" s="4">
        <v>61</v>
      </c>
      <c r="K308" s="4">
        <v>61</v>
      </c>
      <c r="L308" s="4">
        <f>IFERROR(INDEX(楼层配置!$D$5:$D$104,MATCH($K308,楼层配置!$B$5:$B$104,0)),"")</f>
        <v>322</v>
      </c>
      <c r="M308" s="4" t="str">
        <f>IFERROR(INDEX(_角色基线!$B$2:$B$100,MATCH($B308,_角色基线!$A$2:$A$100,0)),"")</f>
        <v>梅梅</v>
      </c>
      <c r="N308" s="4" t="str">
        <f>IFERROR(INDEX(_角色基线!$C$2:$C$100,MATCH($B308,_角色基线!$A$2:$A$100,0)),"")</f>
        <v>DPS</v>
      </c>
      <c r="O308" s="4">
        <f>IFERROR(INDEX(_怪物基线!$B$2:$B$501,MATCH(INT($L308),_怪物基线!$A$2:$A$501,0)),"")</f>
        <v>463848</v>
      </c>
      <c r="P308" s="4">
        <f>IFERROR(INDEX(_怪物基线!$C$2:$C$501,MATCH(INT($L308),_怪物基线!$A$2:$A$501,0)),"")</f>
        <v>27458</v>
      </c>
      <c r="Q308" s="4">
        <f>IFERROR(INDEX(_怪物基线!$D$2:$D$501,MATCH(INT($L308),_怪物基线!$A$2:$A$501,0)),"")</f>
        <v>29765</v>
      </c>
      <c r="R308" s="4">
        <f>参数!$B$10</f>
        <v>4</v>
      </c>
      <c r="S308" s="4">
        <f>参数!$C$10</f>
        <v>1.2</v>
      </c>
      <c r="T308" s="4">
        <f>参数!$D$10</f>
        <v>1</v>
      </c>
      <c r="U308" s="4">
        <f t="shared" si="28"/>
        <v>1855392</v>
      </c>
      <c r="V308" s="4">
        <f t="shared" si="29"/>
        <v>32949.6</v>
      </c>
      <c r="W308" s="4">
        <f t="shared" si="30"/>
        <v>29765</v>
      </c>
      <c r="X308" s="4">
        <f>IFERROR(INDEX(参数!$B$5:$B$7,MATCH($N308,参数!$A$5:$A$7,0)),"")</f>
        <v>1</v>
      </c>
      <c r="Y308" s="4">
        <f>IFERROR(INDEX(参数!$C$5:$C$7,MATCH($N308,参数!$A$5:$A$7,0)),"")</f>
        <v>1.2</v>
      </c>
      <c r="Z308" s="4">
        <f>IFERROR(INDEX(参数!$D$5:$D$7,MATCH($N308,参数!$A$5:$A$7,0)),"")</f>
        <v>1</v>
      </c>
      <c r="AA308" s="4">
        <f>IFERROR(INDEX(楼层配置!$E$5:$E$104,MATCH($K308,楼层配置!$B$5:$B$104,0)),1)</f>
        <v>1</v>
      </c>
      <c r="AB308" s="4">
        <f>IFERROR(INDEX(楼层配置!$F$5:$F$104,MATCH($K308,楼层配置!$B$5:$B$104,0)),1)</f>
        <v>1</v>
      </c>
      <c r="AC308" s="4">
        <f>IFERROR(INDEX(楼层配置!$G$5:$G$104,MATCH($K308,楼层配置!$B$5:$B$104,0)),1)</f>
        <v>1</v>
      </c>
      <c r="AD308" s="6">
        <f t="shared" si="31"/>
        <v>0.445274988237713</v>
      </c>
      <c r="AE308" s="6">
        <f t="shared" si="32"/>
        <v>0.496480205889032</v>
      </c>
      <c r="AF308" s="6">
        <f t="shared" si="33"/>
        <v>0.658771734284441</v>
      </c>
      <c r="AG308" s="4" t="str">
        <f t="shared" si="34"/>
        <v>有效</v>
      </c>
    </row>
    <row r="309" ht="14.25" customHeight="1" spans="1:33">
      <c r="A309" s="4">
        <v>305</v>
      </c>
      <c r="B309" s="4">
        <v>1005</v>
      </c>
      <c r="C309" s="4">
        <v>40</v>
      </c>
      <c r="D309" s="5">
        <f>IFERROR(ROUND($U309*$X309*$AA309*参数!$B$13,0),"")</f>
        <v>1855392</v>
      </c>
      <c r="E309" s="5">
        <f>IFERROR(ROUND($V309*$Y309*$AB309*参数!$C$13,0),"")</f>
        <v>39540</v>
      </c>
      <c r="F309" s="5">
        <f>IFERROR(ROUND($W309*$Z309*$AC309*参数!$D$13,0),"")</f>
        <v>29765</v>
      </c>
      <c r="G309" s="4">
        <v>1283764</v>
      </c>
      <c r="H309" s="4">
        <v>26422</v>
      </c>
      <c r="I309" s="4">
        <v>17944</v>
      </c>
      <c r="J309" s="4">
        <v>61</v>
      </c>
      <c r="K309" s="4">
        <v>61</v>
      </c>
      <c r="L309" s="4">
        <f>IFERROR(INDEX(楼层配置!$D$5:$D$104,MATCH($K309,楼层配置!$B$5:$B$104,0)),"")</f>
        <v>322</v>
      </c>
      <c r="M309" s="4" t="str">
        <f>IFERROR(INDEX(_角色基线!$B$2:$B$100,MATCH($B309,_角色基线!$A$2:$A$100,0)),"")</f>
        <v>陈单单</v>
      </c>
      <c r="N309" s="4" t="str">
        <f>IFERROR(INDEX(_角色基线!$C$2:$C$100,MATCH($B309,_角色基线!$A$2:$A$100,0)),"")</f>
        <v>DPS</v>
      </c>
      <c r="O309" s="4">
        <f>IFERROR(INDEX(_怪物基线!$B$2:$B$501,MATCH(INT($L309),_怪物基线!$A$2:$A$501,0)),"")</f>
        <v>463848</v>
      </c>
      <c r="P309" s="4">
        <f>IFERROR(INDEX(_怪物基线!$C$2:$C$501,MATCH(INT($L309),_怪物基线!$A$2:$A$501,0)),"")</f>
        <v>27458</v>
      </c>
      <c r="Q309" s="4">
        <f>IFERROR(INDEX(_怪物基线!$D$2:$D$501,MATCH(INT($L309),_怪物基线!$A$2:$A$501,0)),"")</f>
        <v>29765</v>
      </c>
      <c r="R309" s="4">
        <f>参数!$B$10</f>
        <v>4</v>
      </c>
      <c r="S309" s="4">
        <f>参数!$C$10</f>
        <v>1.2</v>
      </c>
      <c r="T309" s="4">
        <f>参数!$D$10</f>
        <v>1</v>
      </c>
      <c r="U309" s="4">
        <f t="shared" si="28"/>
        <v>1855392</v>
      </c>
      <c r="V309" s="4">
        <f t="shared" si="29"/>
        <v>32949.6</v>
      </c>
      <c r="W309" s="4">
        <f t="shared" si="30"/>
        <v>29765</v>
      </c>
      <c r="X309" s="4">
        <f>IFERROR(INDEX(参数!$B$5:$B$7,MATCH($N309,参数!$A$5:$A$7,0)),"")</f>
        <v>1</v>
      </c>
      <c r="Y309" s="4">
        <f>IFERROR(INDEX(参数!$C$5:$C$7,MATCH($N309,参数!$A$5:$A$7,0)),"")</f>
        <v>1.2</v>
      </c>
      <c r="Z309" s="4">
        <f>IFERROR(INDEX(参数!$D$5:$D$7,MATCH($N309,参数!$A$5:$A$7,0)),"")</f>
        <v>1</v>
      </c>
      <c r="AA309" s="4">
        <f>IFERROR(INDEX(楼层配置!$E$5:$E$104,MATCH($K309,楼层配置!$B$5:$B$104,0)),1)</f>
        <v>1</v>
      </c>
      <c r="AB309" s="4">
        <f>IFERROR(INDEX(楼层配置!$F$5:$F$104,MATCH($K309,楼层配置!$B$5:$B$104,0)),1)</f>
        <v>1</v>
      </c>
      <c r="AC309" s="4">
        <f>IFERROR(INDEX(楼层配置!$G$5:$G$104,MATCH($K309,楼层配置!$B$5:$B$104,0)),1)</f>
        <v>1</v>
      </c>
      <c r="AD309" s="6">
        <f t="shared" si="31"/>
        <v>0.445274988237713</v>
      </c>
      <c r="AE309" s="6">
        <f t="shared" si="32"/>
        <v>0.496480205889032</v>
      </c>
      <c r="AF309" s="6">
        <f t="shared" si="33"/>
        <v>0.658771734284441</v>
      </c>
      <c r="AG309" s="4" t="str">
        <f t="shared" si="34"/>
        <v>有效</v>
      </c>
    </row>
    <row r="310" ht="14.25" customHeight="1" spans="1:33">
      <c r="A310" s="4">
        <v>306</v>
      </c>
      <c r="B310" s="4">
        <v>1004</v>
      </c>
      <c r="C310" s="4">
        <v>41</v>
      </c>
      <c r="D310" s="5">
        <f>IFERROR(ROUND($U310*$X310*$AA310*参数!$B$13,0),"")</f>
        <v>2830932</v>
      </c>
      <c r="E310" s="5">
        <f>IFERROR(ROUND($V310*$Y310*$AB310*参数!$C$13,0),"")</f>
        <v>33382</v>
      </c>
      <c r="F310" s="5">
        <f>IFERROR(ROUND($W310*$Z310*$AC310*参数!$D$13,0),"")</f>
        <v>45036</v>
      </c>
      <c r="G310" s="4">
        <v>2002946</v>
      </c>
      <c r="H310" s="4">
        <v>22639</v>
      </c>
      <c r="I310" s="4">
        <v>27474</v>
      </c>
      <c r="J310" s="4">
        <v>62</v>
      </c>
      <c r="K310" s="4">
        <v>62</v>
      </c>
      <c r="L310" s="4">
        <f>IFERROR(INDEX(楼层配置!$D$5:$D$104,MATCH($K310,楼层配置!$B$5:$B$104,0)),"")</f>
        <v>324</v>
      </c>
      <c r="M310" s="4" t="str">
        <f>IFERROR(INDEX(_角色基线!$B$2:$B$100,MATCH($B310,_角色基线!$A$2:$A$100,0)),"")</f>
        <v>阿芭</v>
      </c>
      <c r="N310" s="4" t="str">
        <f>IFERROR(INDEX(_角色基线!$C$2:$C$100,MATCH($B310,_角色基线!$A$2:$A$100,0)),"")</f>
        <v>Tank</v>
      </c>
      <c r="O310" s="4">
        <f>IFERROR(INDEX(_怪物基线!$B$2:$B$501,MATCH(INT($L310),_怪物基线!$A$2:$A$501,0)),"")</f>
        <v>471822</v>
      </c>
      <c r="P310" s="4">
        <f>IFERROR(INDEX(_怪物基线!$C$2:$C$501,MATCH(INT($L310),_怪物基线!$A$2:$A$501,0)),"")</f>
        <v>27818</v>
      </c>
      <c r="Q310" s="4">
        <f>IFERROR(INDEX(_怪物基线!$D$2:$D$501,MATCH(INT($L310),_怪物基线!$A$2:$A$501,0)),"")</f>
        <v>30024</v>
      </c>
      <c r="R310" s="4">
        <f>参数!$B$10</f>
        <v>4</v>
      </c>
      <c r="S310" s="4">
        <f>参数!$C$10</f>
        <v>1.2</v>
      </c>
      <c r="T310" s="4">
        <f>参数!$D$10</f>
        <v>1</v>
      </c>
      <c r="U310" s="4">
        <f t="shared" si="28"/>
        <v>1887288</v>
      </c>
      <c r="V310" s="4">
        <f t="shared" si="29"/>
        <v>33381.6</v>
      </c>
      <c r="W310" s="4">
        <f t="shared" si="30"/>
        <v>30024</v>
      </c>
      <c r="X310" s="4">
        <f>IFERROR(INDEX(参数!$B$5:$B$7,MATCH($N310,参数!$A$5:$A$7,0)),"")</f>
        <v>1.5</v>
      </c>
      <c r="Y310" s="4">
        <f>IFERROR(INDEX(参数!$C$5:$C$7,MATCH($N310,参数!$A$5:$A$7,0)),"")</f>
        <v>1</v>
      </c>
      <c r="Z310" s="4">
        <f>IFERROR(INDEX(参数!$D$5:$D$7,MATCH($N310,参数!$A$5:$A$7,0)),"")</f>
        <v>1.5</v>
      </c>
      <c r="AA310" s="4">
        <f>IFERROR(INDEX(楼层配置!$E$5:$E$104,MATCH($K310,楼层配置!$B$5:$B$104,0)),1)</f>
        <v>1</v>
      </c>
      <c r="AB310" s="4">
        <f>IFERROR(INDEX(楼层配置!$F$5:$F$104,MATCH($K310,楼层配置!$B$5:$B$104,0)),1)</f>
        <v>1</v>
      </c>
      <c r="AC310" s="4">
        <f>IFERROR(INDEX(楼层配置!$G$5:$G$104,MATCH($K310,楼层配置!$B$5:$B$104,0)),1)</f>
        <v>1</v>
      </c>
      <c r="AD310" s="6">
        <f t="shared" si="31"/>
        <v>0.413384085242438</v>
      </c>
      <c r="AE310" s="6">
        <f t="shared" si="32"/>
        <v>0.474535094306286</v>
      </c>
      <c r="AF310" s="6">
        <f t="shared" si="33"/>
        <v>0.639222537671981</v>
      </c>
      <c r="AG310" s="4" t="str">
        <f t="shared" si="34"/>
        <v>有效</v>
      </c>
    </row>
    <row r="311" ht="14.25" customHeight="1" spans="1:33">
      <c r="A311" s="4">
        <v>307</v>
      </c>
      <c r="B311" s="4">
        <v>1011</v>
      </c>
      <c r="C311" s="4">
        <v>41</v>
      </c>
      <c r="D311" s="5">
        <f>IFERROR(ROUND($U311*$X311*$AA311*参数!$B$13,0),"")</f>
        <v>2359110</v>
      </c>
      <c r="E311" s="5">
        <f>IFERROR(ROUND($V311*$Y311*$AB311*参数!$C$13,0),"")</f>
        <v>33382</v>
      </c>
      <c r="F311" s="5">
        <f>IFERROR(ROUND($W311*$Z311*$AC311*参数!$D$13,0),"")</f>
        <v>37530</v>
      </c>
      <c r="G311" s="4">
        <v>1669122</v>
      </c>
      <c r="H311" s="4">
        <v>22639</v>
      </c>
      <c r="I311" s="4">
        <v>22895</v>
      </c>
      <c r="J311" s="4">
        <v>62</v>
      </c>
      <c r="K311" s="4">
        <v>62</v>
      </c>
      <c r="L311" s="4">
        <f>IFERROR(INDEX(楼层配置!$D$5:$D$104,MATCH($K311,楼层配置!$B$5:$B$104,0)),"")</f>
        <v>324</v>
      </c>
      <c r="M311" s="4" t="str">
        <f>IFERROR(INDEX(_角色基线!$B$2:$B$100,MATCH($B311,_角色基线!$A$2:$A$100,0)),"")</f>
        <v>陈双双</v>
      </c>
      <c r="N311" s="4" t="str">
        <f>IFERROR(INDEX(_角色基线!$C$2:$C$100,MATCH($B311,_角色基线!$A$2:$A$100,0)),"")</f>
        <v>Support</v>
      </c>
      <c r="O311" s="4">
        <f>IFERROR(INDEX(_怪物基线!$B$2:$B$501,MATCH(INT($L311),_怪物基线!$A$2:$A$501,0)),"")</f>
        <v>471822</v>
      </c>
      <c r="P311" s="4">
        <f>IFERROR(INDEX(_怪物基线!$C$2:$C$501,MATCH(INT($L311),_怪物基线!$A$2:$A$501,0)),"")</f>
        <v>27818</v>
      </c>
      <c r="Q311" s="4">
        <f>IFERROR(INDEX(_怪物基线!$D$2:$D$501,MATCH(INT($L311),_怪物基线!$A$2:$A$501,0)),"")</f>
        <v>30024</v>
      </c>
      <c r="R311" s="4">
        <f>参数!$B$10</f>
        <v>4</v>
      </c>
      <c r="S311" s="4">
        <f>参数!$C$10</f>
        <v>1.2</v>
      </c>
      <c r="T311" s="4">
        <f>参数!$D$10</f>
        <v>1</v>
      </c>
      <c r="U311" s="4">
        <f t="shared" si="28"/>
        <v>1887288</v>
      </c>
      <c r="V311" s="4">
        <f t="shared" si="29"/>
        <v>33381.6</v>
      </c>
      <c r="W311" s="4">
        <f t="shared" si="30"/>
        <v>30024</v>
      </c>
      <c r="X311" s="4">
        <f>IFERROR(INDEX(参数!$B$5:$B$7,MATCH($N311,参数!$A$5:$A$7,0)),"")</f>
        <v>1.25</v>
      </c>
      <c r="Y311" s="4">
        <f>IFERROR(INDEX(参数!$C$5:$C$7,MATCH($N311,参数!$A$5:$A$7,0)),"")</f>
        <v>1</v>
      </c>
      <c r="Z311" s="4">
        <f>IFERROR(INDEX(参数!$D$5:$D$7,MATCH($N311,参数!$A$5:$A$7,0)),"")</f>
        <v>1.25</v>
      </c>
      <c r="AA311" s="4">
        <f>IFERROR(INDEX(楼层配置!$E$5:$E$104,MATCH($K311,楼层配置!$B$5:$B$104,0)),1)</f>
        <v>1</v>
      </c>
      <c r="AB311" s="4">
        <f>IFERROR(INDEX(楼层配置!$F$5:$F$104,MATCH($K311,楼层配置!$B$5:$B$104,0)),1)</f>
        <v>1</v>
      </c>
      <c r="AC311" s="4">
        <f>IFERROR(INDEX(楼层配置!$G$5:$G$104,MATCH($K311,楼层配置!$B$5:$B$104,0)),1)</f>
        <v>1</v>
      </c>
      <c r="AD311" s="6">
        <f t="shared" si="31"/>
        <v>0.413383802981448</v>
      </c>
      <c r="AE311" s="6">
        <f t="shared" si="32"/>
        <v>0.474535094306286</v>
      </c>
      <c r="AF311" s="6">
        <f t="shared" si="33"/>
        <v>0.639222537671981</v>
      </c>
      <c r="AG311" s="4" t="str">
        <f t="shared" si="34"/>
        <v>有效</v>
      </c>
    </row>
    <row r="312" ht="14.25" customHeight="1" spans="1:33">
      <c r="A312" s="4">
        <v>308</v>
      </c>
      <c r="B312" s="4">
        <v>1014</v>
      </c>
      <c r="C312" s="4">
        <v>41</v>
      </c>
      <c r="D312" s="5">
        <f>IFERROR(ROUND($U312*$X312*$AA312*参数!$B$13,0),"")</f>
        <v>1887288</v>
      </c>
      <c r="E312" s="5">
        <f>IFERROR(ROUND($V312*$Y312*$AB312*参数!$C$13,0),"")</f>
        <v>40058</v>
      </c>
      <c r="F312" s="5">
        <f>IFERROR(ROUND($W312*$Z312*$AC312*参数!$D$13,0),"")</f>
        <v>30024</v>
      </c>
      <c r="G312" s="4">
        <v>1335297</v>
      </c>
      <c r="H312" s="4">
        <v>27166</v>
      </c>
      <c r="I312" s="4">
        <v>18316</v>
      </c>
      <c r="J312" s="4">
        <v>62</v>
      </c>
      <c r="K312" s="4">
        <v>62</v>
      </c>
      <c r="L312" s="4">
        <f>IFERROR(INDEX(楼层配置!$D$5:$D$104,MATCH($K312,楼层配置!$B$5:$B$104,0)),"")</f>
        <v>324</v>
      </c>
      <c r="M312" s="4" t="str">
        <f>IFERROR(INDEX(_角色基线!$B$2:$B$100,MATCH($B312,_角色基线!$A$2:$A$100,0)),"")</f>
        <v>克莉丝汀</v>
      </c>
      <c r="N312" s="4" t="str">
        <f>IFERROR(INDEX(_角色基线!$C$2:$C$100,MATCH($B312,_角色基线!$A$2:$A$100,0)),"")</f>
        <v>DPS</v>
      </c>
      <c r="O312" s="4">
        <f>IFERROR(INDEX(_怪物基线!$B$2:$B$501,MATCH(INT($L312),_怪物基线!$A$2:$A$501,0)),"")</f>
        <v>471822</v>
      </c>
      <c r="P312" s="4">
        <f>IFERROR(INDEX(_怪物基线!$C$2:$C$501,MATCH(INT($L312),_怪物基线!$A$2:$A$501,0)),"")</f>
        <v>27818</v>
      </c>
      <c r="Q312" s="4">
        <f>IFERROR(INDEX(_怪物基线!$D$2:$D$501,MATCH(INT($L312),_怪物基线!$A$2:$A$501,0)),"")</f>
        <v>30024</v>
      </c>
      <c r="R312" s="4">
        <f>参数!$B$10</f>
        <v>4</v>
      </c>
      <c r="S312" s="4">
        <f>参数!$C$10</f>
        <v>1.2</v>
      </c>
      <c r="T312" s="4">
        <f>参数!$D$10</f>
        <v>1</v>
      </c>
      <c r="U312" s="4">
        <f t="shared" si="28"/>
        <v>1887288</v>
      </c>
      <c r="V312" s="4">
        <f t="shared" si="29"/>
        <v>33381.6</v>
      </c>
      <c r="W312" s="4">
        <f t="shared" si="30"/>
        <v>30024</v>
      </c>
      <c r="X312" s="4">
        <f>IFERROR(INDEX(参数!$B$5:$B$7,MATCH($N312,参数!$A$5:$A$7,0)),"")</f>
        <v>1</v>
      </c>
      <c r="Y312" s="4">
        <f>IFERROR(INDEX(参数!$C$5:$C$7,MATCH($N312,参数!$A$5:$A$7,0)),"")</f>
        <v>1.2</v>
      </c>
      <c r="Z312" s="4">
        <f>IFERROR(INDEX(参数!$D$5:$D$7,MATCH($N312,参数!$A$5:$A$7,0)),"")</f>
        <v>1</v>
      </c>
      <c r="AA312" s="4">
        <f>IFERROR(INDEX(楼层配置!$E$5:$E$104,MATCH($K312,楼层配置!$B$5:$B$104,0)),1)</f>
        <v>1</v>
      </c>
      <c r="AB312" s="4">
        <f>IFERROR(INDEX(楼层配置!$F$5:$F$104,MATCH($K312,楼层配置!$B$5:$B$104,0)),1)</f>
        <v>1</v>
      </c>
      <c r="AC312" s="4">
        <f>IFERROR(INDEX(楼层配置!$G$5:$G$104,MATCH($K312,楼层配置!$B$5:$B$104,0)),1)</f>
        <v>1</v>
      </c>
      <c r="AD312" s="6">
        <f t="shared" si="31"/>
        <v>0.413384438068834</v>
      </c>
      <c r="AE312" s="6">
        <f t="shared" si="32"/>
        <v>0.474563792976515</v>
      </c>
      <c r="AF312" s="6">
        <f t="shared" si="33"/>
        <v>0.639222537671981</v>
      </c>
      <c r="AG312" s="4" t="str">
        <f t="shared" si="34"/>
        <v>有效</v>
      </c>
    </row>
    <row r="313" ht="14.25" customHeight="1" spans="1:33">
      <c r="A313" s="4">
        <v>309</v>
      </c>
      <c r="B313" s="4">
        <v>1021</v>
      </c>
      <c r="C313" s="4">
        <v>41</v>
      </c>
      <c r="D313" s="5">
        <f>IFERROR(ROUND($U313*$X313*$AA313*参数!$B$13,0),"")</f>
        <v>1887288</v>
      </c>
      <c r="E313" s="5">
        <f>IFERROR(ROUND($V313*$Y313*$AB313*参数!$C$13,0),"")</f>
        <v>40058</v>
      </c>
      <c r="F313" s="5">
        <f>IFERROR(ROUND($W313*$Z313*$AC313*参数!$D$13,0),"")</f>
        <v>30024</v>
      </c>
      <c r="G313" s="4">
        <v>1335297</v>
      </c>
      <c r="H313" s="4">
        <v>27166</v>
      </c>
      <c r="I313" s="4">
        <v>18316</v>
      </c>
      <c r="J313" s="4">
        <v>62</v>
      </c>
      <c r="K313" s="4">
        <v>62</v>
      </c>
      <c r="L313" s="4">
        <f>IFERROR(INDEX(楼层配置!$D$5:$D$104,MATCH($K313,楼层配置!$B$5:$B$104,0)),"")</f>
        <v>324</v>
      </c>
      <c r="M313" s="4" t="str">
        <f>IFERROR(INDEX(_角色基线!$B$2:$B$100,MATCH($B313,_角色基线!$A$2:$A$100,0)),"")</f>
        <v>梅梅</v>
      </c>
      <c r="N313" s="4" t="str">
        <f>IFERROR(INDEX(_角色基线!$C$2:$C$100,MATCH($B313,_角色基线!$A$2:$A$100,0)),"")</f>
        <v>DPS</v>
      </c>
      <c r="O313" s="4">
        <f>IFERROR(INDEX(_怪物基线!$B$2:$B$501,MATCH(INT($L313),_怪物基线!$A$2:$A$501,0)),"")</f>
        <v>471822</v>
      </c>
      <c r="P313" s="4">
        <f>IFERROR(INDEX(_怪物基线!$C$2:$C$501,MATCH(INT($L313),_怪物基线!$A$2:$A$501,0)),"")</f>
        <v>27818</v>
      </c>
      <c r="Q313" s="4">
        <f>IFERROR(INDEX(_怪物基线!$D$2:$D$501,MATCH(INT($L313),_怪物基线!$A$2:$A$501,0)),"")</f>
        <v>30024</v>
      </c>
      <c r="R313" s="4">
        <f>参数!$B$10</f>
        <v>4</v>
      </c>
      <c r="S313" s="4">
        <f>参数!$C$10</f>
        <v>1.2</v>
      </c>
      <c r="T313" s="4">
        <f>参数!$D$10</f>
        <v>1</v>
      </c>
      <c r="U313" s="4">
        <f t="shared" si="28"/>
        <v>1887288</v>
      </c>
      <c r="V313" s="4">
        <f t="shared" si="29"/>
        <v>33381.6</v>
      </c>
      <c r="W313" s="4">
        <f t="shared" si="30"/>
        <v>30024</v>
      </c>
      <c r="X313" s="4">
        <f>IFERROR(INDEX(参数!$B$5:$B$7,MATCH($N313,参数!$A$5:$A$7,0)),"")</f>
        <v>1</v>
      </c>
      <c r="Y313" s="4">
        <f>IFERROR(INDEX(参数!$C$5:$C$7,MATCH($N313,参数!$A$5:$A$7,0)),"")</f>
        <v>1.2</v>
      </c>
      <c r="Z313" s="4">
        <f>IFERROR(INDEX(参数!$D$5:$D$7,MATCH($N313,参数!$A$5:$A$7,0)),"")</f>
        <v>1</v>
      </c>
      <c r="AA313" s="4">
        <f>IFERROR(INDEX(楼层配置!$E$5:$E$104,MATCH($K313,楼层配置!$B$5:$B$104,0)),1)</f>
        <v>1</v>
      </c>
      <c r="AB313" s="4">
        <f>IFERROR(INDEX(楼层配置!$F$5:$F$104,MATCH($K313,楼层配置!$B$5:$B$104,0)),1)</f>
        <v>1</v>
      </c>
      <c r="AC313" s="4">
        <f>IFERROR(INDEX(楼层配置!$G$5:$G$104,MATCH($K313,楼层配置!$B$5:$B$104,0)),1)</f>
        <v>1</v>
      </c>
      <c r="AD313" s="6">
        <f t="shared" si="31"/>
        <v>0.413384438068834</v>
      </c>
      <c r="AE313" s="6">
        <f t="shared" si="32"/>
        <v>0.474563792976515</v>
      </c>
      <c r="AF313" s="6">
        <f t="shared" si="33"/>
        <v>0.639222537671981</v>
      </c>
      <c r="AG313" s="4" t="str">
        <f t="shared" si="34"/>
        <v>有效</v>
      </c>
    </row>
    <row r="314" ht="14.25" customHeight="1" spans="1:33">
      <c r="A314" s="4">
        <v>310</v>
      </c>
      <c r="B314" s="4">
        <v>1006</v>
      </c>
      <c r="C314" s="4">
        <v>41</v>
      </c>
      <c r="D314" s="5">
        <f>IFERROR(ROUND($U314*$X314*$AA314*参数!$B$13,0),"")</f>
        <v>1887288</v>
      </c>
      <c r="E314" s="5">
        <f>IFERROR(ROUND($V314*$Y314*$AB314*参数!$C$13,0),"")</f>
        <v>40058</v>
      </c>
      <c r="F314" s="5">
        <f>IFERROR(ROUND($W314*$Z314*$AC314*参数!$D$13,0),"")</f>
        <v>30024</v>
      </c>
      <c r="G314" s="4">
        <v>1335297</v>
      </c>
      <c r="H314" s="4">
        <v>27166</v>
      </c>
      <c r="I314" s="4">
        <v>18316</v>
      </c>
      <c r="J314" s="4">
        <v>62</v>
      </c>
      <c r="K314" s="4">
        <v>62</v>
      </c>
      <c r="L314" s="4">
        <f>IFERROR(INDEX(楼层配置!$D$5:$D$104,MATCH($K314,楼层配置!$B$5:$B$104,0)),"")</f>
        <v>324</v>
      </c>
      <c r="M314" s="4" t="str">
        <f>IFERROR(INDEX(_角色基线!$B$2:$B$100,MATCH($B314,_角色基线!$A$2:$A$100,0)),"")</f>
        <v>莉莉娅</v>
      </c>
      <c r="N314" s="4" t="str">
        <f>IFERROR(INDEX(_角色基线!$C$2:$C$100,MATCH($B314,_角色基线!$A$2:$A$100,0)),"")</f>
        <v>DPS</v>
      </c>
      <c r="O314" s="4">
        <f>IFERROR(INDEX(_怪物基线!$B$2:$B$501,MATCH(INT($L314),_怪物基线!$A$2:$A$501,0)),"")</f>
        <v>471822</v>
      </c>
      <c r="P314" s="4">
        <f>IFERROR(INDEX(_怪物基线!$C$2:$C$501,MATCH(INT($L314),_怪物基线!$A$2:$A$501,0)),"")</f>
        <v>27818</v>
      </c>
      <c r="Q314" s="4">
        <f>IFERROR(INDEX(_怪物基线!$D$2:$D$501,MATCH(INT($L314),_怪物基线!$A$2:$A$501,0)),"")</f>
        <v>30024</v>
      </c>
      <c r="R314" s="4">
        <f>参数!$B$10</f>
        <v>4</v>
      </c>
      <c r="S314" s="4">
        <f>参数!$C$10</f>
        <v>1.2</v>
      </c>
      <c r="T314" s="4">
        <f>参数!$D$10</f>
        <v>1</v>
      </c>
      <c r="U314" s="4">
        <f t="shared" si="28"/>
        <v>1887288</v>
      </c>
      <c r="V314" s="4">
        <f t="shared" si="29"/>
        <v>33381.6</v>
      </c>
      <c r="W314" s="4">
        <f t="shared" si="30"/>
        <v>30024</v>
      </c>
      <c r="X314" s="4">
        <f>IFERROR(INDEX(参数!$B$5:$B$7,MATCH($N314,参数!$A$5:$A$7,0)),"")</f>
        <v>1</v>
      </c>
      <c r="Y314" s="4">
        <f>IFERROR(INDEX(参数!$C$5:$C$7,MATCH($N314,参数!$A$5:$A$7,0)),"")</f>
        <v>1.2</v>
      </c>
      <c r="Z314" s="4">
        <f>IFERROR(INDEX(参数!$D$5:$D$7,MATCH($N314,参数!$A$5:$A$7,0)),"")</f>
        <v>1</v>
      </c>
      <c r="AA314" s="4">
        <f>IFERROR(INDEX(楼层配置!$E$5:$E$104,MATCH($K314,楼层配置!$B$5:$B$104,0)),1)</f>
        <v>1</v>
      </c>
      <c r="AB314" s="4">
        <f>IFERROR(INDEX(楼层配置!$F$5:$F$104,MATCH($K314,楼层配置!$B$5:$B$104,0)),1)</f>
        <v>1</v>
      </c>
      <c r="AC314" s="4">
        <f>IFERROR(INDEX(楼层配置!$G$5:$G$104,MATCH($K314,楼层配置!$B$5:$B$104,0)),1)</f>
        <v>1</v>
      </c>
      <c r="AD314" s="6">
        <f t="shared" si="31"/>
        <v>0.413384438068834</v>
      </c>
      <c r="AE314" s="6">
        <f t="shared" si="32"/>
        <v>0.474563792976515</v>
      </c>
      <c r="AF314" s="6">
        <f t="shared" si="33"/>
        <v>0.639222537671981</v>
      </c>
      <c r="AG314" s="4" t="str">
        <f t="shared" si="34"/>
        <v>有效</v>
      </c>
    </row>
    <row r="315" ht="14.25" customHeight="1" spans="1:33">
      <c r="A315" s="4">
        <v>311</v>
      </c>
      <c r="B315" s="4">
        <v>1002</v>
      </c>
      <c r="C315" s="4">
        <v>41</v>
      </c>
      <c r="D315" s="5">
        <f>IFERROR(ROUND($U315*$X315*$AA315*参数!$B$13,0),"")</f>
        <v>2879382</v>
      </c>
      <c r="E315" s="5">
        <f>IFERROR(ROUND($V315*$Y315*$AB315*参数!$C$13,0),"")</f>
        <v>33818</v>
      </c>
      <c r="F315" s="5">
        <f>IFERROR(ROUND($W315*$Z315*$AC315*参数!$D$13,0),"")</f>
        <v>45425</v>
      </c>
      <c r="G315" s="4">
        <v>2082470</v>
      </c>
      <c r="H315" s="4">
        <v>23274</v>
      </c>
      <c r="I315" s="4">
        <v>28034</v>
      </c>
      <c r="J315" s="4">
        <v>63</v>
      </c>
      <c r="K315" s="4">
        <v>63</v>
      </c>
      <c r="L315" s="4">
        <f>IFERROR(INDEX(楼层配置!$D$5:$D$104,MATCH($K315,楼层配置!$B$5:$B$104,0)),"")</f>
        <v>326</v>
      </c>
      <c r="M315" s="4" t="str">
        <f>IFERROR(INDEX(_角色基线!$B$2:$B$100,MATCH($B315,_角色基线!$A$2:$A$100,0)),"")</f>
        <v>大暑</v>
      </c>
      <c r="N315" s="4" t="str">
        <f>IFERROR(INDEX(_角色基线!$C$2:$C$100,MATCH($B315,_角色基线!$A$2:$A$100,0)),"")</f>
        <v>Tank</v>
      </c>
      <c r="O315" s="4">
        <f>IFERROR(INDEX(_怪物基线!$B$2:$B$501,MATCH(INT($L315),_怪物基线!$A$2:$A$501,0)),"")</f>
        <v>479897</v>
      </c>
      <c r="P315" s="4">
        <f>IFERROR(INDEX(_怪物基线!$C$2:$C$501,MATCH(INT($L315),_怪物基线!$A$2:$A$501,0)),"")</f>
        <v>28182</v>
      </c>
      <c r="Q315" s="4">
        <f>IFERROR(INDEX(_怪物基线!$D$2:$D$501,MATCH(INT($L315),_怪物基线!$A$2:$A$501,0)),"")</f>
        <v>30283</v>
      </c>
      <c r="R315" s="4">
        <f>参数!$B$10</f>
        <v>4</v>
      </c>
      <c r="S315" s="4">
        <f>参数!$C$10</f>
        <v>1.2</v>
      </c>
      <c r="T315" s="4">
        <f>参数!$D$10</f>
        <v>1</v>
      </c>
      <c r="U315" s="4">
        <f t="shared" si="28"/>
        <v>1919588</v>
      </c>
      <c r="V315" s="4">
        <f t="shared" si="29"/>
        <v>33818.4</v>
      </c>
      <c r="W315" s="4">
        <f t="shared" si="30"/>
        <v>30283</v>
      </c>
      <c r="X315" s="4">
        <f>IFERROR(INDEX(参数!$B$5:$B$7,MATCH($N315,参数!$A$5:$A$7,0)),"")</f>
        <v>1.5</v>
      </c>
      <c r="Y315" s="4">
        <f>IFERROR(INDEX(参数!$C$5:$C$7,MATCH($N315,参数!$A$5:$A$7,0)),"")</f>
        <v>1</v>
      </c>
      <c r="Z315" s="4">
        <f>IFERROR(INDEX(参数!$D$5:$D$7,MATCH($N315,参数!$A$5:$A$7,0)),"")</f>
        <v>1.5</v>
      </c>
      <c r="AA315" s="4">
        <f>IFERROR(INDEX(楼层配置!$E$5:$E$104,MATCH($K315,楼层配置!$B$5:$B$104,0)),1)</f>
        <v>1</v>
      </c>
      <c r="AB315" s="4">
        <f>IFERROR(INDEX(楼层配置!$F$5:$F$104,MATCH($K315,楼层配置!$B$5:$B$104,0)),1)</f>
        <v>1</v>
      </c>
      <c r="AC315" s="4">
        <f>IFERROR(INDEX(楼层配置!$G$5:$G$104,MATCH($K315,楼层配置!$B$5:$B$104,0)),1)</f>
        <v>1</v>
      </c>
      <c r="AD315" s="6">
        <f t="shared" si="31"/>
        <v>0.382676341075742</v>
      </c>
      <c r="AE315" s="6">
        <f t="shared" si="32"/>
        <v>0.453037724499441</v>
      </c>
      <c r="AF315" s="6">
        <f t="shared" si="33"/>
        <v>0.620353856031961</v>
      </c>
      <c r="AG315" s="4" t="str">
        <f t="shared" si="34"/>
        <v>有效</v>
      </c>
    </row>
    <row r="316" ht="14.25" customHeight="1" spans="1:33">
      <c r="A316" s="4">
        <v>312</v>
      </c>
      <c r="B316" s="4">
        <v>1008</v>
      </c>
      <c r="C316" s="4">
        <v>41</v>
      </c>
      <c r="D316" s="5">
        <f>IFERROR(ROUND($U316*$X316*$AA316*参数!$B$13,0),"")</f>
        <v>1919588</v>
      </c>
      <c r="E316" s="5">
        <f>IFERROR(ROUND($V316*$Y316*$AB316*参数!$C$13,0),"")</f>
        <v>40582</v>
      </c>
      <c r="F316" s="5">
        <f>IFERROR(ROUND($W316*$Z316*$AC316*参数!$D$13,0),"")</f>
        <v>30283</v>
      </c>
      <c r="G316" s="4">
        <v>1388313</v>
      </c>
      <c r="H316" s="4">
        <v>27928</v>
      </c>
      <c r="I316" s="4">
        <v>18689</v>
      </c>
      <c r="J316" s="4">
        <v>63</v>
      </c>
      <c r="K316" s="4">
        <v>63</v>
      </c>
      <c r="L316" s="4">
        <f>IFERROR(INDEX(楼层配置!$D$5:$D$104,MATCH($K316,楼层配置!$B$5:$B$104,0)),"")</f>
        <v>326</v>
      </c>
      <c r="M316" s="4" t="str">
        <f>IFERROR(INDEX(_角色基线!$B$2:$B$100,MATCH($B316,_角色基线!$A$2:$A$100,0)),"")</f>
        <v>薇</v>
      </c>
      <c r="N316" s="4" t="str">
        <f>IFERROR(INDEX(_角色基线!$C$2:$C$100,MATCH($B316,_角色基线!$A$2:$A$100,0)),"")</f>
        <v>DPS</v>
      </c>
      <c r="O316" s="4">
        <f>IFERROR(INDEX(_怪物基线!$B$2:$B$501,MATCH(INT($L316),_怪物基线!$A$2:$A$501,0)),"")</f>
        <v>479897</v>
      </c>
      <c r="P316" s="4">
        <f>IFERROR(INDEX(_怪物基线!$C$2:$C$501,MATCH(INT($L316),_怪物基线!$A$2:$A$501,0)),"")</f>
        <v>28182</v>
      </c>
      <c r="Q316" s="4">
        <f>IFERROR(INDEX(_怪物基线!$D$2:$D$501,MATCH(INT($L316),_怪物基线!$A$2:$A$501,0)),"")</f>
        <v>30283</v>
      </c>
      <c r="R316" s="4">
        <f>参数!$B$10</f>
        <v>4</v>
      </c>
      <c r="S316" s="4">
        <f>参数!$C$10</f>
        <v>1.2</v>
      </c>
      <c r="T316" s="4">
        <f>参数!$D$10</f>
        <v>1</v>
      </c>
      <c r="U316" s="4">
        <f t="shared" si="28"/>
        <v>1919588</v>
      </c>
      <c r="V316" s="4">
        <f t="shared" si="29"/>
        <v>33818.4</v>
      </c>
      <c r="W316" s="4">
        <f t="shared" si="30"/>
        <v>30283</v>
      </c>
      <c r="X316" s="4">
        <f>IFERROR(INDEX(参数!$B$5:$B$7,MATCH($N316,参数!$A$5:$A$7,0)),"")</f>
        <v>1</v>
      </c>
      <c r="Y316" s="4">
        <f>IFERROR(INDEX(参数!$C$5:$C$7,MATCH($N316,参数!$A$5:$A$7,0)),"")</f>
        <v>1.2</v>
      </c>
      <c r="Z316" s="4">
        <f>IFERROR(INDEX(参数!$D$5:$D$7,MATCH($N316,参数!$A$5:$A$7,0)),"")</f>
        <v>1</v>
      </c>
      <c r="AA316" s="4">
        <f>IFERROR(INDEX(楼层配置!$E$5:$E$104,MATCH($K316,楼层配置!$B$5:$B$104,0)),1)</f>
        <v>1</v>
      </c>
      <c r="AB316" s="4">
        <f>IFERROR(INDEX(楼层配置!$F$5:$F$104,MATCH($K316,楼层配置!$B$5:$B$104,0)),1)</f>
        <v>1</v>
      </c>
      <c r="AC316" s="4">
        <f>IFERROR(INDEX(楼层配置!$G$5:$G$104,MATCH($K316,楼层配置!$B$5:$B$104,0)),1)</f>
        <v>1</v>
      </c>
      <c r="AD316" s="6">
        <f t="shared" si="31"/>
        <v>0.382676673055716</v>
      </c>
      <c r="AE316" s="6">
        <f t="shared" si="32"/>
        <v>0.453093669435692</v>
      </c>
      <c r="AF316" s="6">
        <f t="shared" si="33"/>
        <v>0.620364920541495</v>
      </c>
      <c r="AG316" s="4" t="str">
        <f t="shared" si="34"/>
        <v>有效</v>
      </c>
    </row>
    <row r="317" ht="14.25" customHeight="1" spans="1:33">
      <c r="A317" s="4">
        <v>313</v>
      </c>
      <c r="B317" s="4">
        <v>1006</v>
      </c>
      <c r="C317" s="4">
        <v>41</v>
      </c>
      <c r="D317" s="5">
        <f>IFERROR(ROUND($U317*$X317*$AA317*参数!$B$13,0),"")</f>
        <v>1919588</v>
      </c>
      <c r="E317" s="5">
        <f>IFERROR(ROUND($V317*$Y317*$AB317*参数!$C$13,0),"")</f>
        <v>40582</v>
      </c>
      <c r="F317" s="5">
        <f>IFERROR(ROUND($W317*$Z317*$AC317*参数!$D$13,0),"")</f>
        <v>30283</v>
      </c>
      <c r="G317" s="4">
        <v>1388313</v>
      </c>
      <c r="H317" s="4">
        <v>27928</v>
      </c>
      <c r="I317" s="4">
        <v>18689</v>
      </c>
      <c r="J317" s="4">
        <v>63</v>
      </c>
      <c r="K317" s="4">
        <v>63</v>
      </c>
      <c r="L317" s="4">
        <f>IFERROR(INDEX(楼层配置!$D$5:$D$104,MATCH($K317,楼层配置!$B$5:$B$104,0)),"")</f>
        <v>326</v>
      </c>
      <c r="M317" s="4" t="str">
        <f>IFERROR(INDEX(_角色基线!$B$2:$B$100,MATCH($B317,_角色基线!$A$2:$A$100,0)),"")</f>
        <v>莉莉娅</v>
      </c>
      <c r="N317" s="4" t="str">
        <f>IFERROR(INDEX(_角色基线!$C$2:$C$100,MATCH($B317,_角色基线!$A$2:$A$100,0)),"")</f>
        <v>DPS</v>
      </c>
      <c r="O317" s="4">
        <f>IFERROR(INDEX(_怪物基线!$B$2:$B$501,MATCH(INT($L317),_怪物基线!$A$2:$A$501,0)),"")</f>
        <v>479897</v>
      </c>
      <c r="P317" s="4">
        <f>IFERROR(INDEX(_怪物基线!$C$2:$C$501,MATCH(INT($L317),_怪物基线!$A$2:$A$501,0)),"")</f>
        <v>28182</v>
      </c>
      <c r="Q317" s="4">
        <f>IFERROR(INDEX(_怪物基线!$D$2:$D$501,MATCH(INT($L317),_怪物基线!$A$2:$A$501,0)),"")</f>
        <v>30283</v>
      </c>
      <c r="R317" s="4">
        <f>参数!$B$10</f>
        <v>4</v>
      </c>
      <c r="S317" s="4">
        <f>参数!$C$10</f>
        <v>1.2</v>
      </c>
      <c r="T317" s="4">
        <f>参数!$D$10</f>
        <v>1</v>
      </c>
      <c r="U317" s="4">
        <f t="shared" si="28"/>
        <v>1919588</v>
      </c>
      <c r="V317" s="4">
        <f t="shared" si="29"/>
        <v>33818.4</v>
      </c>
      <c r="W317" s="4">
        <f t="shared" si="30"/>
        <v>30283</v>
      </c>
      <c r="X317" s="4">
        <f>IFERROR(INDEX(参数!$B$5:$B$7,MATCH($N317,参数!$A$5:$A$7,0)),"")</f>
        <v>1</v>
      </c>
      <c r="Y317" s="4">
        <f>IFERROR(INDEX(参数!$C$5:$C$7,MATCH($N317,参数!$A$5:$A$7,0)),"")</f>
        <v>1.2</v>
      </c>
      <c r="Z317" s="4">
        <f>IFERROR(INDEX(参数!$D$5:$D$7,MATCH($N317,参数!$A$5:$A$7,0)),"")</f>
        <v>1</v>
      </c>
      <c r="AA317" s="4">
        <f>IFERROR(INDEX(楼层配置!$E$5:$E$104,MATCH($K317,楼层配置!$B$5:$B$104,0)),1)</f>
        <v>1</v>
      </c>
      <c r="AB317" s="4">
        <f>IFERROR(INDEX(楼层配置!$F$5:$F$104,MATCH($K317,楼层配置!$B$5:$B$104,0)),1)</f>
        <v>1</v>
      </c>
      <c r="AC317" s="4">
        <f>IFERROR(INDEX(楼层配置!$G$5:$G$104,MATCH($K317,楼层配置!$B$5:$B$104,0)),1)</f>
        <v>1</v>
      </c>
      <c r="AD317" s="6">
        <f t="shared" si="31"/>
        <v>0.382676673055716</v>
      </c>
      <c r="AE317" s="6">
        <f t="shared" si="32"/>
        <v>0.453093669435692</v>
      </c>
      <c r="AF317" s="6">
        <f t="shared" si="33"/>
        <v>0.620364920541495</v>
      </c>
      <c r="AG317" s="4" t="str">
        <f t="shared" si="34"/>
        <v>有效</v>
      </c>
    </row>
    <row r="318" ht="14.25" customHeight="1" spans="1:33">
      <c r="A318" s="4">
        <v>314</v>
      </c>
      <c r="B318" s="4">
        <v>1007</v>
      </c>
      <c r="C318" s="4">
        <v>41</v>
      </c>
      <c r="D318" s="5">
        <f>IFERROR(ROUND($U318*$X318*$AA318*参数!$B$13,0),"")</f>
        <v>2399485</v>
      </c>
      <c r="E318" s="5">
        <f>IFERROR(ROUND($V318*$Y318*$AB318*参数!$C$13,0),"")</f>
        <v>33818</v>
      </c>
      <c r="F318" s="5">
        <f>IFERROR(ROUND($W318*$Z318*$AC318*参数!$D$13,0),"")</f>
        <v>37854</v>
      </c>
      <c r="G318" s="4">
        <v>1735392</v>
      </c>
      <c r="H318" s="4">
        <v>23274</v>
      </c>
      <c r="I318" s="4">
        <v>23362</v>
      </c>
      <c r="J318" s="4">
        <v>63</v>
      </c>
      <c r="K318" s="4">
        <v>63</v>
      </c>
      <c r="L318" s="4">
        <f>IFERROR(INDEX(楼层配置!$D$5:$D$104,MATCH($K318,楼层配置!$B$5:$B$104,0)),"")</f>
        <v>326</v>
      </c>
      <c r="M318" s="4" t="str">
        <f>IFERROR(INDEX(_角色基线!$B$2:$B$100,MATCH($B318,_角色基线!$A$2:$A$100,0)),"")</f>
        <v>萨萨莉安</v>
      </c>
      <c r="N318" s="4" t="str">
        <f>IFERROR(INDEX(_角色基线!$C$2:$C$100,MATCH($B318,_角色基线!$A$2:$A$100,0)),"")</f>
        <v>Support</v>
      </c>
      <c r="O318" s="4">
        <f>IFERROR(INDEX(_怪物基线!$B$2:$B$501,MATCH(INT($L318),_怪物基线!$A$2:$A$501,0)),"")</f>
        <v>479897</v>
      </c>
      <c r="P318" s="4">
        <f>IFERROR(INDEX(_怪物基线!$C$2:$C$501,MATCH(INT($L318),_怪物基线!$A$2:$A$501,0)),"")</f>
        <v>28182</v>
      </c>
      <c r="Q318" s="4">
        <f>IFERROR(INDEX(_怪物基线!$D$2:$D$501,MATCH(INT($L318),_怪物基线!$A$2:$A$501,0)),"")</f>
        <v>30283</v>
      </c>
      <c r="R318" s="4">
        <f>参数!$B$10</f>
        <v>4</v>
      </c>
      <c r="S318" s="4">
        <f>参数!$C$10</f>
        <v>1.2</v>
      </c>
      <c r="T318" s="4">
        <f>参数!$D$10</f>
        <v>1</v>
      </c>
      <c r="U318" s="4">
        <f t="shared" si="28"/>
        <v>1919588</v>
      </c>
      <c r="V318" s="4">
        <f t="shared" si="29"/>
        <v>33818.4</v>
      </c>
      <c r="W318" s="4">
        <f t="shared" si="30"/>
        <v>30283</v>
      </c>
      <c r="X318" s="4">
        <f>IFERROR(INDEX(参数!$B$5:$B$7,MATCH($N318,参数!$A$5:$A$7,0)),"")</f>
        <v>1.25</v>
      </c>
      <c r="Y318" s="4">
        <f>IFERROR(INDEX(参数!$C$5:$C$7,MATCH($N318,参数!$A$5:$A$7,0)),"")</f>
        <v>1</v>
      </c>
      <c r="Z318" s="4">
        <f>IFERROR(INDEX(参数!$D$5:$D$7,MATCH($N318,参数!$A$5:$A$7,0)),"")</f>
        <v>1.25</v>
      </c>
      <c r="AA318" s="4">
        <f>IFERROR(INDEX(楼层配置!$E$5:$E$104,MATCH($K318,楼层配置!$B$5:$B$104,0)),1)</f>
        <v>1</v>
      </c>
      <c r="AB318" s="4">
        <f>IFERROR(INDEX(楼层配置!$F$5:$F$104,MATCH($K318,楼层配置!$B$5:$B$104,0)),1)</f>
        <v>1</v>
      </c>
      <c r="AC318" s="4">
        <f>IFERROR(INDEX(楼层配置!$G$5:$G$104,MATCH($K318,楼层配置!$B$5:$B$104,0)),1)</f>
        <v>1</v>
      </c>
      <c r="AD318" s="6">
        <f t="shared" si="31"/>
        <v>0.382676075491877</v>
      </c>
      <c r="AE318" s="6">
        <f t="shared" si="32"/>
        <v>0.453037724499441</v>
      </c>
      <c r="AF318" s="6">
        <f t="shared" si="33"/>
        <v>0.620323602431299</v>
      </c>
      <c r="AG318" s="4" t="str">
        <f t="shared" si="34"/>
        <v>有效</v>
      </c>
    </row>
    <row r="319" ht="14.25" customHeight="1" spans="1:33">
      <c r="A319" s="4">
        <v>315</v>
      </c>
      <c r="B319" s="4">
        <v>1007</v>
      </c>
      <c r="C319" s="4">
        <v>41</v>
      </c>
      <c r="D319" s="5">
        <f>IFERROR(ROUND($U319*$X319*$AA319*参数!$B$13,0),"")</f>
        <v>2399485</v>
      </c>
      <c r="E319" s="5">
        <f>IFERROR(ROUND($V319*$Y319*$AB319*参数!$C$13,0),"")</f>
        <v>33818</v>
      </c>
      <c r="F319" s="5">
        <f>IFERROR(ROUND($W319*$Z319*$AC319*参数!$D$13,0),"")</f>
        <v>37854</v>
      </c>
      <c r="G319" s="4">
        <v>1735392</v>
      </c>
      <c r="H319" s="4">
        <v>23274</v>
      </c>
      <c r="I319" s="4">
        <v>23362</v>
      </c>
      <c r="J319" s="4">
        <v>63</v>
      </c>
      <c r="K319" s="4">
        <v>63</v>
      </c>
      <c r="L319" s="4">
        <f>IFERROR(INDEX(楼层配置!$D$5:$D$104,MATCH($K319,楼层配置!$B$5:$B$104,0)),"")</f>
        <v>326</v>
      </c>
      <c r="M319" s="4" t="str">
        <f>IFERROR(INDEX(_角色基线!$B$2:$B$100,MATCH($B319,_角色基线!$A$2:$A$100,0)),"")</f>
        <v>萨萨莉安</v>
      </c>
      <c r="N319" s="4" t="str">
        <f>IFERROR(INDEX(_角色基线!$C$2:$C$100,MATCH($B319,_角色基线!$A$2:$A$100,0)),"")</f>
        <v>Support</v>
      </c>
      <c r="O319" s="4">
        <f>IFERROR(INDEX(_怪物基线!$B$2:$B$501,MATCH(INT($L319),_怪物基线!$A$2:$A$501,0)),"")</f>
        <v>479897</v>
      </c>
      <c r="P319" s="4">
        <f>IFERROR(INDEX(_怪物基线!$C$2:$C$501,MATCH(INT($L319),_怪物基线!$A$2:$A$501,0)),"")</f>
        <v>28182</v>
      </c>
      <c r="Q319" s="4">
        <f>IFERROR(INDEX(_怪物基线!$D$2:$D$501,MATCH(INT($L319),_怪物基线!$A$2:$A$501,0)),"")</f>
        <v>30283</v>
      </c>
      <c r="R319" s="4">
        <f>参数!$B$10</f>
        <v>4</v>
      </c>
      <c r="S319" s="4">
        <f>参数!$C$10</f>
        <v>1.2</v>
      </c>
      <c r="T319" s="4">
        <f>参数!$D$10</f>
        <v>1</v>
      </c>
      <c r="U319" s="4">
        <f t="shared" si="28"/>
        <v>1919588</v>
      </c>
      <c r="V319" s="4">
        <f t="shared" si="29"/>
        <v>33818.4</v>
      </c>
      <c r="W319" s="4">
        <f t="shared" si="30"/>
        <v>30283</v>
      </c>
      <c r="X319" s="4">
        <f>IFERROR(INDEX(参数!$B$5:$B$7,MATCH($N319,参数!$A$5:$A$7,0)),"")</f>
        <v>1.25</v>
      </c>
      <c r="Y319" s="4">
        <f>IFERROR(INDEX(参数!$C$5:$C$7,MATCH($N319,参数!$A$5:$A$7,0)),"")</f>
        <v>1</v>
      </c>
      <c r="Z319" s="4">
        <f>IFERROR(INDEX(参数!$D$5:$D$7,MATCH($N319,参数!$A$5:$A$7,0)),"")</f>
        <v>1.25</v>
      </c>
      <c r="AA319" s="4">
        <f>IFERROR(INDEX(楼层配置!$E$5:$E$104,MATCH($K319,楼层配置!$B$5:$B$104,0)),1)</f>
        <v>1</v>
      </c>
      <c r="AB319" s="4">
        <f>IFERROR(INDEX(楼层配置!$F$5:$F$104,MATCH($K319,楼层配置!$B$5:$B$104,0)),1)</f>
        <v>1</v>
      </c>
      <c r="AC319" s="4">
        <f>IFERROR(INDEX(楼层配置!$G$5:$G$104,MATCH($K319,楼层配置!$B$5:$B$104,0)),1)</f>
        <v>1</v>
      </c>
      <c r="AD319" s="6">
        <f t="shared" si="31"/>
        <v>0.382676075491877</v>
      </c>
      <c r="AE319" s="6">
        <f t="shared" si="32"/>
        <v>0.453037724499441</v>
      </c>
      <c r="AF319" s="6">
        <f t="shared" si="33"/>
        <v>0.620323602431299</v>
      </c>
      <c r="AG319" s="4" t="str">
        <f t="shared" si="34"/>
        <v>有效</v>
      </c>
    </row>
    <row r="320" ht="14.25" customHeight="1" spans="1:33">
      <c r="A320" s="4">
        <v>316</v>
      </c>
      <c r="B320" s="4">
        <v>1004</v>
      </c>
      <c r="C320" s="4">
        <v>42</v>
      </c>
      <c r="D320" s="5">
        <f>IFERROR(ROUND($U320*$X320*$AA320*参数!$B$13,0),"")</f>
        <v>2928450</v>
      </c>
      <c r="E320" s="5">
        <f>IFERROR(ROUND($V320*$Y320*$AB320*参数!$C$13,0),"")</f>
        <v>34260</v>
      </c>
      <c r="F320" s="5">
        <f>IFERROR(ROUND($W320*$Z320*$AC320*参数!$D$13,0),"")</f>
        <v>45816</v>
      </c>
      <c r="G320" s="4">
        <v>2164269</v>
      </c>
      <c r="H320" s="4">
        <v>23922</v>
      </c>
      <c r="I320" s="4">
        <v>28599</v>
      </c>
      <c r="J320" s="4">
        <v>64</v>
      </c>
      <c r="K320" s="4">
        <v>64</v>
      </c>
      <c r="L320" s="4">
        <f>IFERROR(INDEX(楼层配置!$D$5:$D$104,MATCH($K320,楼层配置!$B$5:$B$104,0)),"")</f>
        <v>328</v>
      </c>
      <c r="M320" s="4" t="str">
        <f>IFERROR(INDEX(_角色基线!$B$2:$B$100,MATCH($B320,_角色基线!$A$2:$A$100,0)),"")</f>
        <v>阿芭</v>
      </c>
      <c r="N320" s="4" t="str">
        <f>IFERROR(INDEX(_角色基线!$C$2:$C$100,MATCH($B320,_角色基线!$A$2:$A$100,0)),"")</f>
        <v>Tank</v>
      </c>
      <c r="O320" s="4">
        <f>IFERROR(INDEX(_怪物基线!$B$2:$B$501,MATCH(INT($L320),_怪物基线!$A$2:$A$501,0)),"")</f>
        <v>488075</v>
      </c>
      <c r="P320" s="4">
        <f>IFERROR(INDEX(_怪物基线!$C$2:$C$501,MATCH(INT($L320),_怪物基线!$A$2:$A$501,0)),"")</f>
        <v>28550</v>
      </c>
      <c r="Q320" s="4">
        <f>IFERROR(INDEX(_怪物基线!$D$2:$D$501,MATCH(INT($L320),_怪物基线!$A$2:$A$501,0)),"")</f>
        <v>30544</v>
      </c>
      <c r="R320" s="4">
        <f>参数!$B$10</f>
        <v>4</v>
      </c>
      <c r="S320" s="4">
        <f>参数!$C$10</f>
        <v>1.2</v>
      </c>
      <c r="T320" s="4">
        <f>参数!$D$10</f>
        <v>1</v>
      </c>
      <c r="U320" s="4">
        <f t="shared" si="28"/>
        <v>1952300</v>
      </c>
      <c r="V320" s="4">
        <f t="shared" si="29"/>
        <v>34260</v>
      </c>
      <c r="W320" s="4">
        <f t="shared" si="30"/>
        <v>30544</v>
      </c>
      <c r="X320" s="4">
        <f>IFERROR(INDEX(参数!$B$5:$B$7,MATCH($N320,参数!$A$5:$A$7,0)),"")</f>
        <v>1.5</v>
      </c>
      <c r="Y320" s="4">
        <f>IFERROR(INDEX(参数!$C$5:$C$7,MATCH($N320,参数!$A$5:$A$7,0)),"")</f>
        <v>1</v>
      </c>
      <c r="Z320" s="4">
        <f>IFERROR(INDEX(参数!$D$5:$D$7,MATCH($N320,参数!$A$5:$A$7,0)),"")</f>
        <v>1.5</v>
      </c>
      <c r="AA320" s="4">
        <f>IFERROR(INDEX(楼层配置!$E$5:$E$104,MATCH($K320,楼层配置!$B$5:$B$104,0)),1)</f>
        <v>1</v>
      </c>
      <c r="AB320" s="4">
        <f>IFERROR(INDEX(楼层配置!$F$5:$F$104,MATCH($K320,楼层配置!$B$5:$B$104,0)),1)</f>
        <v>1</v>
      </c>
      <c r="AC320" s="4">
        <f>IFERROR(INDEX(楼层配置!$G$5:$G$104,MATCH($K320,楼层配置!$B$5:$B$104,0)),1)</f>
        <v>1</v>
      </c>
      <c r="AD320" s="6">
        <f t="shared" si="31"/>
        <v>0.353089657524088</v>
      </c>
      <c r="AE320" s="6">
        <f t="shared" si="32"/>
        <v>0.432154502131929</v>
      </c>
      <c r="AF320" s="6">
        <f t="shared" si="33"/>
        <v>0.60201405643554</v>
      </c>
      <c r="AG320" s="4" t="str">
        <f t="shared" si="34"/>
        <v>有效</v>
      </c>
    </row>
    <row r="321" ht="14.25" customHeight="1" spans="1:33">
      <c r="A321" s="4">
        <v>317</v>
      </c>
      <c r="B321" s="4">
        <v>1021</v>
      </c>
      <c r="C321" s="4">
        <v>42</v>
      </c>
      <c r="D321" s="5">
        <f>IFERROR(ROUND($U321*$X321*$AA321*参数!$B$13,0),"")</f>
        <v>1952300</v>
      </c>
      <c r="E321" s="5">
        <f>IFERROR(ROUND($V321*$Y321*$AB321*参数!$C$13,0),"")</f>
        <v>41112</v>
      </c>
      <c r="F321" s="5">
        <f>IFERROR(ROUND($W321*$Z321*$AC321*参数!$D$13,0),"")</f>
        <v>30544</v>
      </c>
      <c r="G321" s="4">
        <v>1442846</v>
      </c>
      <c r="H321" s="4">
        <v>28706</v>
      </c>
      <c r="I321" s="4">
        <v>19066</v>
      </c>
      <c r="J321" s="4">
        <v>64</v>
      </c>
      <c r="K321" s="4">
        <v>64</v>
      </c>
      <c r="L321" s="4">
        <f>IFERROR(INDEX(楼层配置!$D$5:$D$104,MATCH($K321,楼层配置!$B$5:$B$104,0)),"")</f>
        <v>328</v>
      </c>
      <c r="M321" s="4" t="str">
        <f>IFERROR(INDEX(_角色基线!$B$2:$B$100,MATCH($B321,_角色基线!$A$2:$A$100,0)),"")</f>
        <v>梅梅</v>
      </c>
      <c r="N321" s="4" t="str">
        <f>IFERROR(INDEX(_角色基线!$C$2:$C$100,MATCH($B321,_角色基线!$A$2:$A$100,0)),"")</f>
        <v>DPS</v>
      </c>
      <c r="O321" s="4">
        <f>IFERROR(INDEX(_怪物基线!$B$2:$B$501,MATCH(INT($L321),_怪物基线!$A$2:$A$501,0)),"")</f>
        <v>488075</v>
      </c>
      <c r="P321" s="4">
        <f>IFERROR(INDEX(_怪物基线!$C$2:$C$501,MATCH(INT($L321),_怪物基线!$A$2:$A$501,0)),"")</f>
        <v>28550</v>
      </c>
      <c r="Q321" s="4">
        <f>IFERROR(INDEX(_怪物基线!$D$2:$D$501,MATCH(INT($L321),_怪物基线!$A$2:$A$501,0)),"")</f>
        <v>30544</v>
      </c>
      <c r="R321" s="4">
        <f>参数!$B$10</f>
        <v>4</v>
      </c>
      <c r="S321" s="4">
        <f>参数!$C$10</f>
        <v>1.2</v>
      </c>
      <c r="T321" s="4">
        <f>参数!$D$10</f>
        <v>1</v>
      </c>
      <c r="U321" s="4">
        <f t="shared" si="28"/>
        <v>1952300</v>
      </c>
      <c r="V321" s="4">
        <f t="shared" si="29"/>
        <v>34260</v>
      </c>
      <c r="W321" s="4">
        <f t="shared" si="30"/>
        <v>30544</v>
      </c>
      <c r="X321" s="4">
        <f>IFERROR(INDEX(参数!$B$5:$B$7,MATCH($N321,参数!$A$5:$A$7,0)),"")</f>
        <v>1</v>
      </c>
      <c r="Y321" s="4">
        <f>IFERROR(INDEX(参数!$C$5:$C$7,MATCH($N321,参数!$A$5:$A$7,0)),"")</f>
        <v>1.2</v>
      </c>
      <c r="Z321" s="4">
        <f>IFERROR(INDEX(参数!$D$5:$D$7,MATCH($N321,参数!$A$5:$A$7,0)),"")</f>
        <v>1</v>
      </c>
      <c r="AA321" s="4">
        <f>IFERROR(INDEX(楼层配置!$E$5:$E$104,MATCH($K321,楼层配置!$B$5:$B$104,0)),1)</f>
        <v>1</v>
      </c>
      <c r="AB321" s="4">
        <f>IFERROR(INDEX(楼层配置!$F$5:$F$104,MATCH($K321,楼层配置!$B$5:$B$104,0)),1)</f>
        <v>1</v>
      </c>
      <c r="AC321" s="4">
        <f>IFERROR(INDEX(楼层配置!$G$5:$G$104,MATCH($K321,楼层配置!$B$5:$B$104,0)),1)</f>
        <v>1</v>
      </c>
      <c r="AD321" s="6">
        <f t="shared" si="31"/>
        <v>0.353089657524088</v>
      </c>
      <c r="AE321" s="6">
        <f t="shared" si="32"/>
        <v>0.4321744583014</v>
      </c>
      <c r="AF321" s="6">
        <f t="shared" si="33"/>
        <v>0.60201405643554</v>
      </c>
      <c r="AG321" s="4" t="str">
        <f t="shared" si="34"/>
        <v>有效</v>
      </c>
    </row>
    <row r="322" ht="14.25" customHeight="1" spans="1:33">
      <c r="A322" s="4">
        <v>318</v>
      </c>
      <c r="B322" s="4">
        <v>1006</v>
      </c>
      <c r="C322" s="4">
        <v>42</v>
      </c>
      <c r="D322" s="5">
        <f>IFERROR(ROUND($U322*$X322*$AA322*参数!$B$13,0),"")</f>
        <v>1952300</v>
      </c>
      <c r="E322" s="5">
        <f>IFERROR(ROUND($V322*$Y322*$AB322*参数!$C$13,0),"")</f>
        <v>41112</v>
      </c>
      <c r="F322" s="5">
        <f>IFERROR(ROUND($W322*$Z322*$AC322*参数!$D$13,0),"")</f>
        <v>30544</v>
      </c>
      <c r="G322" s="4">
        <v>1442846</v>
      </c>
      <c r="H322" s="4">
        <v>28706</v>
      </c>
      <c r="I322" s="4">
        <v>19066</v>
      </c>
      <c r="J322" s="4">
        <v>64</v>
      </c>
      <c r="K322" s="4">
        <v>64</v>
      </c>
      <c r="L322" s="4">
        <f>IFERROR(INDEX(楼层配置!$D$5:$D$104,MATCH($K322,楼层配置!$B$5:$B$104,0)),"")</f>
        <v>328</v>
      </c>
      <c r="M322" s="4" t="str">
        <f>IFERROR(INDEX(_角色基线!$B$2:$B$100,MATCH($B322,_角色基线!$A$2:$A$100,0)),"")</f>
        <v>莉莉娅</v>
      </c>
      <c r="N322" s="4" t="str">
        <f>IFERROR(INDEX(_角色基线!$C$2:$C$100,MATCH($B322,_角色基线!$A$2:$A$100,0)),"")</f>
        <v>DPS</v>
      </c>
      <c r="O322" s="4">
        <f>IFERROR(INDEX(_怪物基线!$B$2:$B$501,MATCH(INT($L322),_怪物基线!$A$2:$A$501,0)),"")</f>
        <v>488075</v>
      </c>
      <c r="P322" s="4">
        <f>IFERROR(INDEX(_怪物基线!$C$2:$C$501,MATCH(INT($L322),_怪物基线!$A$2:$A$501,0)),"")</f>
        <v>28550</v>
      </c>
      <c r="Q322" s="4">
        <f>IFERROR(INDEX(_怪物基线!$D$2:$D$501,MATCH(INT($L322),_怪物基线!$A$2:$A$501,0)),"")</f>
        <v>30544</v>
      </c>
      <c r="R322" s="4">
        <f>参数!$B$10</f>
        <v>4</v>
      </c>
      <c r="S322" s="4">
        <f>参数!$C$10</f>
        <v>1.2</v>
      </c>
      <c r="T322" s="4">
        <f>参数!$D$10</f>
        <v>1</v>
      </c>
      <c r="U322" s="4">
        <f t="shared" si="28"/>
        <v>1952300</v>
      </c>
      <c r="V322" s="4">
        <f t="shared" si="29"/>
        <v>34260</v>
      </c>
      <c r="W322" s="4">
        <f t="shared" si="30"/>
        <v>30544</v>
      </c>
      <c r="X322" s="4">
        <f>IFERROR(INDEX(参数!$B$5:$B$7,MATCH($N322,参数!$A$5:$A$7,0)),"")</f>
        <v>1</v>
      </c>
      <c r="Y322" s="4">
        <f>IFERROR(INDEX(参数!$C$5:$C$7,MATCH($N322,参数!$A$5:$A$7,0)),"")</f>
        <v>1.2</v>
      </c>
      <c r="Z322" s="4">
        <f>IFERROR(INDEX(参数!$D$5:$D$7,MATCH($N322,参数!$A$5:$A$7,0)),"")</f>
        <v>1</v>
      </c>
      <c r="AA322" s="4">
        <f>IFERROR(INDEX(楼层配置!$E$5:$E$104,MATCH($K322,楼层配置!$B$5:$B$104,0)),1)</f>
        <v>1</v>
      </c>
      <c r="AB322" s="4">
        <f>IFERROR(INDEX(楼层配置!$F$5:$F$104,MATCH($K322,楼层配置!$B$5:$B$104,0)),1)</f>
        <v>1</v>
      </c>
      <c r="AC322" s="4">
        <f>IFERROR(INDEX(楼层配置!$G$5:$G$104,MATCH($K322,楼层配置!$B$5:$B$104,0)),1)</f>
        <v>1</v>
      </c>
      <c r="AD322" s="6">
        <f t="shared" si="31"/>
        <v>0.353089657524088</v>
      </c>
      <c r="AE322" s="6">
        <f t="shared" si="32"/>
        <v>0.4321744583014</v>
      </c>
      <c r="AF322" s="6">
        <f t="shared" si="33"/>
        <v>0.60201405643554</v>
      </c>
      <c r="AG322" s="4" t="str">
        <f t="shared" si="34"/>
        <v>有效</v>
      </c>
    </row>
    <row r="323" ht="14.25" customHeight="1" spans="1:33">
      <c r="A323" s="4">
        <v>319</v>
      </c>
      <c r="B323" s="4">
        <v>1012</v>
      </c>
      <c r="C323" s="4">
        <v>42</v>
      </c>
      <c r="D323" s="5">
        <f>IFERROR(ROUND($U323*$X323*$AA323*参数!$B$13,0),"")</f>
        <v>2440375</v>
      </c>
      <c r="E323" s="5">
        <f>IFERROR(ROUND($V323*$Y323*$AB323*参数!$C$13,0),"")</f>
        <v>34260</v>
      </c>
      <c r="F323" s="5">
        <f>IFERROR(ROUND($W323*$Z323*$AC323*参数!$D$13,0),"")</f>
        <v>38180</v>
      </c>
      <c r="G323" s="4">
        <v>1803558</v>
      </c>
      <c r="H323" s="4">
        <v>23922</v>
      </c>
      <c r="I323" s="4">
        <v>23833</v>
      </c>
      <c r="J323" s="4">
        <v>64</v>
      </c>
      <c r="K323" s="4">
        <v>64</v>
      </c>
      <c r="L323" s="4">
        <f>IFERROR(INDEX(楼层配置!$D$5:$D$104,MATCH($K323,楼层配置!$B$5:$B$104,0)),"")</f>
        <v>328</v>
      </c>
      <c r="M323" s="4" t="str">
        <f>IFERROR(INDEX(_角色基线!$B$2:$B$100,MATCH($B323,_角色基线!$A$2:$A$100,0)),"")</f>
        <v>艾德琳</v>
      </c>
      <c r="N323" s="4" t="str">
        <f>IFERROR(INDEX(_角色基线!$C$2:$C$100,MATCH($B323,_角色基线!$A$2:$A$100,0)),"")</f>
        <v>Support</v>
      </c>
      <c r="O323" s="4">
        <f>IFERROR(INDEX(_怪物基线!$B$2:$B$501,MATCH(INT($L323),_怪物基线!$A$2:$A$501,0)),"")</f>
        <v>488075</v>
      </c>
      <c r="P323" s="4">
        <f>IFERROR(INDEX(_怪物基线!$C$2:$C$501,MATCH(INT($L323),_怪物基线!$A$2:$A$501,0)),"")</f>
        <v>28550</v>
      </c>
      <c r="Q323" s="4">
        <f>IFERROR(INDEX(_怪物基线!$D$2:$D$501,MATCH(INT($L323),_怪物基线!$A$2:$A$501,0)),"")</f>
        <v>30544</v>
      </c>
      <c r="R323" s="4">
        <f>参数!$B$10</f>
        <v>4</v>
      </c>
      <c r="S323" s="4">
        <f>参数!$C$10</f>
        <v>1.2</v>
      </c>
      <c r="T323" s="4">
        <f>参数!$D$10</f>
        <v>1</v>
      </c>
      <c r="U323" s="4">
        <f t="shared" si="28"/>
        <v>1952300</v>
      </c>
      <c r="V323" s="4">
        <f t="shared" si="29"/>
        <v>34260</v>
      </c>
      <c r="W323" s="4">
        <f t="shared" si="30"/>
        <v>30544</v>
      </c>
      <c r="X323" s="4">
        <f>IFERROR(INDEX(参数!$B$5:$B$7,MATCH($N323,参数!$A$5:$A$7,0)),"")</f>
        <v>1.25</v>
      </c>
      <c r="Y323" s="4">
        <f>IFERROR(INDEX(参数!$C$5:$C$7,MATCH($N323,参数!$A$5:$A$7,0)),"")</f>
        <v>1</v>
      </c>
      <c r="Z323" s="4">
        <f>IFERROR(INDEX(参数!$D$5:$D$7,MATCH($N323,参数!$A$5:$A$7,0)),"")</f>
        <v>1.25</v>
      </c>
      <c r="AA323" s="4">
        <f>IFERROR(INDEX(楼层配置!$E$5:$E$104,MATCH($K323,楼层配置!$B$5:$B$104,0)),1)</f>
        <v>1</v>
      </c>
      <c r="AB323" s="4">
        <f>IFERROR(INDEX(楼层配置!$F$5:$F$104,MATCH($K323,楼层配置!$B$5:$B$104,0)),1)</f>
        <v>1</v>
      </c>
      <c r="AC323" s="4">
        <f>IFERROR(INDEX(楼层配置!$G$5:$G$104,MATCH($K323,楼层配置!$B$5:$B$104,0)),1)</f>
        <v>1</v>
      </c>
      <c r="AD323" s="6">
        <f t="shared" si="31"/>
        <v>0.35308928240733</v>
      </c>
      <c r="AE323" s="6">
        <f t="shared" si="32"/>
        <v>0.432154502131929</v>
      </c>
      <c r="AF323" s="6">
        <f t="shared" si="33"/>
        <v>0.601980447278983</v>
      </c>
      <c r="AG323" s="4" t="str">
        <f t="shared" si="34"/>
        <v>有效</v>
      </c>
    </row>
    <row r="324" ht="14.25" customHeight="1" spans="1:33">
      <c r="A324" s="4">
        <v>320</v>
      </c>
      <c r="B324" s="4">
        <v>1014</v>
      </c>
      <c r="C324" s="4">
        <v>42</v>
      </c>
      <c r="D324" s="5">
        <f>IFERROR(ROUND($U324*$X324*$AA324*参数!$B$13,0),"")</f>
        <v>1952300</v>
      </c>
      <c r="E324" s="5">
        <f>IFERROR(ROUND($V324*$Y324*$AB324*参数!$C$13,0),"")</f>
        <v>41112</v>
      </c>
      <c r="F324" s="5">
        <f>IFERROR(ROUND($W324*$Z324*$AC324*参数!$D$13,0),"")</f>
        <v>30544</v>
      </c>
      <c r="G324" s="4">
        <v>1442846</v>
      </c>
      <c r="H324" s="4">
        <v>28706</v>
      </c>
      <c r="I324" s="4">
        <v>19066</v>
      </c>
      <c r="J324" s="4">
        <v>64</v>
      </c>
      <c r="K324" s="4">
        <v>64</v>
      </c>
      <c r="L324" s="4">
        <f>IFERROR(INDEX(楼层配置!$D$5:$D$104,MATCH($K324,楼层配置!$B$5:$B$104,0)),"")</f>
        <v>328</v>
      </c>
      <c r="M324" s="4" t="str">
        <f>IFERROR(INDEX(_角色基线!$B$2:$B$100,MATCH($B324,_角色基线!$A$2:$A$100,0)),"")</f>
        <v>克莉丝汀</v>
      </c>
      <c r="N324" s="4" t="str">
        <f>IFERROR(INDEX(_角色基线!$C$2:$C$100,MATCH($B324,_角色基线!$A$2:$A$100,0)),"")</f>
        <v>DPS</v>
      </c>
      <c r="O324" s="4">
        <f>IFERROR(INDEX(_怪物基线!$B$2:$B$501,MATCH(INT($L324),_怪物基线!$A$2:$A$501,0)),"")</f>
        <v>488075</v>
      </c>
      <c r="P324" s="4">
        <f>IFERROR(INDEX(_怪物基线!$C$2:$C$501,MATCH(INT($L324),_怪物基线!$A$2:$A$501,0)),"")</f>
        <v>28550</v>
      </c>
      <c r="Q324" s="4">
        <f>IFERROR(INDEX(_怪物基线!$D$2:$D$501,MATCH(INT($L324),_怪物基线!$A$2:$A$501,0)),"")</f>
        <v>30544</v>
      </c>
      <c r="R324" s="4">
        <f>参数!$B$10</f>
        <v>4</v>
      </c>
      <c r="S324" s="4">
        <f>参数!$C$10</f>
        <v>1.2</v>
      </c>
      <c r="T324" s="4">
        <f>参数!$D$10</f>
        <v>1</v>
      </c>
      <c r="U324" s="4">
        <f t="shared" si="28"/>
        <v>1952300</v>
      </c>
      <c r="V324" s="4">
        <f t="shared" si="29"/>
        <v>34260</v>
      </c>
      <c r="W324" s="4">
        <f t="shared" si="30"/>
        <v>30544</v>
      </c>
      <c r="X324" s="4">
        <f>IFERROR(INDEX(参数!$B$5:$B$7,MATCH($N324,参数!$A$5:$A$7,0)),"")</f>
        <v>1</v>
      </c>
      <c r="Y324" s="4">
        <f>IFERROR(INDEX(参数!$C$5:$C$7,MATCH($N324,参数!$A$5:$A$7,0)),"")</f>
        <v>1.2</v>
      </c>
      <c r="Z324" s="4">
        <f>IFERROR(INDEX(参数!$D$5:$D$7,MATCH($N324,参数!$A$5:$A$7,0)),"")</f>
        <v>1</v>
      </c>
      <c r="AA324" s="4">
        <f>IFERROR(INDEX(楼层配置!$E$5:$E$104,MATCH($K324,楼层配置!$B$5:$B$104,0)),1)</f>
        <v>1</v>
      </c>
      <c r="AB324" s="4">
        <f>IFERROR(INDEX(楼层配置!$F$5:$F$104,MATCH($K324,楼层配置!$B$5:$B$104,0)),1)</f>
        <v>1</v>
      </c>
      <c r="AC324" s="4">
        <f>IFERROR(INDEX(楼层配置!$G$5:$G$104,MATCH($K324,楼层配置!$B$5:$B$104,0)),1)</f>
        <v>1</v>
      </c>
      <c r="AD324" s="6">
        <f t="shared" si="31"/>
        <v>0.353089657524088</v>
      </c>
      <c r="AE324" s="6">
        <f t="shared" si="32"/>
        <v>0.4321744583014</v>
      </c>
      <c r="AF324" s="6">
        <f t="shared" si="33"/>
        <v>0.60201405643554</v>
      </c>
      <c r="AG324" s="4" t="str">
        <f t="shared" si="34"/>
        <v>有效</v>
      </c>
    </row>
    <row r="325" ht="14.25" customHeight="1" spans="1:33">
      <c r="A325" s="4">
        <v>321</v>
      </c>
      <c r="B325" s="4">
        <v>1003</v>
      </c>
      <c r="C325" s="4">
        <v>42</v>
      </c>
      <c r="D325" s="5">
        <f>IFERROR(ROUND($U325*$X325*$AA325*参数!$B$13,0),"")</f>
        <v>2953212</v>
      </c>
      <c r="E325" s="5">
        <f>IFERROR(ROUND($V325*$Y325*$AB325*参数!$C$13,0),"")</f>
        <v>34483</v>
      </c>
      <c r="F325" s="5">
        <f>IFERROR(ROUND($W325*$Z325*$AC325*参数!$D$13,0),"")</f>
        <v>46011</v>
      </c>
      <c r="G325" s="4">
        <v>2248387</v>
      </c>
      <c r="H325" s="4">
        <v>24586</v>
      </c>
      <c r="I325" s="4">
        <v>29168</v>
      </c>
      <c r="J325" s="4">
        <v>65</v>
      </c>
      <c r="K325" s="4">
        <v>65</v>
      </c>
      <c r="L325" s="4">
        <f>IFERROR(INDEX(楼层配置!$D$5:$D$104,MATCH($K325,楼层配置!$B$5:$B$104,0)),"")</f>
        <v>329</v>
      </c>
      <c r="M325" s="4" t="str">
        <f>IFERROR(INDEX(_角色基线!$B$2:$B$100,MATCH($B325,_角色基线!$A$2:$A$100,0)),"")</f>
        <v>塔拉夏</v>
      </c>
      <c r="N325" s="4" t="str">
        <f>IFERROR(INDEX(_角色基线!$C$2:$C$100,MATCH($B325,_角色基线!$A$2:$A$100,0)),"")</f>
        <v>Tank</v>
      </c>
      <c r="O325" s="4">
        <f>IFERROR(INDEX(_怪物基线!$B$2:$B$501,MATCH(INT($L325),_怪物基线!$A$2:$A$501,0)),"")</f>
        <v>492202</v>
      </c>
      <c r="P325" s="4">
        <f>IFERROR(INDEX(_怪物基线!$C$2:$C$501,MATCH(INT($L325),_怪物基线!$A$2:$A$501,0)),"")</f>
        <v>28736</v>
      </c>
      <c r="Q325" s="4">
        <f>IFERROR(INDEX(_怪物基线!$D$2:$D$501,MATCH(INT($L325),_怪物基线!$A$2:$A$501,0)),"")</f>
        <v>30674</v>
      </c>
      <c r="R325" s="4">
        <f>参数!$B$10</f>
        <v>4</v>
      </c>
      <c r="S325" s="4">
        <f>参数!$C$10</f>
        <v>1.2</v>
      </c>
      <c r="T325" s="4">
        <f>参数!$D$10</f>
        <v>1</v>
      </c>
      <c r="U325" s="4">
        <f t="shared" ref="U325:U388" si="35">IF($O325="","",$O325*$R325)</f>
        <v>1968808</v>
      </c>
      <c r="V325" s="4">
        <f t="shared" ref="V325:V388" si="36">IF($P325="","",$P325*$S325)</f>
        <v>34483.2</v>
      </c>
      <c r="W325" s="4">
        <f t="shared" ref="W325:W388" si="37">IF($Q325="","",$Q325*$T325)</f>
        <v>30674</v>
      </c>
      <c r="X325" s="4">
        <f>IFERROR(INDEX(参数!$B$5:$B$7,MATCH($N325,参数!$A$5:$A$7,0)),"")</f>
        <v>1.5</v>
      </c>
      <c r="Y325" s="4">
        <f>IFERROR(INDEX(参数!$C$5:$C$7,MATCH($N325,参数!$A$5:$A$7,0)),"")</f>
        <v>1</v>
      </c>
      <c r="Z325" s="4">
        <f>IFERROR(INDEX(参数!$D$5:$D$7,MATCH($N325,参数!$A$5:$A$7,0)),"")</f>
        <v>1.5</v>
      </c>
      <c r="AA325" s="4">
        <f>IFERROR(INDEX(楼层配置!$E$5:$E$104,MATCH($K325,楼层配置!$B$5:$B$104,0)),1)</f>
        <v>1</v>
      </c>
      <c r="AB325" s="4">
        <f>IFERROR(INDEX(楼层配置!$F$5:$F$104,MATCH($K325,楼层配置!$B$5:$B$104,0)),1)</f>
        <v>1</v>
      </c>
      <c r="AC325" s="4">
        <f>IFERROR(INDEX(楼层配置!$G$5:$G$104,MATCH($K325,楼层配置!$B$5:$B$104,0)),1)</f>
        <v>1</v>
      </c>
      <c r="AD325" s="6">
        <f t="shared" ref="AD325:AD388" si="38">IFERROR($D325/$G325-1,"")</f>
        <v>0.313480286089539</v>
      </c>
      <c r="AE325" s="6">
        <f t="shared" ref="AE325:AE388" si="39">IFERROR($E325/$H325-1,"")</f>
        <v>0.402546164483853</v>
      </c>
      <c r="AF325" s="6">
        <f t="shared" ref="AF325:AF388" si="40">IFERROR($F325/$I325-1,"")</f>
        <v>0.577447888096544</v>
      </c>
      <c r="AG325" s="4" t="str">
        <f t="shared" ref="AG325:AG388" si="41">IF(AND($A325&gt;=1,$L325&gt;=1,$L325&lt;=500,OR($N325="Tank",$N325="DPS",$N325="Support"),ISNUMBER($D325),ISNUMBER($E325),ISNUMBER($F325)),"有效","异常")</f>
        <v>有效</v>
      </c>
    </row>
    <row r="326" ht="14.25" customHeight="1" spans="1:33">
      <c r="A326" s="4">
        <v>322</v>
      </c>
      <c r="B326" s="4">
        <v>1008</v>
      </c>
      <c r="C326" s="4">
        <v>42</v>
      </c>
      <c r="D326" s="5">
        <f>IFERROR(ROUND($U326*$X326*$AA326*参数!$B$13,0),"")</f>
        <v>1968808</v>
      </c>
      <c r="E326" s="5">
        <f>IFERROR(ROUND($V326*$Y326*$AB326*参数!$C$13,0),"")</f>
        <v>41380</v>
      </c>
      <c r="F326" s="5">
        <f>IFERROR(ROUND($W326*$Z326*$AC326*参数!$D$13,0),"")</f>
        <v>30674</v>
      </c>
      <c r="G326" s="4">
        <v>1498924</v>
      </c>
      <c r="H326" s="4">
        <v>29503</v>
      </c>
      <c r="I326" s="4">
        <v>19445</v>
      </c>
      <c r="J326" s="4">
        <v>65</v>
      </c>
      <c r="K326" s="4">
        <v>65</v>
      </c>
      <c r="L326" s="4">
        <f>IFERROR(INDEX(楼层配置!$D$5:$D$104,MATCH($K326,楼层配置!$B$5:$B$104,0)),"")</f>
        <v>329</v>
      </c>
      <c r="M326" s="4" t="str">
        <f>IFERROR(INDEX(_角色基线!$B$2:$B$100,MATCH($B326,_角色基线!$A$2:$A$100,0)),"")</f>
        <v>薇</v>
      </c>
      <c r="N326" s="4" t="str">
        <f>IFERROR(INDEX(_角色基线!$C$2:$C$100,MATCH($B326,_角色基线!$A$2:$A$100,0)),"")</f>
        <v>DPS</v>
      </c>
      <c r="O326" s="4">
        <f>IFERROR(INDEX(_怪物基线!$B$2:$B$501,MATCH(INT($L326),_怪物基线!$A$2:$A$501,0)),"")</f>
        <v>492202</v>
      </c>
      <c r="P326" s="4">
        <f>IFERROR(INDEX(_怪物基线!$C$2:$C$501,MATCH(INT($L326),_怪物基线!$A$2:$A$501,0)),"")</f>
        <v>28736</v>
      </c>
      <c r="Q326" s="4">
        <f>IFERROR(INDEX(_怪物基线!$D$2:$D$501,MATCH(INT($L326),_怪物基线!$A$2:$A$501,0)),"")</f>
        <v>30674</v>
      </c>
      <c r="R326" s="4">
        <f>参数!$B$10</f>
        <v>4</v>
      </c>
      <c r="S326" s="4">
        <f>参数!$C$10</f>
        <v>1.2</v>
      </c>
      <c r="T326" s="4">
        <f>参数!$D$10</f>
        <v>1</v>
      </c>
      <c r="U326" s="4">
        <f t="shared" si="35"/>
        <v>1968808</v>
      </c>
      <c r="V326" s="4">
        <f t="shared" si="36"/>
        <v>34483.2</v>
      </c>
      <c r="W326" s="4">
        <f t="shared" si="37"/>
        <v>30674</v>
      </c>
      <c r="X326" s="4">
        <f>IFERROR(INDEX(参数!$B$5:$B$7,MATCH($N326,参数!$A$5:$A$7,0)),"")</f>
        <v>1</v>
      </c>
      <c r="Y326" s="4">
        <f>IFERROR(INDEX(参数!$C$5:$C$7,MATCH($N326,参数!$A$5:$A$7,0)),"")</f>
        <v>1.2</v>
      </c>
      <c r="Z326" s="4">
        <f>IFERROR(INDEX(参数!$D$5:$D$7,MATCH($N326,参数!$A$5:$A$7,0)),"")</f>
        <v>1</v>
      </c>
      <c r="AA326" s="4">
        <f>IFERROR(INDEX(楼层配置!$E$5:$E$104,MATCH($K326,楼层配置!$B$5:$B$104,0)),1)</f>
        <v>1</v>
      </c>
      <c r="AB326" s="4">
        <f>IFERROR(INDEX(楼层配置!$F$5:$F$104,MATCH($K326,楼层配置!$B$5:$B$104,0)),1)</f>
        <v>1</v>
      </c>
      <c r="AC326" s="4">
        <f>IFERROR(INDEX(楼层配置!$G$5:$G$104,MATCH($K326,楼层配置!$B$5:$B$104,0)),1)</f>
        <v>1</v>
      </c>
      <c r="AD326" s="6">
        <f t="shared" si="38"/>
        <v>0.313480870277612</v>
      </c>
      <c r="AE326" s="6">
        <f t="shared" si="39"/>
        <v>0.402569230247771</v>
      </c>
      <c r="AF326" s="6">
        <f t="shared" si="40"/>
        <v>0.577474929287735</v>
      </c>
      <c r="AG326" s="4" t="str">
        <f t="shared" si="41"/>
        <v>有效</v>
      </c>
    </row>
    <row r="327" ht="14.25" customHeight="1" spans="1:33">
      <c r="A327" s="4">
        <v>323</v>
      </c>
      <c r="B327" s="4">
        <v>1007</v>
      </c>
      <c r="C327" s="4">
        <v>42</v>
      </c>
      <c r="D327" s="5">
        <f>IFERROR(ROUND($U327*$X327*$AA327*参数!$B$13,0),"")</f>
        <v>2461010</v>
      </c>
      <c r="E327" s="5">
        <f>IFERROR(ROUND($V327*$Y327*$AB327*参数!$C$13,0),"")</f>
        <v>34483</v>
      </c>
      <c r="F327" s="5">
        <f>IFERROR(ROUND($W327*$Z327*$AC327*参数!$D$13,0),"")</f>
        <v>38343</v>
      </c>
      <c r="G327" s="4">
        <v>1873656</v>
      </c>
      <c r="H327" s="4">
        <v>24586</v>
      </c>
      <c r="I327" s="4">
        <v>24307</v>
      </c>
      <c r="J327" s="4">
        <v>65</v>
      </c>
      <c r="K327" s="4">
        <v>65</v>
      </c>
      <c r="L327" s="4">
        <f>IFERROR(INDEX(楼层配置!$D$5:$D$104,MATCH($K327,楼层配置!$B$5:$B$104,0)),"")</f>
        <v>329</v>
      </c>
      <c r="M327" s="4" t="str">
        <f>IFERROR(INDEX(_角色基线!$B$2:$B$100,MATCH($B327,_角色基线!$A$2:$A$100,0)),"")</f>
        <v>萨萨莉安</v>
      </c>
      <c r="N327" s="4" t="str">
        <f>IFERROR(INDEX(_角色基线!$C$2:$C$100,MATCH($B327,_角色基线!$A$2:$A$100,0)),"")</f>
        <v>Support</v>
      </c>
      <c r="O327" s="4">
        <f>IFERROR(INDEX(_怪物基线!$B$2:$B$501,MATCH(INT($L327),_怪物基线!$A$2:$A$501,0)),"")</f>
        <v>492202</v>
      </c>
      <c r="P327" s="4">
        <f>IFERROR(INDEX(_怪物基线!$C$2:$C$501,MATCH(INT($L327),_怪物基线!$A$2:$A$501,0)),"")</f>
        <v>28736</v>
      </c>
      <c r="Q327" s="4">
        <f>IFERROR(INDEX(_怪物基线!$D$2:$D$501,MATCH(INT($L327),_怪物基线!$A$2:$A$501,0)),"")</f>
        <v>30674</v>
      </c>
      <c r="R327" s="4">
        <f>参数!$B$10</f>
        <v>4</v>
      </c>
      <c r="S327" s="4">
        <f>参数!$C$10</f>
        <v>1.2</v>
      </c>
      <c r="T327" s="4">
        <f>参数!$D$10</f>
        <v>1</v>
      </c>
      <c r="U327" s="4">
        <f t="shared" si="35"/>
        <v>1968808</v>
      </c>
      <c r="V327" s="4">
        <f t="shared" si="36"/>
        <v>34483.2</v>
      </c>
      <c r="W327" s="4">
        <f t="shared" si="37"/>
        <v>30674</v>
      </c>
      <c r="X327" s="4">
        <f>IFERROR(INDEX(参数!$B$5:$B$7,MATCH($N327,参数!$A$5:$A$7,0)),"")</f>
        <v>1.25</v>
      </c>
      <c r="Y327" s="4">
        <f>IFERROR(INDEX(参数!$C$5:$C$7,MATCH($N327,参数!$A$5:$A$7,0)),"")</f>
        <v>1</v>
      </c>
      <c r="Z327" s="4">
        <f>IFERROR(INDEX(参数!$D$5:$D$7,MATCH($N327,参数!$A$5:$A$7,0)),"")</f>
        <v>1.25</v>
      </c>
      <c r="AA327" s="4">
        <f>IFERROR(INDEX(楼层配置!$E$5:$E$104,MATCH($K327,楼层配置!$B$5:$B$104,0)),1)</f>
        <v>1</v>
      </c>
      <c r="AB327" s="4">
        <f>IFERROR(INDEX(楼层配置!$F$5:$F$104,MATCH($K327,楼层配置!$B$5:$B$104,0)),1)</f>
        <v>1</v>
      </c>
      <c r="AC327" s="4">
        <f>IFERROR(INDEX(楼层配置!$G$5:$G$104,MATCH($K327,楼层配置!$B$5:$B$104,0)),1)</f>
        <v>1</v>
      </c>
      <c r="AD327" s="6">
        <f t="shared" si="38"/>
        <v>0.313480169251986</v>
      </c>
      <c r="AE327" s="6">
        <f t="shared" si="39"/>
        <v>0.402546164483853</v>
      </c>
      <c r="AF327" s="6">
        <f t="shared" si="40"/>
        <v>0.577446826017197</v>
      </c>
      <c r="AG327" s="4" t="str">
        <f t="shared" si="41"/>
        <v>有效</v>
      </c>
    </row>
    <row r="328" ht="14.25" customHeight="1" spans="1:33">
      <c r="A328" s="4">
        <v>324</v>
      </c>
      <c r="B328" s="4">
        <v>1011</v>
      </c>
      <c r="C328" s="4">
        <v>42</v>
      </c>
      <c r="D328" s="5">
        <f>IFERROR(ROUND($U328*$X328*$AA328*参数!$B$13,0),"")</f>
        <v>2461010</v>
      </c>
      <c r="E328" s="5">
        <f>IFERROR(ROUND($V328*$Y328*$AB328*参数!$C$13,0),"")</f>
        <v>34483</v>
      </c>
      <c r="F328" s="5">
        <f>IFERROR(ROUND($W328*$Z328*$AC328*参数!$D$13,0),"")</f>
        <v>38343</v>
      </c>
      <c r="G328" s="4">
        <v>1873656</v>
      </c>
      <c r="H328" s="4">
        <v>24586</v>
      </c>
      <c r="I328" s="4">
        <v>24307</v>
      </c>
      <c r="J328" s="4">
        <v>65</v>
      </c>
      <c r="K328" s="4">
        <v>65</v>
      </c>
      <c r="L328" s="4">
        <f>IFERROR(INDEX(楼层配置!$D$5:$D$104,MATCH($K328,楼层配置!$B$5:$B$104,0)),"")</f>
        <v>329</v>
      </c>
      <c r="M328" s="4" t="str">
        <f>IFERROR(INDEX(_角色基线!$B$2:$B$100,MATCH($B328,_角色基线!$A$2:$A$100,0)),"")</f>
        <v>陈双双</v>
      </c>
      <c r="N328" s="4" t="str">
        <f>IFERROR(INDEX(_角色基线!$C$2:$C$100,MATCH($B328,_角色基线!$A$2:$A$100,0)),"")</f>
        <v>Support</v>
      </c>
      <c r="O328" s="4">
        <f>IFERROR(INDEX(_怪物基线!$B$2:$B$501,MATCH(INT($L328),_怪物基线!$A$2:$A$501,0)),"")</f>
        <v>492202</v>
      </c>
      <c r="P328" s="4">
        <f>IFERROR(INDEX(_怪物基线!$C$2:$C$501,MATCH(INT($L328),_怪物基线!$A$2:$A$501,0)),"")</f>
        <v>28736</v>
      </c>
      <c r="Q328" s="4">
        <f>IFERROR(INDEX(_怪物基线!$D$2:$D$501,MATCH(INT($L328),_怪物基线!$A$2:$A$501,0)),"")</f>
        <v>30674</v>
      </c>
      <c r="R328" s="4">
        <f>参数!$B$10</f>
        <v>4</v>
      </c>
      <c r="S328" s="4">
        <f>参数!$C$10</f>
        <v>1.2</v>
      </c>
      <c r="T328" s="4">
        <f>参数!$D$10</f>
        <v>1</v>
      </c>
      <c r="U328" s="4">
        <f t="shared" si="35"/>
        <v>1968808</v>
      </c>
      <c r="V328" s="4">
        <f t="shared" si="36"/>
        <v>34483.2</v>
      </c>
      <c r="W328" s="4">
        <f t="shared" si="37"/>
        <v>30674</v>
      </c>
      <c r="X328" s="4">
        <f>IFERROR(INDEX(参数!$B$5:$B$7,MATCH($N328,参数!$A$5:$A$7,0)),"")</f>
        <v>1.25</v>
      </c>
      <c r="Y328" s="4">
        <f>IFERROR(INDEX(参数!$C$5:$C$7,MATCH($N328,参数!$A$5:$A$7,0)),"")</f>
        <v>1</v>
      </c>
      <c r="Z328" s="4">
        <f>IFERROR(INDEX(参数!$D$5:$D$7,MATCH($N328,参数!$A$5:$A$7,0)),"")</f>
        <v>1.25</v>
      </c>
      <c r="AA328" s="4">
        <f>IFERROR(INDEX(楼层配置!$E$5:$E$104,MATCH($K328,楼层配置!$B$5:$B$104,0)),1)</f>
        <v>1</v>
      </c>
      <c r="AB328" s="4">
        <f>IFERROR(INDEX(楼层配置!$F$5:$F$104,MATCH($K328,楼层配置!$B$5:$B$104,0)),1)</f>
        <v>1</v>
      </c>
      <c r="AC328" s="4">
        <f>IFERROR(INDEX(楼层配置!$G$5:$G$104,MATCH($K328,楼层配置!$B$5:$B$104,0)),1)</f>
        <v>1</v>
      </c>
      <c r="AD328" s="6">
        <f t="shared" si="38"/>
        <v>0.313480169251986</v>
      </c>
      <c r="AE328" s="6">
        <f t="shared" si="39"/>
        <v>0.402546164483853</v>
      </c>
      <c r="AF328" s="6">
        <f t="shared" si="40"/>
        <v>0.577446826017197</v>
      </c>
      <c r="AG328" s="4" t="str">
        <f t="shared" si="41"/>
        <v>有效</v>
      </c>
    </row>
    <row r="329" ht="14.25" customHeight="1" spans="1:33">
      <c r="A329" s="4">
        <v>325</v>
      </c>
      <c r="B329" s="4">
        <v>1020</v>
      </c>
      <c r="C329" s="4">
        <v>42</v>
      </c>
      <c r="D329" s="5">
        <f>IFERROR(ROUND($U329*$X329*$AA329*参数!$B$13,0),"")</f>
        <v>2461010</v>
      </c>
      <c r="E329" s="5">
        <f>IFERROR(ROUND($V329*$Y329*$AB329*参数!$C$13,0),"")</f>
        <v>34483</v>
      </c>
      <c r="F329" s="5">
        <f>IFERROR(ROUND($W329*$Z329*$AC329*参数!$D$13,0),"")</f>
        <v>38343</v>
      </c>
      <c r="G329" s="4">
        <v>1873656</v>
      </c>
      <c r="H329" s="4">
        <v>24586</v>
      </c>
      <c r="I329" s="4">
        <v>24307</v>
      </c>
      <c r="J329" s="4">
        <v>65</v>
      </c>
      <c r="K329" s="4">
        <v>65</v>
      </c>
      <c r="L329" s="4">
        <f>IFERROR(INDEX(楼层配置!$D$5:$D$104,MATCH($K329,楼层配置!$B$5:$B$104,0)),"")</f>
        <v>329</v>
      </c>
      <c r="M329" s="4" t="str">
        <f>IFERROR(INDEX(_角色基线!$B$2:$B$100,MATCH($B329,_角色基线!$A$2:$A$100,0)),"")</f>
        <v>卡斯帕</v>
      </c>
      <c r="N329" s="4" t="str">
        <f>IFERROR(INDEX(_角色基线!$C$2:$C$100,MATCH($B329,_角色基线!$A$2:$A$100,0)),"")</f>
        <v>Support</v>
      </c>
      <c r="O329" s="4">
        <f>IFERROR(INDEX(_怪物基线!$B$2:$B$501,MATCH(INT($L329),_怪物基线!$A$2:$A$501,0)),"")</f>
        <v>492202</v>
      </c>
      <c r="P329" s="4">
        <f>IFERROR(INDEX(_怪物基线!$C$2:$C$501,MATCH(INT($L329),_怪物基线!$A$2:$A$501,0)),"")</f>
        <v>28736</v>
      </c>
      <c r="Q329" s="4">
        <f>IFERROR(INDEX(_怪物基线!$D$2:$D$501,MATCH(INT($L329),_怪物基线!$A$2:$A$501,0)),"")</f>
        <v>30674</v>
      </c>
      <c r="R329" s="4">
        <f>参数!$B$10</f>
        <v>4</v>
      </c>
      <c r="S329" s="4">
        <f>参数!$C$10</f>
        <v>1.2</v>
      </c>
      <c r="T329" s="4">
        <f>参数!$D$10</f>
        <v>1</v>
      </c>
      <c r="U329" s="4">
        <f t="shared" si="35"/>
        <v>1968808</v>
      </c>
      <c r="V329" s="4">
        <f t="shared" si="36"/>
        <v>34483.2</v>
      </c>
      <c r="W329" s="4">
        <f t="shared" si="37"/>
        <v>30674</v>
      </c>
      <c r="X329" s="4">
        <f>IFERROR(INDEX(参数!$B$5:$B$7,MATCH($N329,参数!$A$5:$A$7,0)),"")</f>
        <v>1.25</v>
      </c>
      <c r="Y329" s="4">
        <f>IFERROR(INDEX(参数!$C$5:$C$7,MATCH($N329,参数!$A$5:$A$7,0)),"")</f>
        <v>1</v>
      </c>
      <c r="Z329" s="4">
        <f>IFERROR(INDEX(参数!$D$5:$D$7,MATCH($N329,参数!$A$5:$A$7,0)),"")</f>
        <v>1.25</v>
      </c>
      <c r="AA329" s="4">
        <f>IFERROR(INDEX(楼层配置!$E$5:$E$104,MATCH($K329,楼层配置!$B$5:$B$104,0)),1)</f>
        <v>1</v>
      </c>
      <c r="AB329" s="4">
        <f>IFERROR(INDEX(楼层配置!$F$5:$F$104,MATCH($K329,楼层配置!$B$5:$B$104,0)),1)</f>
        <v>1</v>
      </c>
      <c r="AC329" s="4">
        <f>IFERROR(INDEX(楼层配置!$G$5:$G$104,MATCH($K329,楼层配置!$B$5:$B$104,0)),1)</f>
        <v>1</v>
      </c>
      <c r="AD329" s="6">
        <f t="shared" si="38"/>
        <v>0.313480169251986</v>
      </c>
      <c r="AE329" s="6">
        <f t="shared" si="39"/>
        <v>0.402546164483853</v>
      </c>
      <c r="AF329" s="6">
        <f t="shared" si="40"/>
        <v>0.577446826017197</v>
      </c>
      <c r="AG329" s="4" t="str">
        <f t="shared" si="41"/>
        <v>有效</v>
      </c>
    </row>
    <row r="330" ht="14.25" customHeight="1" spans="1:33">
      <c r="A330" s="4">
        <v>326</v>
      </c>
      <c r="B330" s="4">
        <v>1004</v>
      </c>
      <c r="C330" s="4">
        <v>43</v>
      </c>
      <c r="D330" s="5">
        <f>IFERROR(ROUND($U330*$X330*$AA330*参数!$B$13,0),"")</f>
        <v>2978130</v>
      </c>
      <c r="E330" s="5">
        <f>IFERROR(ROUND($V330*$Y330*$AB330*参数!$C$13,0),"")</f>
        <v>34708</v>
      </c>
      <c r="F330" s="5">
        <f>IFERROR(ROUND($W330*$Z330*$AC330*参数!$D$13,0),"")</f>
        <v>46208</v>
      </c>
      <c r="G330" s="4">
        <v>2334866</v>
      </c>
      <c r="H330" s="4">
        <v>25264</v>
      </c>
      <c r="I330" s="4">
        <v>29742</v>
      </c>
      <c r="J330" s="4">
        <v>66</v>
      </c>
      <c r="K330" s="4">
        <v>66</v>
      </c>
      <c r="L330" s="4">
        <f>IFERROR(INDEX(楼层配置!$D$5:$D$104,MATCH($K330,楼层配置!$B$5:$B$104,0)),"")</f>
        <v>330</v>
      </c>
      <c r="M330" s="4" t="str">
        <f>IFERROR(INDEX(_角色基线!$B$2:$B$100,MATCH($B330,_角色基线!$A$2:$A$100,0)),"")</f>
        <v>阿芭</v>
      </c>
      <c r="N330" s="4" t="str">
        <f>IFERROR(INDEX(_角色基线!$C$2:$C$100,MATCH($B330,_角色基线!$A$2:$A$100,0)),"")</f>
        <v>Tank</v>
      </c>
      <c r="O330" s="4">
        <f>IFERROR(INDEX(_怪物基线!$B$2:$B$501,MATCH(INT($L330),_怪物基线!$A$2:$A$501,0)),"")</f>
        <v>496355</v>
      </c>
      <c r="P330" s="4">
        <f>IFERROR(INDEX(_怪物基线!$C$2:$C$501,MATCH(INT($L330),_怪物基线!$A$2:$A$501,0)),"")</f>
        <v>28923</v>
      </c>
      <c r="Q330" s="4">
        <f>IFERROR(INDEX(_怪物基线!$D$2:$D$501,MATCH(INT($L330),_怪物基线!$A$2:$A$501,0)),"")</f>
        <v>30805</v>
      </c>
      <c r="R330" s="4">
        <f>参数!$B$10</f>
        <v>4</v>
      </c>
      <c r="S330" s="4">
        <f>参数!$C$10</f>
        <v>1.2</v>
      </c>
      <c r="T330" s="4">
        <f>参数!$D$10</f>
        <v>1</v>
      </c>
      <c r="U330" s="4">
        <f t="shared" si="35"/>
        <v>1985420</v>
      </c>
      <c r="V330" s="4">
        <f t="shared" si="36"/>
        <v>34707.6</v>
      </c>
      <c r="W330" s="4">
        <f t="shared" si="37"/>
        <v>30805</v>
      </c>
      <c r="X330" s="4">
        <f>IFERROR(INDEX(参数!$B$5:$B$7,MATCH($N330,参数!$A$5:$A$7,0)),"")</f>
        <v>1.5</v>
      </c>
      <c r="Y330" s="4">
        <f>IFERROR(INDEX(参数!$C$5:$C$7,MATCH($N330,参数!$A$5:$A$7,0)),"")</f>
        <v>1</v>
      </c>
      <c r="Z330" s="4">
        <f>IFERROR(INDEX(参数!$D$5:$D$7,MATCH($N330,参数!$A$5:$A$7,0)),"")</f>
        <v>1.5</v>
      </c>
      <c r="AA330" s="4">
        <f>IFERROR(INDEX(楼层配置!$E$5:$E$104,MATCH($K330,楼层配置!$B$5:$B$104,0)),1)</f>
        <v>1</v>
      </c>
      <c r="AB330" s="4">
        <f>IFERROR(INDEX(楼层配置!$F$5:$F$104,MATCH($K330,楼层配置!$B$5:$B$104,0)),1)</f>
        <v>1</v>
      </c>
      <c r="AC330" s="4">
        <f>IFERROR(INDEX(楼层配置!$G$5:$G$104,MATCH($K330,楼层配置!$B$5:$B$104,0)),1)</f>
        <v>1</v>
      </c>
      <c r="AD330" s="6">
        <f t="shared" si="38"/>
        <v>0.275503604917798</v>
      </c>
      <c r="AE330" s="6">
        <f t="shared" si="39"/>
        <v>0.373812539582014</v>
      </c>
      <c r="AF330" s="6">
        <f t="shared" si="40"/>
        <v>0.553627866316993</v>
      </c>
      <c r="AG330" s="4" t="str">
        <f t="shared" si="41"/>
        <v>有效</v>
      </c>
    </row>
    <row r="331" ht="14.25" customHeight="1" spans="1:33">
      <c r="A331" s="4">
        <v>327</v>
      </c>
      <c r="B331" s="4">
        <v>1021</v>
      </c>
      <c r="C331" s="4">
        <v>43</v>
      </c>
      <c r="D331" s="5">
        <f>IFERROR(ROUND($U331*$X331*$AA331*参数!$B$13,0),"")</f>
        <v>1985420</v>
      </c>
      <c r="E331" s="5">
        <f>IFERROR(ROUND($V331*$Y331*$AB331*参数!$C$13,0),"")</f>
        <v>41649</v>
      </c>
      <c r="F331" s="5">
        <f>IFERROR(ROUND($W331*$Z331*$AC331*参数!$D$13,0),"")</f>
        <v>30805</v>
      </c>
      <c r="G331" s="4">
        <v>1556577</v>
      </c>
      <c r="H331" s="4">
        <v>30316</v>
      </c>
      <c r="I331" s="4">
        <v>19828</v>
      </c>
      <c r="J331" s="4">
        <v>66</v>
      </c>
      <c r="K331" s="4">
        <v>66</v>
      </c>
      <c r="L331" s="4">
        <f>IFERROR(INDEX(楼层配置!$D$5:$D$104,MATCH($K331,楼层配置!$B$5:$B$104,0)),"")</f>
        <v>330</v>
      </c>
      <c r="M331" s="4" t="str">
        <f>IFERROR(INDEX(_角色基线!$B$2:$B$100,MATCH($B331,_角色基线!$A$2:$A$100,0)),"")</f>
        <v>梅梅</v>
      </c>
      <c r="N331" s="4" t="str">
        <f>IFERROR(INDEX(_角色基线!$C$2:$C$100,MATCH($B331,_角色基线!$A$2:$A$100,0)),"")</f>
        <v>DPS</v>
      </c>
      <c r="O331" s="4">
        <f>IFERROR(INDEX(_怪物基线!$B$2:$B$501,MATCH(INT($L331),_怪物基线!$A$2:$A$501,0)),"")</f>
        <v>496355</v>
      </c>
      <c r="P331" s="4">
        <f>IFERROR(INDEX(_怪物基线!$C$2:$C$501,MATCH(INT($L331),_怪物基线!$A$2:$A$501,0)),"")</f>
        <v>28923</v>
      </c>
      <c r="Q331" s="4">
        <f>IFERROR(INDEX(_怪物基线!$D$2:$D$501,MATCH(INT($L331),_怪物基线!$A$2:$A$501,0)),"")</f>
        <v>30805</v>
      </c>
      <c r="R331" s="4">
        <f>参数!$B$10</f>
        <v>4</v>
      </c>
      <c r="S331" s="4">
        <f>参数!$C$10</f>
        <v>1.2</v>
      </c>
      <c r="T331" s="4">
        <f>参数!$D$10</f>
        <v>1</v>
      </c>
      <c r="U331" s="4">
        <f t="shared" si="35"/>
        <v>1985420</v>
      </c>
      <c r="V331" s="4">
        <f t="shared" si="36"/>
        <v>34707.6</v>
      </c>
      <c r="W331" s="4">
        <f t="shared" si="37"/>
        <v>30805</v>
      </c>
      <c r="X331" s="4">
        <f>IFERROR(INDEX(参数!$B$5:$B$7,MATCH($N331,参数!$A$5:$A$7,0)),"")</f>
        <v>1</v>
      </c>
      <c r="Y331" s="4">
        <f>IFERROR(INDEX(参数!$C$5:$C$7,MATCH($N331,参数!$A$5:$A$7,0)),"")</f>
        <v>1.2</v>
      </c>
      <c r="Z331" s="4">
        <f>IFERROR(INDEX(参数!$D$5:$D$7,MATCH($N331,参数!$A$5:$A$7,0)),"")</f>
        <v>1</v>
      </c>
      <c r="AA331" s="4">
        <f>IFERROR(INDEX(楼层配置!$E$5:$E$104,MATCH($K331,楼层配置!$B$5:$B$104,0)),1)</f>
        <v>1</v>
      </c>
      <c r="AB331" s="4">
        <f>IFERROR(INDEX(楼层配置!$F$5:$F$104,MATCH($K331,楼层配置!$B$5:$B$104,0)),1)</f>
        <v>1</v>
      </c>
      <c r="AC331" s="4">
        <f>IFERROR(INDEX(楼层配置!$G$5:$G$104,MATCH($K331,楼层配置!$B$5:$B$104,0)),1)</f>
        <v>1</v>
      </c>
      <c r="AD331" s="6">
        <f t="shared" si="38"/>
        <v>0.275503878060642</v>
      </c>
      <c r="AE331" s="6">
        <f t="shared" si="39"/>
        <v>0.373829001187492</v>
      </c>
      <c r="AF331" s="6">
        <f t="shared" si="40"/>
        <v>0.553611055073633</v>
      </c>
      <c r="AG331" s="4" t="str">
        <f t="shared" si="41"/>
        <v>有效</v>
      </c>
    </row>
    <row r="332" ht="14.25" customHeight="1" spans="1:33">
      <c r="A332" s="4">
        <v>328</v>
      </c>
      <c r="B332" s="4">
        <v>1006</v>
      </c>
      <c r="C332" s="4">
        <v>43</v>
      </c>
      <c r="D332" s="5">
        <f>IFERROR(ROUND($U332*$X332*$AA332*参数!$B$13,0),"")</f>
        <v>1985420</v>
      </c>
      <c r="E332" s="5">
        <f>IFERROR(ROUND($V332*$Y332*$AB332*参数!$C$13,0),"")</f>
        <v>41649</v>
      </c>
      <c r="F332" s="5">
        <f>IFERROR(ROUND($W332*$Z332*$AC332*参数!$D$13,0),"")</f>
        <v>30805</v>
      </c>
      <c r="G332" s="4">
        <v>1556577</v>
      </c>
      <c r="H332" s="4">
        <v>30316</v>
      </c>
      <c r="I332" s="4">
        <v>19828</v>
      </c>
      <c r="J332" s="4">
        <v>66</v>
      </c>
      <c r="K332" s="4">
        <v>66</v>
      </c>
      <c r="L332" s="4">
        <f>IFERROR(INDEX(楼层配置!$D$5:$D$104,MATCH($K332,楼层配置!$B$5:$B$104,0)),"")</f>
        <v>330</v>
      </c>
      <c r="M332" s="4" t="str">
        <f>IFERROR(INDEX(_角色基线!$B$2:$B$100,MATCH($B332,_角色基线!$A$2:$A$100,0)),"")</f>
        <v>莉莉娅</v>
      </c>
      <c r="N332" s="4" t="str">
        <f>IFERROR(INDEX(_角色基线!$C$2:$C$100,MATCH($B332,_角色基线!$A$2:$A$100,0)),"")</f>
        <v>DPS</v>
      </c>
      <c r="O332" s="4">
        <f>IFERROR(INDEX(_怪物基线!$B$2:$B$501,MATCH(INT($L332),_怪物基线!$A$2:$A$501,0)),"")</f>
        <v>496355</v>
      </c>
      <c r="P332" s="4">
        <f>IFERROR(INDEX(_怪物基线!$C$2:$C$501,MATCH(INT($L332),_怪物基线!$A$2:$A$501,0)),"")</f>
        <v>28923</v>
      </c>
      <c r="Q332" s="4">
        <f>IFERROR(INDEX(_怪物基线!$D$2:$D$501,MATCH(INT($L332),_怪物基线!$A$2:$A$501,0)),"")</f>
        <v>30805</v>
      </c>
      <c r="R332" s="4">
        <f>参数!$B$10</f>
        <v>4</v>
      </c>
      <c r="S332" s="4">
        <f>参数!$C$10</f>
        <v>1.2</v>
      </c>
      <c r="T332" s="4">
        <f>参数!$D$10</f>
        <v>1</v>
      </c>
      <c r="U332" s="4">
        <f t="shared" si="35"/>
        <v>1985420</v>
      </c>
      <c r="V332" s="4">
        <f t="shared" si="36"/>
        <v>34707.6</v>
      </c>
      <c r="W332" s="4">
        <f t="shared" si="37"/>
        <v>30805</v>
      </c>
      <c r="X332" s="4">
        <f>IFERROR(INDEX(参数!$B$5:$B$7,MATCH($N332,参数!$A$5:$A$7,0)),"")</f>
        <v>1</v>
      </c>
      <c r="Y332" s="4">
        <f>IFERROR(INDEX(参数!$C$5:$C$7,MATCH($N332,参数!$A$5:$A$7,0)),"")</f>
        <v>1.2</v>
      </c>
      <c r="Z332" s="4">
        <f>IFERROR(INDEX(参数!$D$5:$D$7,MATCH($N332,参数!$A$5:$A$7,0)),"")</f>
        <v>1</v>
      </c>
      <c r="AA332" s="4">
        <f>IFERROR(INDEX(楼层配置!$E$5:$E$104,MATCH($K332,楼层配置!$B$5:$B$104,0)),1)</f>
        <v>1</v>
      </c>
      <c r="AB332" s="4">
        <f>IFERROR(INDEX(楼层配置!$F$5:$F$104,MATCH($K332,楼层配置!$B$5:$B$104,0)),1)</f>
        <v>1</v>
      </c>
      <c r="AC332" s="4">
        <f>IFERROR(INDEX(楼层配置!$G$5:$G$104,MATCH($K332,楼层配置!$B$5:$B$104,0)),1)</f>
        <v>1</v>
      </c>
      <c r="AD332" s="6">
        <f t="shared" si="38"/>
        <v>0.275503878060642</v>
      </c>
      <c r="AE332" s="6">
        <f t="shared" si="39"/>
        <v>0.373829001187492</v>
      </c>
      <c r="AF332" s="6">
        <f t="shared" si="40"/>
        <v>0.553611055073633</v>
      </c>
      <c r="AG332" s="4" t="str">
        <f t="shared" si="41"/>
        <v>有效</v>
      </c>
    </row>
    <row r="333" ht="14.25" customHeight="1" spans="1:33">
      <c r="A333" s="4">
        <v>329</v>
      </c>
      <c r="B333" s="4">
        <v>1021</v>
      </c>
      <c r="C333" s="4">
        <v>43</v>
      </c>
      <c r="D333" s="5">
        <f>IFERROR(ROUND($U333*$X333*$AA333*参数!$B$13,0),"")</f>
        <v>1985420</v>
      </c>
      <c r="E333" s="5">
        <f>IFERROR(ROUND($V333*$Y333*$AB333*参数!$C$13,0),"")</f>
        <v>41649</v>
      </c>
      <c r="F333" s="5">
        <f>IFERROR(ROUND($W333*$Z333*$AC333*参数!$D$13,0),"")</f>
        <v>30805</v>
      </c>
      <c r="G333" s="4">
        <v>1556577</v>
      </c>
      <c r="H333" s="4">
        <v>30316</v>
      </c>
      <c r="I333" s="4">
        <v>19828</v>
      </c>
      <c r="J333" s="4">
        <v>66</v>
      </c>
      <c r="K333" s="4">
        <v>66</v>
      </c>
      <c r="L333" s="4">
        <f>IFERROR(INDEX(楼层配置!$D$5:$D$104,MATCH($K333,楼层配置!$B$5:$B$104,0)),"")</f>
        <v>330</v>
      </c>
      <c r="M333" s="4" t="str">
        <f>IFERROR(INDEX(_角色基线!$B$2:$B$100,MATCH($B333,_角色基线!$A$2:$A$100,0)),"")</f>
        <v>梅梅</v>
      </c>
      <c r="N333" s="4" t="str">
        <f>IFERROR(INDEX(_角色基线!$C$2:$C$100,MATCH($B333,_角色基线!$A$2:$A$100,0)),"")</f>
        <v>DPS</v>
      </c>
      <c r="O333" s="4">
        <f>IFERROR(INDEX(_怪物基线!$B$2:$B$501,MATCH(INT($L333),_怪物基线!$A$2:$A$501,0)),"")</f>
        <v>496355</v>
      </c>
      <c r="P333" s="4">
        <f>IFERROR(INDEX(_怪物基线!$C$2:$C$501,MATCH(INT($L333),_怪物基线!$A$2:$A$501,0)),"")</f>
        <v>28923</v>
      </c>
      <c r="Q333" s="4">
        <f>IFERROR(INDEX(_怪物基线!$D$2:$D$501,MATCH(INT($L333),_怪物基线!$A$2:$A$501,0)),"")</f>
        <v>30805</v>
      </c>
      <c r="R333" s="4">
        <f>参数!$B$10</f>
        <v>4</v>
      </c>
      <c r="S333" s="4">
        <f>参数!$C$10</f>
        <v>1.2</v>
      </c>
      <c r="T333" s="4">
        <f>参数!$D$10</f>
        <v>1</v>
      </c>
      <c r="U333" s="4">
        <f t="shared" si="35"/>
        <v>1985420</v>
      </c>
      <c r="V333" s="4">
        <f t="shared" si="36"/>
        <v>34707.6</v>
      </c>
      <c r="W333" s="4">
        <f t="shared" si="37"/>
        <v>30805</v>
      </c>
      <c r="X333" s="4">
        <f>IFERROR(INDEX(参数!$B$5:$B$7,MATCH($N333,参数!$A$5:$A$7,0)),"")</f>
        <v>1</v>
      </c>
      <c r="Y333" s="4">
        <f>IFERROR(INDEX(参数!$C$5:$C$7,MATCH($N333,参数!$A$5:$A$7,0)),"")</f>
        <v>1.2</v>
      </c>
      <c r="Z333" s="4">
        <f>IFERROR(INDEX(参数!$D$5:$D$7,MATCH($N333,参数!$A$5:$A$7,0)),"")</f>
        <v>1</v>
      </c>
      <c r="AA333" s="4">
        <f>IFERROR(INDEX(楼层配置!$E$5:$E$104,MATCH($K333,楼层配置!$B$5:$B$104,0)),1)</f>
        <v>1</v>
      </c>
      <c r="AB333" s="4">
        <f>IFERROR(INDEX(楼层配置!$F$5:$F$104,MATCH($K333,楼层配置!$B$5:$B$104,0)),1)</f>
        <v>1</v>
      </c>
      <c r="AC333" s="4">
        <f>IFERROR(INDEX(楼层配置!$G$5:$G$104,MATCH($K333,楼层配置!$B$5:$B$104,0)),1)</f>
        <v>1</v>
      </c>
      <c r="AD333" s="6">
        <f t="shared" si="38"/>
        <v>0.275503878060642</v>
      </c>
      <c r="AE333" s="6">
        <f t="shared" si="39"/>
        <v>0.373829001187492</v>
      </c>
      <c r="AF333" s="6">
        <f t="shared" si="40"/>
        <v>0.553611055073633</v>
      </c>
      <c r="AG333" s="4" t="str">
        <f t="shared" si="41"/>
        <v>有效</v>
      </c>
    </row>
    <row r="334" ht="14.25" customHeight="1" spans="1:33">
      <c r="A334" s="4">
        <v>330</v>
      </c>
      <c r="B334" s="4">
        <v>1012</v>
      </c>
      <c r="C334" s="4">
        <v>43</v>
      </c>
      <c r="D334" s="5">
        <f>IFERROR(ROUND($U334*$X334*$AA334*参数!$B$13,0),"")</f>
        <v>2481775</v>
      </c>
      <c r="E334" s="5">
        <f>IFERROR(ROUND($V334*$Y334*$AB334*参数!$C$13,0),"")</f>
        <v>34708</v>
      </c>
      <c r="F334" s="5">
        <f>IFERROR(ROUND($W334*$Z334*$AC334*参数!$D$13,0),"")</f>
        <v>38506</v>
      </c>
      <c r="G334" s="4">
        <v>1945722</v>
      </c>
      <c r="H334" s="4">
        <v>25264</v>
      </c>
      <c r="I334" s="4">
        <v>24785</v>
      </c>
      <c r="J334" s="4">
        <v>66</v>
      </c>
      <c r="K334" s="4">
        <v>66</v>
      </c>
      <c r="L334" s="4">
        <f>IFERROR(INDEX(楼层配置!$D$5:$D$104,MATCH($K334,楼层配置!$B$5:$B$104,0)),"")</f>
        <v>330</v>
      </c>
      <c r="M334" s="4" t="str">
        <f>IFERROR(INDEX(_角色基线!$B$2:$B$100,MATCH($B334,_角色基线!$A$2:$A$100,0)),"")</f>
        <v>艾德琳</v>
      </c>
      <c r="N334" s="4" t="str">
        <f>IFERROR(INDEX(_角色基线!$C$2:$C$100,MATCH($B334,_角色基线!$A$2:$A$100,0)),"")</f>
        <v>Support</v>
      </c>
      <c r="O334" s="4">
        <f>IFERROR(INDEX(_怪物基线!$B$2:$B$501,MATCH(INT($L334),_怪物基线!$A$2:$A$501,0)),"")</f>
        <v>496355</v>
      </c>
      <c r="P334" s="4">
        <f>IFERROR(INDEX(_怪物基线!$C$2:$C$501,MATCH(INT($L334),_怪物基线!$A$2:$A$501,0)),"")</f>
        <v>28923</v>
      </c>
      <c r="Q334" s="4">
        <f>IFERROR(INDEX(_怪物基线!$D$2:$D$501,MATCH(INT($L334),_怪物基线!$A$2:$A$501,0)),"")</f>
        <v>30805</v>
      </c>
      <c r="R334" s="4">
        <f>参数!$B$10</f>
        <v>4</v>
      </c>
      <c r="S334" s="4">
        <f>参数!$C$10</f>
        <v>1.2</v>
      </c>
      <c r="T334" s="4">
        <f>参数!$D$10</f>
        <v>1</v>
      </c>
      <c r="U334" s="4">
        <f t="shared" si="35"/>
        <v>1985420</v>
      </c>
      <c r="V334" s="4">
        <f t="shared" si="36"/>
        <v>34707.6</v>
      </c>
      <c r="W334" s="4">
        <f t="shared" si="37"/>
        <v>30805</v>
      </c>
      <c r="X334" s="4">
        <f>IFERROR(INDEX(参数!$B$5:$B$7,MATCH($N334,参数!$A$5:$A$7,0)),"")</f>
        <v>1.25</v>
      </c>
      <c r="Y334" s="4">
        <f>IFERROR(INDEX(参数!$C$5:$C$7,MATCH($N334,参数!$A$5:$A$7,0)),"")</f>
        <v>1</v>
      </c>
      <c r="Z334" s="4">
        <f>IFERROR(INDEX(参数!$D$5:$D$7,MATCH($N334,参数!$A$5:$A$7,0)),"")</f>
        <v>1.25</v>
      </c>
      <c r="AA334" s="4">
        <f>IFERROR(INDEX(楼层配置!$E$5:$E$104,MATCH($K334,楼层配置!$B$5:$B$104,0)),1)</f>
        <v>1</v>
      </c>
      <c r="AB334" s="4">
        <f>IFERROR(INDEX(楼层配置!$F$5:$F$104,MATCH($K334,楼层配置!$B$5:$B$104,0)),1)</f>
        <v>1</v>
      </c>
      <c r="AC334" s="4">
        <f>IFERROR(INDEX(楼层配置!$G$5:$G$104,MATCH($K334,楼层配置!$B$5:$B$104,0)),1)</f>
        <v>1</v>
      </c>
      <c r="AD334" s="6">
        <f t="shared" si="38"/>
        <v>0.275503386403608</v>
      </c>
      <c r="AE334" s="6">
        <f t="shared" si="39"/>
        <v>0.373812539582014</v>
      </c>
      <c r="AF334" s="6">
        <f t="shared" si="40"/>
        <v>0.553600968327618</v>
      </c>
      <c r="AG334" s="4" t="str">
        <f t="shared" si="41"/>
        <v>有效</v>
      </c>
    </row>
    <row r="335" ht="14.25" customHeight="1" spans="1:33">
      <c r="A335" s="4">
        <v>331</v>
      </c>
      <c r="B335" s="4">
        <v>1004</v>
      </c>
      <c r="C335" s="4">
        <v>43</v>
      </c>
      <c r="D335" s="5">
        <f>IFERROR(ROUND($U335*$X335*$AA335*参数!$B$13,0),"")</f>
        <v>3028434</v>
      </c>
      <c r="E335" s="5">
        <f>IFERROR(ROUND($V335*$Y335*$AB335*参数!$C$13,0),"")</f>
        <v>35160</v>
      </c>
      <c r="F335" s="5">
        <f>IFERROR(ROUND($W335*$Z335*$AC335*参数!$D$13,0),"")</f>
        <v>46601</v>
      </c>
      <c r="G335" s="4">
        <v>2423750</v>
      </c>
      <c r="H335" s="4">
        <v>25956</v>
      </c>
      <c r="I335" s="4">
        <v>30320</v>
      </c>
      <c r="J335" s="4">
        <v>67</v>
      </c>
      <c r="K335" s="4">
        <v>67</v>
      </c>
      <c r="L335" s="4">
        <f>IFERROR(INDEX(楼层配置!$D$5:$D$104,MATCH($K335,楼层配置!$B$5:$B$104,0)),"")</f>
        <v>332</v>
      </c>
      <c r="M335" s="4" t="str">
        <f>IFERROR(INDEX(_角色基线!$B$2:$B$100,MATCH($B335,_角色基线!$A$2:$A$100,0)),"")</f>
        <v>阿芭</v>
      </c>
      <c r="N335" s="4" t="str">
        <f>IFERROR(INDEX(_角色基线!$C$2:$C$100,MATCH($B335,_角色基线!$A$2:$A$100,0)),"")</f>
        <v>Tank</v>
      </c>
      <c r="O335" s="4">
        <f>IFERROR(INDEX(_怪物基线!$B$2:$B$501,MATCH(INT($L335),_怪物基线!$A$2:$A$501,0)),"")</f>
        <v>504739</v>
      </c>
      <c r="P335" s="4">
        <f>IFERROR(INDEX(_怪物基线!$C$2:$C$501,MATCH(INT($L335),_怪物基线!$A$2:$A$501,0)),"")</f>
        <v>29300</v>
      </c>
      <c r="Q335" s="4">
        <f>IFERROR(INDEX(_怪物基线!$D$2:$D$501,MATCH(INT($L335),_怪物基线!$A$2:$A$501,0)),"")</f>
        <v>31067</v>
      </c>
      <c r="R335" s="4">
        <f>参数!$B$10</f>
        <v>4</v>
      </c>
      <c r="S335" s="4">
        <f>参数!$C$10</f>
        <v>1.2</v>
      </c>
      <c r="T335" s="4">
        <f>参数!$D$10</f>
        <v>1</v>
      </c>
      <c r="U335" s="4">
        <f t="shared" si="35"/>
        <v>2018956</v>
      </c>
      <c r="V335" s="4">
        <f t="shared" si="36"/>
        <v>35160</v>
      </c>
      <c r="W335" s="4">
        <f t="shared" si="37"/>
        <v>31067</v>
      </c>
      <c r="X335" s="4">
        <f>IFERROR(INDEX(参数!$B$5:$B$7,MATCH($N335,参数!$A$5:$A$7,0)),"")</f>
        <v>1.5</v>
      </c>
      <c r="Y335" s="4">
        <f>IFERROR(INDEX(参数!$C$5:$C$7,MATCH($N335,参数!$A$5:$A$7,0)),"")</f>
        <v>1</v>
      </c>
      <c r="Z335" s="4">
        <f>IFERROR(INDEX(参数!$D$5:$D$7,MATCH($N335,参数!$A$5:$A$7,0)),"")</f>
        <v>1.5</v>
      </c>
      <c r="AA335" s="4">
        <f>IFERROR(INDEX(楼层配置!$E$5:$E$104,MATCH($K335,楼层配置!$B$5:$B$104,0)),1)</f>
        <v>1</v>
      </c>
      <c r="AB335" s="4">
        <f>IFERROR(INDEX(楼层配置!$F$5:$F$104,MATCH($K335,楼层配置!$B$5:$B$104,0)),1)</f>
        <v>1</v>
      </c>
      <c r="AC335" s="4">
        <f>IFERROR(INDEX(楼层配置!$G$5:$G$104,MATCH($K335,楼层配置!$B$5:$B$104,0)),1)</f>
        <v>1</v>
      </c>
      <c r="AD335" s="6">
        <f t="shared" si="38"/>
        <v>0.249482826199072</v>
      </c>
      <c r="AE335" s="6">
        <f t="shared" si="39"/>
        <v>0.35460009246417</v>
      </c>
      <c r="AF335" s="6">
        <f t="shared" si="40"/>
        <v>0.536972295514512</v>
      </c>
      <c r="AG335" s="4" t="str">
        <f t="shared" si="41"/>
        <v>有效</v>
      </c>
    </row>
    <row r="336" ht="14.25" customHeight="1" spans="1:33">
      <c r="A336" s="4">
        <v>332</v>
      </c>
      <c r="B336" s="4">
        <v>1015</v>
      </c>
      <c r="C336" s="4">
        <v>43</v>
      </c>
      <c r="D336" s="5">
        <f>IFERROR(ROUND($U336*$X336*$AA336*参数!$B$13,0),"")</f>
        <v>2523695</v>
      </c>
      <c r="E336" s="5">
        <f>IFERROR(ROUND($V336*$Y336*$AB336*参数!$C$13,0),"")</f>
        <v>35160</v>
      </c>
      <c r="F336" s="5">
        <f>IFERROR(ROUND($W336*$Z336*$AC336*参数!$D$13,0),"")</f>
        <v>38834</v>
      </c>
      <c r="G336" s="4">
        <v>2019792</v>
      </c>
      <c r="H336" s="4">
        <v>25956</v>
      </c>
      <c r="I336" s="4">
        <v>25267</v>
      </c>
      <c r="J336" s="4">
        <v>67</v>
      </c>
      <c r="K336" s="4">
        <v>67</v>
      </c>
      <c r="L336" s="4">
        <f>IFERROR(INDEX(楼层配置!$D$5:$D$104,MATCH($K336,楼层配置!$B$5:$B$104,0)),"")</f>
        <v>332</v>
      </c>
      <c r="M336" s="4" t="str">
        <f>IFERROR(INDEX(_角色基线!$B$2:$B$100,MATCH($B336,_角色基线!$A$2:$A$100,0)),"")</f>
        <v>阿莱克西娅</v>
      </c>
      <c r="N336" s="4" t="str">
        <f>IFERROR(INDEX(_角色基线!$C$2:$C$100,MATCH($B336,_角色基线!$A$2:$A$100,0)),"")</f>
        <v>Support</v>
      </c>
      <c r="O336" s="4">
        <f>IFERROR(INDEX(_怪物基线!$B$2:$B$501,MATCH(INT($L336),_怪物基线!$A$2:$A$501,0)),"")</f>
        <v>504739</v>
      </c>
      <c r="P336" s="4">
        <f>IFERROR(INDEX(_怪物基线!$C$2:$C$501,MATCH(INT($L336),_怪物基线!$A$2:$A$501,0)),"")</f>
        <v>29300</v>
      </c>
      <c r="Q336" s="4">
        <f>IFERROR(INDEX(_怪物基线!$D$2:$D$501,MATCH(INT($L336),_怪物基线!$A$2:$A$501,0)),"")</f>
        <v>31067</v>
      </c>
      <c r="R336" s="4">
        <f>参数!$B$10</f>
        <v>4</v>
      </c>
      <c r="S336" s="4">
        <f>参数!$C$10</f>
        <v>1.2</v>
      </c>
      <c r="T336" s="4">
        <f>参数!$D$10</f>
        <v>1</v>
      </c>
      <c r="U336" s="4">
        <f t="shared" si="35"/>
        <v>2018956</v>
      </c>
      <c r="V336" s="4">
        <f t="shared" si="36"/>
        <v>35160</v>
      </c>
      <c r="W336" s="4">
        <f t="shared" si="37"/>
        <v>31067</v>
      </c>
      <c r="X336" s="4">
        <f>IFERROR(INDEX(参数!$B$5:$B$7,MATCH($N336,参数!$A$5:$A$7,0)),"")</f>
        <v>1.25</v>
      </c>
      <c r="Y336" s="4">
        <f>IFERROR(INDEX(参数!$C$5:$C$7,MATCH($N336,参数!$A$5:$A$7,0)),"")</f>
        <v>1</v>
      </c>
      <c r="Z336" s="4">
        <f>IFERROR(INDEX(参数!$D$5:$D$7,MATCH($N336,参数!$A$5:$A$7,0)),"")</f>
        <v>1.25</v>
      </c>
      <c r="AA336" s="4">
        <f>IFERROR(INDEX(楼层配置!$E$5:$E$104,MATCH($K336,楼层配置!$B$5:$B$104,0)),1)</f>
        <v>1</v>
      </c>
      <c r="AB336" s="4">
        <f>IFERROR(INDEX(楼层配置!$F$5:$F$104,MATCH($K336,楼层配置!$B$5:$B$104,0)),1)</f>
        <v>1</v>
      </c>
      <c r="AC336" s="4">
        <f>IFERROR(INDEX(楼层配置!$G$5:$G$104,MATCH($K336,楼层配置!$B$5:$B$104,0)),1)</f>
        <v>1</v>
      </c>
      <c r="AD336" s="6">
        <f t="shared" si="38"/>
        <v>0.249482619992554</v>
      </c>
      <c r="AE336" s="6">
        <f t="shared" si="39"/>
        <v>0.35460009246417</v>
      </c>
      <c r="AF336" s="6">
        <f t="shared" si="40"/>
        <v>0.536945422883603</v>
      </c>
      <c r="AG336" s="4" t="str">
        <f t="shared" si="41"/>
        <v>有效</v>
      </c>
    </row>
    <row r="337" ht="14.25" customHeight="1" spans="1:33">
      <c r="A337" s="4">
        <v>333</v>
      </c>
      <c r="B337" s="4">
        <v>1005</v>
      </c>
      <c r="C337" s="4">
        <v>43</v>
      </c>
      <c r="D337" s="5">
        <f>IFERROR(ROUND($U337*$X337*$AA337*参数!$B$13,0),"")</f>
        <v>2018956</v>
      </c>
      <c r="E337" s="5">
        <f>IFERROR(ROUND($V337*$Y337*$AB337*参数!$C$13,0),"")</f>
        <v>42192</v>
      </c>
      <c r="F337" s="5">
        <f>IFERROR(ROUND($W337*$Z337*$AC337*参数!$D$13,0),"")</f>
        <v>31067</v>
      </c>
      <c r="G337" s="4">
        <v>1615833</v>
      </c>
      <c r="H337" s="4">
        <v>31147</v>
      </c>
      <c r="I337" s="4">
        <v>20213</v>
      </c>
      <c r="J337" s="4">
        <v>67</v>
      </c>
      <c r="K337" s="4">
        <v>67</v>
      </c>
      <c r="L337" s="4">
        <f>IFERROR(INDEX(楼层配置!$D$5:$D$104,MATCH($K337,楼层配置!$B$5:$B$104,0)),"")</f>
        <v>332</v>
      </c>
      <c r="M337" s="4" t="str">
        <f>IFERROR(INDEX(_角色基线!$B$2:$B$100,MATCH($B337,_角色基线!$A$2:$A$100,0)),"")</f>
        <v>陈单单</v>
      </c>
      <c r="N337" s="4" t="str">
        <f>IFERROR(INDEX(_角色基线!$C$2:$C$100,MATCH($B337,_角色基线!$A$2:$A$100,0)),"")</f>
        <v>DPS</v>
      </c>
      <c r="O337" s="4">
        <f>IFERROR(INDEX(_怪物基线!$B$2:$B$501,MATCH(INT($L337),_怪物基线!$A$2:$A$501,0)),"")</f>
        <v>504739</v>
      </c>
      <c r="P337" s="4">
        <f>IFERROR(INDEX(_怪物基线!$C$2:$C$501,MATCH(INT($L337),_怪物基线!$A$2:$A$501,0)),"")</f>
        <v>29300</v>
      </c>
      <c r="Q337" s="4">
        <f>IFERROR(INDEX(_怪物基线!$D$2:$D$501,MATCH(INT($L337),_怪物基线!$A$2:$A$501,0)),"")</f>
        <v>31067</v>
      </c>
      <c r="R337" s="4">
        <f>参数!$B$10</f>
        <v>4</v>
      </c>
      <c r="S337" s="4">
        <f>参数!$C$10</f>
        <v>1.2</v>
      </c>
      <c r="T337" s="4">
        <f>参数!$D$10</f>
        <v>1</v>
      </c>
      <c r="U337" s="4">
        <f t="shared" si="35"/>
        <v>2018956</v>
      </c>
      <c r="V337" s="4">
        <f t="shared" si="36"/>
        <v>35160</v>
      </c>
      <c r="W337" s="4">
        <f t="shared" si="37"/>
        <v>31067</v>
      </c>
      <c r="X337" s="4">
        <f>IFERROR(INDEX(参数!$B$5:$B$7,MATCH($N337,参数!$A$5:$A$7,0)),"")</f>
        <v>1</v>
      </c>
      <c r="Y337" s="4">
        <f>IFERROR(INDEX(参数!$C$5:$C$7,MATCH($N337,参数!$A$5:$A$7,0)),"")</f>
        <v>1.2</v>
      </c>
      <c r="Z337" s="4">
        <f>IFERROR(INDEX(参数!$D$5:$D$7,MATCH($N337,参数!$A$5:$A$7,0)),"")</f>
        <v>1</v>
      </c>
      <c r="AA337" s="4">
        <f>IFERROR(INDEX(楼层配置!$E$5:$E$104,MATCH($K337,楼层配置!$B$5:$B$104,0)),1)</f>
        <v>1</v>
      </c>
      <c r="AB337" s="4">
        <f>IFERROR(INDEX(楼层配置!$F$5:$F$104,MATCH($K337,楼层配置!$B$5:$B$104,0)),1)</f>
        <v>1</v>
      </c>
      <c r="AC337" s="4">
        <f>IFERROR(INDEX(楼层配置!$G$5:$G$104,MATCH($K337,楼层配置!$B$5:$B$104,0)),1)</f>
        <v>1</v>
      </c>
      <c r="AD337" s="6">
        <f t="shared" si="38"/>
        <v>0.249483083957315</v>
      </c>
      <c r="AE337" s="6">
        <f t="shared" si="39"/>
        <v>0.354608790573731</v>
      </c>
      <c r="AF337" s="6">
        <f t="shared" si="40"/>
        <v>0.53698115074457</v>
      </c>
      <c r="AG337" s="4" t="str">
        <f t="shared" si="41"/>
        <v>有效</v>
      </c>
    </row>
    <row r="338" ht="14.25" customHeight="1" spans="1:33">
      <c r="A338" s="4">
        <v>334</v>
      </c>
      <c r="B338" s="4">
        <v>1005</v>
      </c>
      <c r="C338" s="4">
        <v>43</v>
      </c>
      <c r="D338" s="5">
        <f>IFERROR(ROUND($U338*$X338*$AA338*参数!$B$13,0),"")</f>
        <v>2018956</v>
      </c>
      <c r="E338" s="5">
        <f>IFERROR(ROUND($V338*$Y338*$AB338*参数!$C$13,0),"")</f>
        <v>42192</v>
      </c>
      <c r="F338" s="5">
        <f>IFERROR(ROUND($W338*$Z338*$AC338*参数!$D$13,0),"")</f>
        <v>31067</v>
      </c>
      <c r="G338" s="4">
        <v>1615833</v>
      </c>
      <c r="H338" s="4">
        <v>31147</v>
      </c>
      <c r="I338" s="4">
        <v>20213</v>
      </c>
      <c r="J338" s="4">
        <v>67</v>
      </c>
      <c r="K338" s="4">
        <v>67</v>
      </c>
      <c r="L338" s="4">
        <f>IFERROR(INDEX(楼层配置!$D$5:$D$104,MATCH($K338,楼层配置!$B$5:$B$104,0)),"")</f>
        <v>332</v>
      </c>
      <c r="M338" s="4" t="str">
        <f>IFERROR(INDEX(_角色基线!$B$2:$B$100,MATCH($B338,_角色基线!$A$2:$A$100,0)),"")</f>
        <v>陈单单</v>
      </c>
      <c r="N338" s="4" t="str">
        <f>IFERROR(INDEX(_角色基线!$C$2:$C$100,MATCH($B338,_角色基线!$A$2:$A$100,0)),"")</f>
        <v>DPS</v>
      </c>
      <c r="O338" s="4">
        <f>IFERROR(INDEX(_怪物基线!$B$2:$B$501,MATCH(INT($L338),_怪物基线!$A$2:$A$501,0)),"")</f>
        <v>504739</v>
      </c>
      <c r="P338" s="4">
        <f>IFERROR(INDEX(_怪物基线!$C$2:$C$501,MATCH(INT($L338),_怪物基线!$A$2:$A$501,0)),"")</f>
        <v>29300</v>
      </c>
      <c r="Q338" s="4">
        <f>IFERROR(INDEX(_怪物基线!$D$2:$D$501,MATCH(INT($L338),_怪物基线!$A$2:$A$501,0)),"")</f>
        <v>31067</v>
      </c>
      <c r="R338" s="4">
        <f>参数!$B$10</f>
        <v>4</v>
      </c>
      <c r="S338" s="4">
        <f>参数!$C$10</f>
        <v>1.2</v>
      </c>
      <c r="T338" s="4">
        <f>参数!$D$10</f>
        <v>1</v>
      </c>
      <c r="U338" s="4">
        <f t="shared" si="35"/>
        <v>2018956</v>
      </c>
      <c r="V338" s="4">
        <f t="shared" si="36"/>
        <v>35160</v>
      </c>
      <c r="W338" s="4">
        <f t="shared" si="37"/>
        <v>31067</v>
      </c>
      <c r="X338" s="4">
        <f>IFERROR(INDEX(参数!$B$5:$B$7,MATCH($N338,参数!$A$5:$A$7,0)),"")</f>
        <v>1</v>
      </c>
      <c r="Y338" s="4">
        <f>IFERROR(INDEX(参数!$C$5:$C$7,MATCH($N338,参数!$A$5:$A$7,0)),"")</f>
        <v>1.2</v>
      </c>
      <c r="Z338" s="4">
        <f>IFERROR(INDEX(参数!$D$5:$D$7,MATCH($N338,参数!$A$5:$A$7,0)),"")</f>
        <v>1</v>
      </c>
      <c r="AA338" s="4">
        <f>IFERROR(INDEX(楼层配置!$E$5:$E$104,MATCH($K338,楼层配置!$B$5:$B$104,0)),1)</f>
        <v>1</v>
      </c>
      <c r="AB338" s="4">
        <f>IFERROR(INDEX(楼层配置!$F$5:$F$104,MATCH($K338,楼层配置!$B$5:$B$104,0)),1)</f>
        <v>1</v>
      </c>
      <c r="AC338" s="4">
        <f>IFERROR(INDEX(楼层配置!$G$5:$G$104,MATCH($K338,楼层配置!$B$5:$B$104,0)),1)</f>
        <v>1</v>
      </c>
      <c r="AD338" s="6">
        <f t="shared" si="38"/>
        <v>0.249483083957315</v>
      </c>
      <c r="AE338" s="6">
        <f t="shared" si="39"/>
        <v>0.354608790573731</v>
      </c>
      <c r="AF338" s="6">
        <f t="shared" si="40"/>
        <v>0.53698115074457</v>
      </c>
      <c r="AG338" s="4" t="str">
        <f t="shared" si="41"/>
        <v>有效</v>
      </c>
    </row>
    <row r="339" ht="14.25" customHeight="1" spans="1:33">
      <c r="A339" s="4">
        <v>335</v>
      </c>
      <c r="B339" s="4">
        <v>1008</v>
      </c>
      <c r="C339" s="4">
        <v>43</v>
      </c>
      <c r="D339" s="5">
        <f>IFERROR(ROUND($U339*$X339*$AA339*参数!$B$13,0),"")</f>
        <v>2018956</v>
      </c>
      <c r="E339" s="5">
        <f>IFERROR(ROUND($V339*$Y339*$AB339*参数!$C$13,0),"")</f>
        <v>42192</v>
      </c>
      <c r="F339" s="5">
        <f>IFERROR(ROUND($W339*$Z339*$AC339*参数!$D$13,0),"")</f>
        <v>31067</v>
      </c>
      <c r="G339" s="4">
        <v>1615833</v>
      </c>
      <c r="H339" s="4">
        <v>31147</v>
      </c>
      <c r="I339" s="4">
        <v>20213</v>
      </c>
      <c r="J339" s="4">
        <v>67</v>
      </c>
      <c r="K339" s="4">
        <v>67</v>
      </c>
      <c r="L339" s="4">
        <f>IFERROR(INDEX(楼层配置!$D$5:$D$104,MATCH($K339,楼层配置!$B$5:$B$104,0)),"")</f>
        <v>332</v>
      </c>
      <c r="M339" s="4" t="str">
        <f>IFERROR(INDEX(_角色基线!$B$2:$B$100,MATCH($B339,_角色基线!$A$2:$A$100,0)),"")</f>
        <v>薇</v>
      </c>
      <c r="N339" s="4" t="str">
        <f>IFERROR(INDEX(_角色基线!$C$2:$C$100,MATCH($B339,_角色基线!$A$2:$A$100,0)),"")</f>
        <v>DPS</v>
      </c>
      <c r="O339" s="4">
        <f>IFERROR(INDEX(_怪物基线!$B$2:$B$501,MATCH(INT($L339),_怪物基线!$A$2:$A$501,0)),"")</f>
        <v>504739</v>
      </c>
      <c r="P339" s="4">
        <f>IFERROR(INDEX(_怪物基线!$C$2:$C$501,MATCH(INT($L339),_怪物基线!$A$2:$A$501,0)),"")</f>
        <v>29300</v>
      </c>
      <c r="Q339" s="4">
        <f>IFERROR(INDEX(_怪物基线!$D$2:$D$501,MATCH(INT($L339),_怪物基线!$A$2:$A$501,0)),"")</f>
        <v>31067</v>
      </c>
      <c r="R339" s="4">
        <f>参数!$B$10</f>
        <v>4</v>
      </c>
      <c r="S339" s="4">
        <f>参数!$C$10</f>
        <v>1.2</v>
      </c>
      <c r="T339" s="4">
        <f>参数!$D$10</f>
        <v>1</v>
      </c>
      <c r="U339" s="4">
        <f t="shared" si="35"/>
        <v>2018956</v>
      </c>
      <c r="V339" s="4">
        <f t="shared" si="36"/>
        <v>35160</v>
      </c>
      <c r="W339" s="4">
        <f t="shared" si="37"/>
        <v>31067</v>
      </c>
      <c r="X339" s="4">
        <f>IFERROR(INDEX(参数!$B$5:$B$7,MATCH($N339,参数!$A$5:$A$7,0)),"")</f>
        <v>1</v>
      </c>
      <c r="Y339" s="4">
        <f>IFERROR(INDEX(参数!$C$5:$C$7,MATCH($N339,参数!$A$5:$A$7,0)),"")</f>
        <v>1.2</v>
      </c>
      <c r="Z339" s="4">
        <f>IFERROR(INDEX(参数!$D$5:$D$7,MATCH($N339,参数!$A$5:$A$7,0)),"")</f>
        <v>1</v>
      </c>
      <c r="AA339" s="4">
        <f>IFERROR(INDEX(楼层配置!$E$5:$E$104,MATCH($K339,楼层配置!$B$5:$B$104,0)),1)</f>
        <v>1</v>
      </c>
      <c r="AB339" s="4">
        <f>IFERROR(INDEX(楼层配置!$F$5:$F$104,MATCH($K339,楼层配置!$B$5:$B$104,0)),1)</f>
        <v>1</v>
      </c>
      <c r="AC339" s="4">
        <f>IFERROR(INDEX(楼层配置!$G$5:$G$104,MATCH($K339,楼层配置!$B$5:$B$104,0)),1)</f>
        <v>1</v>
      </c>
      <c r="AD339" s="6">
        <f t="shared" si="38"/>
        <v>0.249483083957315</v>
      </c>
      <c r="AE339" s="6">
        <f t="shared" si="39"/>
        <v>0.354608790573731</v>
      </c>
      <c r="AF339" s="6">
        <f t="shared" si="40"/>
        <v>0.53698115074457</v>
      </c>
      <c r="AG339" s="4" t="str">
        <f t="shared" si="41"/>
        <v>有效</v>
      </c>
    </row>
    <row r="340" ht="14.25" customHeight="1" spans="1:33">
      <c r="A340" s="4">
        <v>336</v>
      </c>
      <c r="B340" s="4">
        <v>1002</v>
      </c>
      <c r="C340" s="4">
        <v>44</v>
      </c>
      <c r="D340" s="5">
        <f>IFERROR(ROUND($U340*$X340*$AA340*参数!$B$13,0),"")</f>
        <v>3053826</v>
      </c>
      <c r="E340" s="5">
        <f>IFERROR(ROUND($V340*$Y340*$AB340*参数!$C$13,0),"")</f>
        <v>35389</v>
      </c>
      <c r="F340" s="5">
        <f>IFERROR(ROUND($W340*$Z340*$AC340*参数!$D$13,0),"")</f>
        <v>46799</v>
      </c>
      <c r="G340" s="4">
        <v>2515089</v>
      </c>
      <c r="H340" s="4">
        <v>26665</v>
      </c>
      <c r="I340" s="4">
        <v>30902</v>
      </c>
      <c r="J340" s="4">
        <v>68</v>
      </c>
      <c r="K340" s="4">
        <v>68</v>
      </c>
      <c r="L340" s="4">
        <f>IFERROR(INDEX(楼层配置!$D$5:$D$104,MATCH($K340,楼层配置!$B$5:$B$104,0)),"")</f>
        <v>333</v>
      </c>
      <c r="M340" s="4" t="str">
        <f>IFERROR(INDEX(_角色基线!$B$2:$B$100,MATCH($B340,_角色基线!$A$2:$A$100,0)),"")</f>
        <v>大暑</v>
      </c>
      <c r="N340" s="4" t="str">
        <f>IFERROR(INDEX(_角色基线!$C$2:$C$100,MATCH($B340,_角色基线!$A$2:$A$100,0)),"")</f>
        <v>Tank</v>
      </c>
      <c r="O340" s="4">
        <f>IFERROR(INDEX(_怪物基线!$B$2:$B$501,MATCH(INT($L340),_怪物基线!$A$2:$A$501,0)),"")</f>
        <v>508971</v>
      </c>
      <c r="P340" s="4">
        <f>IFERROR(INDEX(_怪物基线!$C$2:$C$501,MATCH(INT($L340),_怪物基线!$A$2:$A$501,0)),"")</f>
        <v>29491</v>
      </c>
      <c r="Q340" s="4">
        <f>IFERROR(INDEX(_怪物基线!$D$2:$D$501,MATCH(INT($L340),_怪物基线!$A$2:$A$501,0)),"")</f>
        <v>31199</v>
      </c>
      <c r="R340" s="4">
        <f>参数!$B$10</f>
        <v>4</v>
      </c>
      <c r="S340" s="4">
        <f>参数!$C$10</f>
        <v>1.2</v>
      </c>
      <c r="T340" s="4">
        <f>参数!$D$10</f>
        <v>1</v>
      </c>
      <c r="U340" s="4">
        <f t="shared" si="35"/>
        <v>2035884</v>
      </c>
      <c r="V340" s="4">
        <f t="shared" si="36"/>
        <v>35389.2</v>
      </c>
      <c r="W340" s="4">
        <f t="shared" si="37"/>
        <v>31199</v>
      </c>
      <c r="X340" s="4">
        <f>IFERROR(INDEX(参数!$B$5:$B$7,MATCH($N340,参数!$A$5:$A$7,0)),"")</f>
        <v>1.5</v>
      </c>
      <c r="Y340" s="4">
        <f>IFERROR(INDEX(参数!$C$5:$C$7,MATCH($N340,参数!$A$5:$A$7,0)),"")</f>
        <v>1</v>
      </c>
      <c r="Z340" s="4">
        <f>IFERROR(INDEX(参数!$D$5:$D$7,MATCH($N340,参数!$A$5:$A$7,0)),"")</f>
        <v>1.5</v>
      </c>
      <c r="AA340" s="4">
        <f>IFERROR(INDEX(楼层配置!$E$5:$E$104,MATCH($K340,楼层配置!$B$5:$B$104,0)),1)</f>
        <v>1</v>
      </c>
      <c r="AB340" s="4">
        <f>IFERROR(INDEX(楼层配置!$F$5:$F$104,MATCH($K340,楼层配置!$B$5:$B$104,0)),1)</f>
        <v>1</v>
      </c>
      <c r="AC340" s="4">
        <f>IFERROR(INDEX(楼层配置!$G$5:$G$104,MATCH($K340,楼层配置!$B$5:$B$104,0)),1)</f>
        <v>1</v>
      </c>
      <c r="AD340" s="6">
        <f t="shared" si="38"/>
        <v>0.214201962634324</v>
      </c>
      <c r="AE340" s="6">
        <f t="shared" si="39"/>
        <v>0.32717044815301</v>
      </c>
      <c r="AF340" s="6">
        <f t="shared" si="40"/>
        <v>0.514432722801113</v>
      </c>
      <c r="AG340" s="4" t="str">
        <f t="shared" si="41"/>
        <v>有效</v>
      </c>
    </row>
    <row r="341" ht="14.25" customHeight="1" spans="1:33">
      <c r="A341" s="4">
        <v>337</v>
      </c>
      <c r="B341" s="4">
        <v>1001</v>
      </c>
      <c r="C341" s="4">
        <v>44</v>
      </c>
      <c r="D341" s="5">
        <f>IFERROR(ROUND($U341*$X341*$AA341*参数!$B$13,0),"")</f>
        <v>2035884</v>
      </c>
      <c r="E341" s="5">
        <f>IFERROR(ROUND($V341*$Y341*$AB341*参数!$C$13,0),"")</f>
        <v>42467</v>
      </c>
      <c r="F341" s="5">
        <f>IFERROR(ROUND($W341*$Z341*$AC341*参数!$D$13,0),"")</f>
        <v>31199</v>
      </c>
      <c r="G341" s="4">
        <v>1676726</v>
      </c>
      <c r="H341" s="4">
        <v>31998</v>
      </c>
      <c r="I341" s="4">
        <v>20601</v>
      </c>
      <c r="J341" s="4">
        <v>68</v>
      </c>
      <c r="K341" s="4">
        <v>68</v>
      </c>
      <c r="L341" s="4">
        <f>IFERROR(INDEX(楼层配置!$D$5:$D$104,MATCH($K341,楼层配置!$B$5:$B$104,0)),"")</f>
        <v>333</v>
      </c>
      <c r="M341" s="4" t="str">
        <f>IFERROR(INDEX(_角色基线!$B$2:$B$100,MATCH($B341,_角色基线!$A$2:$A$100,0)),"")</f>
        <v>星海</v>
      </c>
      <c r="N341" s="4" t="str">
        <f>IFERROR(INDEX(_角色基线!$C$2:$C$100,MATCH($B341,_角色基线!$A$2:$A$100,0)),"")</f>
        <v>DPS</v>
      </c>
      <c r="O341" s="4">
        <f>IFERROR(INDEX(_怪物基线!$B$2:$B$501,MATCH(INT($L341),_怪物基线!$A$2:$A$501,0)),"")</f>
        <v>508971</v>
      </c>
      <c r="P341" s="4">
        <f>IFERROR(INDEX(_怪物基线!$C$2:$C$501,MATCH(INT($L341),_怪物基线!$A$2:$A$501,0)),"")</f>
        <v>29491</v>
      </c>
      <c r="Q341" s="4">
        <f>IFERROR(INDEX(_怪物基线!$D$2:$D$501,MATCH(INT($L341),_怪物基线!$A$2:$A$501,0)),"")</f>
        <v>31199</v>
      </c>
      <c r="R341" s="4">
        <f>参数!$B$10</f>
        <v>4</v>
      </c>
      <c r="S341" s="4">
        <f>参数!$C$10</f>
        <v>1.2</v>
      </c>
      <c r="T341" s="4">
        <f>参数!$D$10</f>
        <v>1</v>
      </c>
      <c r="U341" s="4">
        <f t="shared" si="35"/>
        <v>2035884</v>
      </c>
      <c r="V341" s="4">
        <f t="shared" si="36"/>
        <v>35389.2</v>
      </c>
      <c r="W341" s="4">
        <f t="shared" si="37"/>
        <v>31199</v>
      </c>
      <c r="X341" s="4">
        <f>IFERROR(INDEX(参数!$B$5:$B$7,MATCH($N341,参数!$A$5:$A$7,0)),"")</f>
        <v>1</v>
      </c>
      <c r="Y341" s="4">
        <f>IFERROR(INDEX(参数!$C$5:$C$7,MATCH($N341,参数!$A$5:$A$7,0)),"")</f>
        <v>1.2</v>
      </c>
      <c r="Z341" s="4">
        <f>IFERROR(INDEX(参数!$D$5:$D$7,MATCH($N341,参数!$A$5:$A$7,0)),"")</f>
        <v>1</v>
      </c>
      <c r="AA341" s="4">
        <f>IFERROR(INDEX(楼层配置!$E$5:$E$104,MATCH($K341,楼层配置!$B$5:$B$104,0)),1)</f>
        <v>1</v>
      </c>
      <c r="AB341" s="4">
        <f>IFERROR(INDEX(楼层配置!$F$5:$F$104,MATCH($K341,楼层配置!$B$5:$B$104,0)),1)</f>
        <v>1</v>
      </c>
      <c r="AC341" s="4">
        <f>IFERROR(INDEX(楼层配置!$G$5:$G$104,MATCH($K341,楼层配置!$B$5:$B$104,0)),1)</f>
        <v>1</v>
      </c>
      <c r="AD341" s="6">
        <f t="shared" si="38"/>
        <v>0.214201962634324</v>
      </c>
      <c r="AE341" s="6">
        <f t="shared" si="39"/>
        <v>0.327176698543659</v>
      </c>
      <c r="AF341" s="6">
        <f t="shared" si="40"/>
        <v>0.514441046551138</v>
      </c>
      <c r="AG341" s="4" t="str">
        <f t="shared" si="41"/>
        <v>有效</v>
      </c>
    </row>
    <row r="342" ht="14.25" customHeight="1" spans="1:33">
      <c r="A342" s="4">
        <v>338</v>
      </c>
      <c r="B342" s="4">
        <v>1001</v>
      </c>
      <c r="C342" s="4">
        <v>44</v>
      </c>
      <c r="D342" s="5">
        <f>IFERROR(ROUND($U342*$X342*$AA342*参数!$B$13,0),"")</f>
        <v>2035884</v>
      </c>
      <c r="E342" s="5">
        <f>IFERROR(ROUND($V342*$Y342*$AB342*参数!$C$13,0),"")</f>
        <v>42467</v>
      </c>
      <c r="F342" s="5">
        <f>IFERROR(ROUND($W342*$Z342*$AC342*参数!$D$13,0),"")</f>
        <v>31199</v>
      </c>
      <c r="G342" s="4">
        <v>1676726</v>
      </c>
      <c r="H342" s="4">
        <v>31998</v>
      </c>
      <c r="I342" s="4">
        <v>20601</v>
      </c>
      <c r="J342" s="4">
        <v>68</v>
      </c>
      <c r="K342" s="4">
        <v>68</v>
      </c>
      <c r="L342" s="4">
        <f>IFERROR(INDEX(楼层配置!$D$5:$D$104,MATCH($K342,楼层配置!$B$5:$B$104,0)),"")</f>
        <v>333</v>
      </c>
      <c r="M342" s="4" t="str">
        <f>IFERROR(INDEX(_角色基线!$B$2:$B$100,MATCH($B342,_角色基线!$A$2:$A$100,0)),"")</f>
        <v>星海</v>
      </c>
      <c r="N342" s="4" t="str">
        <f>IFERROR(INDEX(_角色基线!$C$2:$C$100,MATCH($B342,_角色基线!$A$2:$A$100,0)),"")</f>
        <v>DPS</v>
      </c>
      <c r="O342" s="4">
        <f>IFERROR(INDEX(_怪物基线!$B$2:$B$501,MATCH(INT($L342),_怪物基线!$A$2:$A$501,0)),"")</f>
        <v>508971</v>
      </c>
      <c r="P342" s="4">
        <f>IFERROR(INDEX(_怪物基线!$C$2:$C$501,MATCH(INT($L342),_怪物基线!$A$2:$A$501,0)),"")</f>
        <v>29491</v>
      </c>
      <c r="Q342" s="4">
        <f>IFERROR(INDEX(_怪物基线!$D$2:$D$501,MATCH(INT($L342),_怪物基线!$A$2:$A$501,0)),"")</f>
        <v>31199</v>
      </c>
      <c r="R342" s="4">
        <f>参数!$B$10</f>
        <v>4</v>
      </c>
      <c r="S342" s="4">
        <f>参数!$C$10</f>
        <v>1.2</v>
      </c>
      <c r="T342" s="4">
        <f>参数!$D$10</f>
        <v>1</v>
      </c>
      <c r="U342" s="4">
        <f t="shared" si="35"/>
        <v>2035884</v>
      </c>
      <c r="V342" s="4">
        <f t="shared" si="36"/>
        <v>35389.2</v>
      </c>
      <c r="W342" s="4">
        <f t="shared" si="37"/>
        <v>31199</v>
      </c>
      <c r="X342" s="4">
        <f>IFERROR(INDEX(参数!$B$5:$B$7,MATCH($N342,参数!$A$5:$A$7,0)),"")</f>
        <v>1</v>
      </c>
      <c r="Y342" s="4">
        <f>IFERROR(INDEX(参数!$C$5:$C$7,MATCH($N342,参数!$A$5:$A$7,0)),"")</f>
        <v>1.2</v>
      </c>
      <c r="Z342" s="4">
        <f>IFERROR(INDEX(参数!$D$5:$D$7,MATCH($N342,参数!$A$5:$A$7,0)),"")</f>
        <v>1</v>
      </c>
      <c r="AA342" s="4">
        <f>IFERROR(INDEX(楼层配置!$E$5:$E$104,MATCH($K342,楼层配置!$B$5:$B$104,0)),1)</f>
        <v>1</v>
      </c>
      <c r="AB342" s="4">
        <f>IFERROR(INDEX(楼层配置!$F$5:$F$104,MATCH($K342,楼层配置!$B$5:$B$104,0)),1)</f>
        <v>1</v>
      </c>
      <c r="AC342" s="4">
        <f>IFERROR(INDEX(楼层配置!$G$5:$G$104,MATCH($K342,楼层配置!$B$5:$B$104,0)),1)</f>
        <v>1</v>
      </c>
      <c r="AD342" s="6">
        <f t="shared" si="38"/>
        <v>0.214201962634324</v>
      </c>
      <c r="AE342" s="6">
        <f t="shared" si="39"/>
        <v>0.327176698543659</v>
      </c>
      <c r="AF342" s="6">
        <f t="shared" si="40"/>
        <v>0.514441046551138</v>
      </c>
      <c r="AG342" s="4" t="str">
        <f t="shared" si="41"/>
        <v>有效</v>
      </c>
    </row>
    <row r="343" ht="14.25" customHeight="1" spans="1:33">
      <c r="A343" s="4">
        <v>339</v>
      </c>
      <c r="B343" s="4">
        <v>1012</v>
      </c>
      <c r="C343" s="4">
        <v>44</v>
      </c>
      <c r="D343" s="5">
        <f>IFERROR(ROUND($U343*$X343*$AA343*参数!$B$13,0),"")</f>
        <v>2544855</v>
      </c>
      <c r="E343" s="5">
        <f>IFERROR(ROUND($V343*$Y343*$AB343*参数!$C$13,0),"")</f>
        <v>35389</v>
      </c>
      <c r="F343" s="5">
        <f>IFERROR(ROUND($W343*$Z343*$AC343*参数!$D$13,0),"")</f>
        <v>38999</v>
      </c>
      <c r="G343" s="4">
        <v>2095908</v>
      </c>
      <c r="H343" s="4">
        <v>26665</v>
      </c>
      <c r="I343" s="4">
        <v>25752</v>
      </c>
      <c r="J343" s="4">
        <v>68</v>
      </c>
      <c r="K343" s="4">
        <v>68</v>
      </c>
      <c r="L343" s="4">
        <f>IFERROR(INDEX(楼层配置!$D$5:$D$104,MATCH($K343,楼层配置!$B$5:$B$104,0)),"")</f>
        <v>333</v>
      </c>
      <c r="M343" s="4" t="str">
        <f>IFERROR(INDEX(_角色基线!$B$2:$B$100,MATCH($B343,_角色基线!$A$2:$A$100,0)),"")</f>
        <v>艾德琳</v>
      </c>
      <c r="N343" s="4" t="str">
        <f>IFERROR(INDEX(_角色基线!$C$2:$C$100,MATCH($B343,_角色基线!$A$2:$A$100,0)),"")</f>
        <v>Support</v>
      </c>
      <c r="O343" s="4">
        <f>IFERROR(INDEX(_怪物基线!$B$2:$B$501,MATCH(INT($L343),_怪物基线!$A$2:$A$501,0)),"")</f>
        <v>508971</v>
      </c>
      <c r="P343" s="4">
        <f>IFERROR(INDEX(_怪物基线!$C$2:$C$501,MATCH(INT($L343),_怪物基线!$A$2:$A$501,0)),"")</f>
        <v>29491</v>
      </c>
      <c r="Q343" s="4">
        <f>IFERROR(INDEX(_怪物基线!$D$2:$D$501,MATCH(INT($L343),_怪物基线!$A$2:$A$501,0)),"")</f>
        <v>31199</v>
      </c>
      <c r="R343" s="4">
        <f>参数!$B$10</f>
        <v>4</v>
      </c>
      <c r="S343" s="4">
        <f>参数!$C$10</f>
        <v>1.2</v>
      </c>
      <c r="T343" s="4">
        <f>参数!$D$10</f>
        <v>1</v>
      </c>
      <c r="U343" s="4">
        <f t="shared" si="35"/>
        <v>2035884</v>
      </c>
      <c r="V343" s="4">
        <f t="shared" si="36"/>
        <v>35389.2</v>
      </c>
      <c r="W343" s="4">
        <f t="shared" si="37"/>
        <v>31199</v>
      </c>
      <c r="X343" s="4">
        <f>IFERROR(INDEX(参数!$B$5:$B$7,MATCH($N343,参数!$A$5:$A$7,0)),"")</f>
        <v>1.25</v>
      </c>
      <c r="Y343" s="4">
        <f>IFERROR(INDEX(参数!$C$5:$C$7,MATCH($N343,参数!$A$5:$A$7,0)),"")</f>
        <v>1</v>
      </c>
      <c r="Z343" s="4">
        <f>IFERROR(INDEX(参数!$D$5:$D$7,MATCH($N343,参数!$A$5:$A$7,0)),"")</f>
        <v>1.25</v>
      </c>
      <c r="AA343" s="4">
        <f>IFERROR(INDEX(楼层配置!$E$5:$E$104,MATCH($K343,楼层配置!$B$5:$B$104,0)),1)</f>
        <v>1</v>
      </c>
      <c r="AB343" s="4">
        <f>IFERROR(INDEX(楼层配置!$F$5:$F$104,MATCH($K343,楼层配置!$B$5:$B$104,0)),1)</f>
        <v>1</v>
      </c>
      <c r="AC343" s="4">
        <f>IFERROR(INDEX(楼层配置!$G$5:$G$104,MATCH($K343,楼层配置!$B$5:$B$104,0)),1)</f>
        <v>1</v>
      </c>
      <c r="AD343" s="6">
        <f t="shared" si="38"/>
        <v>0.214201672974195</v>
      </c>
      <c r="AE343" s="6">
        <f t="shared" si="39"/>
        <v>0.32717044815301</v>
      </c>
      <c r="AF343" s="6">
        <f t="shared" si="40"/>
        <v>0.514406648027338</v>
      </c>
      <c r="AG343" s="4" t="str">
        <f t="shared" si="41"/>
        <v>有效</v>
      </c>
    </row>
    <row r="344" ht="14.25" customHeight="1" spans="1:33">
      <c r="A344" s="4">
        <v>340</v>
      </c>
      <c r="B344" s="4">
        <v>1012</v>
      </c>
      <c r="C344" s="4">
        <v>44</v>
      </c>
      <c r="D344" s="5">
        <f>IFERROR(ROUND($U344*$X344*$AA344*参数!$B$13,0),"")</f>
        <v>2544855</v>
      </c>
      <c r="E344" s="5">
        <f>IFERROR(ROUND($V344*$Y344*$AB344*参数!$C$13,0),"")</f>
        <v>35389</v>
      </c>
      <c r="F344" s="5">
        <f>IFERROR(ROUND($W344*$Z344*$AC344*参数!$D$13,0),"")</f>
        <v>38999</v>
      </c>
      <c r="G344" s="4">
        <v>2095908</v>
      </c>
      <c r="H344" s="4">
        <v>26665</v>
      </c>
      <c r="I344" s="4">
        <v>25752</v>
      </c>
      <c r="J344" s="4">
        <v>68</v>
      </c>
      <c r="K344" s="4">
        <v>68</v>
      </c>
      <c r="L344" s="4">
        <f>IFERROR(INDEX(楼层配置!$D$5:$D$104,MATCH($K344,楼层配置!$B$5:$B$104,0)),"")</f>
        <v>333</v>
      </c>
      <c r="M344" s="4" t="str">
        <f>IFERROR(INDEX(_角色基线!$B$2:$B$100,MATCH($B344,_角色基线!$A$2:$A$100,0)),"")</f>
        <v>艾德琳</v>
      </c>
      <c r="N344" s="4" t="str">
        <f>IFERROR(INDEX(_角色基线!$C$2:$C$100,MATCH($B344,_角色基线!$A$2:$A$100,0)),"")</f>
        <v>Support</v>
      </c>
      <c r="O344" s="4">
        <f>IFERROR(INDEX(_怪物基线!$B$2:$B$501,MATCH(INT($L344),_怪物基线!$A$2:$A$501,0)),"")</f>
        <v>508971</v>
      </c>
      <c r="P344" s="4">
        <f>IFERROR(INDEX(_怪物基线!$C$2:$C$501,MATCH(INT($L344),_怪物基线!$A$2:$A$501,0)),"")</f>
        <v>29491</v>
      </c>
      <c r="Q344" s="4">
        <f>IFERROR(INDEX(_怪物基线!$D$2:$D$501,MATCH(INT($L344),_怪物基线!$A$2:$A$501,0)),"")</f>
        <v>31199</v>
      </c>
      <c r="R344" s="4">
        <f>参数!$B$10</f>
        <v>4</v>
      </c>
      <c r="S344" s="4">
        <f>参数!$C$10</f>
        <v>1.2</v>
      </c>
      <c r="T344" s="4">
        <f>参数!$D$10</f>
        <v>1</v>
      </c>
      <c r="U344" s="4">
        <f t="shared" si="35"/>
        <v>2035884</v>
      </c>
      <c r="V344" s="4">
        <f t="shared" si="36"/>
        <v>35389.2</v>
      </c>
      <c r="W344" s="4">
        <f t="shared" si="37"/>
        <v>31199</v>
      </c>
      <c r="X344" s="4">
        <f>IFERROR(INDEX(参数!$B$5:$B$7,MATCH($N344,参数!$A$5:$A$7,0)),"")</f>
        <v>1.25</v>
      </c>
      <c r="Y344" s="4">
        <f>IFERROR(INDEX(参数!$C$5:$C$7,MATCH($N344,参数!$A$5:$A$7,0)),"")</f>
        <v>1</v>
      </c>
      <c r="Z344" s="4">
        <f>IFERROR(INDEX(参数!$D$5:$D$7,MATCH($N344,参数!$A$5:$A$7,0)),"")</f>
        <v>1.25</v>
      </c>
      <c r="AA344" s="4">
        <f>IFERROR(INDEX(楼层配置!$E$5:$E$104,MATCH($K344,楼层配置!$B$5:$B$104,0)),1)</f>
        <v>1</v>
      </c>
      <c r="AB344" s="4">
        <f>IFERROR(INDEX(楼层配置!$F$5:$F$104,MATCH($K344,楼层配置!$B$5:$B$104,0)),1)</f>
        <v>1</v>
      </c>
      <c r="AC344" s="4">
        <f>IFERROR(INDEX(楼层配置!$G$5:$G$104,MATCH($K344,楼层配置!$B$5:$B$104,0)),1)</f>
        <v>1</v>
      </c>
      <c r="AD344" s="6">
        <f t="shared" si="38"/>
        <v>0.214201672974195</v>
      </c>
      <c r="AE344" s="6">
        <f t="shared" si="39"/>
        <v>0.32717044815301</v>
      </c>
      <c r="AF344" s="6">
        <f t="shared" si="40"/>
        <v>0.514406648027338</v>
      </c>
      <c r="AG344" s="4" t="str">
        <f t="shared" si="41"/>
        <v>有效</v>
      </c>
    </row>
    <row r="345" ht="14.25" customHeight="1" spans="1:33">
      <c r="A345" s="4">
        <v>341</v>
      </c>
      <c r="B345" s="4">
        <v>1004</v>
      </c>
      <c r="C345" s="4">
        <v>44</v>
      </c>
      <c r="D345" s="5">
        <f>IFERROR(ROUND($U345*$X345*$AA345*参数!$B$13,0),"")</f>
        <v>3105078</v>
      </c>
      <c r="E345" s="5">
        <f>IFERROR(ROUND($V345*$Y345*$AB345*参数!$C$13,0),"")</f>
        <v>35849</v>
      </c>
      <c r="F345" s="5">
        <f>IFERROR(ROUND($W345*$Z345*$AC345*参数!$D$13,0),"")</f>
        <v>47193</v>
      </c>
      <c r="G345" s="4">
        <v>2608920</v>
      </c>
      <c r="H345" s="4">
        <v>27390</v>
      </c>
      <c r="I345" s="4">
        <v>31489</v>
      </c>
      <c r="J345" s="4">
        <v>69</v>
      </c>
      <c r="K345" s="4">
        <v>69</v>
      </c>
      <c r="L345" s="4">
        <f>IFERROR(INDEX(楼层配置!$D$5:$D$104,MATCH($K345,楼层配置!$B$5:$B$104,0)),"")</f>
        <v>335</v>
      </c>
      <c r="M345" s="4" t="str">
        <f>IFERROR(INDEX(_角色基线!$B$2:$B$100,MATCH($B345,_角色基线!$A$2:$A$100,0)),"")</f>
        <v>阿芭</v>
      </c>
      <c r="N345" s="4" t="str">
        <f>IFERROR(INDEX(_角色基线!$C$2:$C$100,MATCH($B345,_角色基线!$A$2:$A$100,0)),"")</f>
        <v>Tank</v>
      </c>
      <c r="O345" s="4">
        <f>IFERROR(INDEX(_怪物基线!$B$2:$B$501,MATCH(INT($L345),_怪物基线!$A$2:$A$501,0)),"")</f>
        <v>517513</v>
      </c>
      <c r="P345" s="4">
        <f>IFERROR(INDEX(_怪物基线!$C$2:$C$501,MATCH(INT($L345),_怪物基线!$A$2:$A$501,0)),"")</f>
        <v>29874</v>
      </c>
      <c r="Q345" s="4">
        <f>IFERROR(INDEX(_怪物基线!$D$2:$D$501,MATCH(INT($L345),_怪物基线!$A$2:$A$501,0)),"")</f>
        <v>31462</v>
      </c>
      <c r="R345" s="4">
        <f>参数!$B$10</f>
        <v>4</v>
      </c>
      <c r="S345" s="4">
        <f>参数!$C$10</f>
        <v>1.2</v>
      </c>
      <c r="T345" s="4">
        <f>参数!$D$10</f>
        <v>1</v>
      </c>
      <c r="U345" s="4">
        <f t="shared" si="35"/>
        <v>2070052</v>
      </c>
      <c r="V345" s="4">
        <f t="shared" si="36"/>
        <v>35848.8</v>
      </c>
      <c r="W345" s="4">
        <f t="shared" si="37"/>
        <v>31462</v>
      </c>
      <c r="X345" s="4">
        <f>IFERROR(INDEX(参数!$B$5:$B$7,MATCH($N345,参数!$A$5:$A$7,0)),"")</f>
        <v>1.5</v>
      </c>
      <c r="Y345" s="4">
        <f>IFERROR(INDEX(参数!$C$5:$C$7,MATCH($N345,参数!$A$5:$A$7,0)),"")</f>
        <v>1</v>
      </c>
      <c r="Z345" s="4">
        <f>IFERROR(INDEX(参数!$D$5:$D$7,MATCH($N345,参数!$A$5:$A$7,0)),"")</f>
        <v>1.5</v>
      </c>
      <c r="AA345" s="4">
        <f>IFERROR(INDEX(楼层配置!$E$5:$E$104,MATCH($K345,楼层配置!$B$5:$B$104,0)),1)</f>
        <v>1</v>
      </c>
      <c r="AB345" s="4">
        <f>IFERROR(INDEX(楼层配置!$F$5:$F$104,MATCH($K345,楼层配置!$B$5:$B$104,0)),1)</f>
        <v>1</v>
      </c>
      <c r="AC345" s="4">
        <f>IFERROR(INDEX(楼层配置!$G$5:$G$104,MATCH($K345,楼层配置!$B$5:$B$104,0)),1)</f>
        <v>1</v>
      </c>
      <c r="AD345" s="6">
        <f t="shared" si="38"/>
        <v>0.190177544731153</v>
      </c>
      <c r="AE345" s="6">
        <f t="shared" si="39"/>
        <v>0.308835341365462</v>
      </c>
      <c r="AF345" s="6">
        <f t="shared" si="40"/>
        <v>0.498713836577853</v>
      </c>
      <c r="AG345" s="4" t="str">
        <f t="shared" si="41"/>
        <v>有效</v>
      </c>
    </row>
    <row r="346" ht="14.25" customHeight="1" spans="1:33">
      <c r="A346" s="4">
        <v>342</v>
      </c>
      <c r="B346" s="4">
        <v>1007</v>
      </c>
      <c r="C346" s="4">
        <v>44</v>
      </c>
      <c r="D346" s="5">
        <f>IFERROR(ROUND($U346*$X346*$AA346*参数!$B$13,0),"")</f>
        <v>2587565</v>
      </c>
      <c r="E346" s="5">
        <f>IFERROR(ROUND($V346*$Y346*$AB346*参数!$C$13,0),"")</f>
        <v>35849</v>
      </c>
      <c r="F346" s="5">
        <f>IFERROR(ROUND($W346*$Z346*$AC346*参数!$D$13,0),"")</f>
        <v>39328</v>
      </c>
      <c r="G346" s="4">
        <v>2174100</v>
      </c>
      <c r="H346" s="4">
        <v>27390</v>
      </c>
      <c r="I346" s="4">
        <v>26241</v>
      </c>
      <c r="J346" s="4">
        <v>69</v>
      </c>
      <c r="K346" s="4">
        <v>69</v>
      </c>
      <c r="L346" s="4">
        <f>IFERROR(INDEX(楼层配置!$D$5:$D$104,MATCH($K346,楼层配置!$B$5:$B$104,0)),"")</f>
        <v>335</v>
      </c>
      <c r="M346" s="4" t="str">
        <f>IFERROR(INDEX(_角色基线!$B$2:$B$100,MATCH($B346,_角色基线!$A$2:$A$100,0)),"")</f>
        <v>萨萨莉安</v>
      </c>
      <c r="N346" s="4" t="str">
        <f>IFERROR(INDEX(_角色基线!$C$2:$C$100,MATCH($B346,_角色基线!$A$2:$A$100,0)),"")</f>
        <v>Support</v>
      </c>
      <c r="O346" s="4">
        <f>IFERROR(INDEX(_怪物基线!$B$2:$B$501,MATCH(INT($L346),_怪物基线!$A$2:$A$501,0)),"")</f>
        <v>517513</v>
      </c>
      <c r="P346" s="4">
        <f>IFERROR(INDEX(_怪物基线!$C$2:$C$501,MATCH(INT($L346),_怪物基线!$A$2:$A$501,0)),"")</f>
        <v>29874</v>
      </c>
      <c r="Q346" s="4">
        <f>IFERROR(INDEX(_怪物基线!$D$2:$D$501,MATCH(INT($L346),_怪物基线!$A$2:$A$501,0)),"")</f>
        <v>31462</v>
      </c>
      <c r="R346" s="4">
        <f>参数!$B$10</f>
        <v>4</v>
      </c>
      <c r="S346" s="4">
        <f>参数!$C$10</f>
        <v>1.2</v>
      </c>
      <c r="T346" s="4">
        <f>参数!$D$10</f>
        <v>1</v>
      </c>
      <c r="U346" s="4">
        <f t="shared" si="35"/>
        <v>2070052</v>
      </c>
      <c r="V346" s="4">
        <f t="shared" si="36"/>
        <v>35848.8</v>
      </c>
      <c r="W346" s="4">
        <f t="shared" si="37"/>
        <v>31462</v>
      </c>
      <c r="X346" s="4">
        <f>IFERROR(INDEX(参数!$B$5:$B$7,MATCH($N346,参数!$A$5:$A$7,0)),"")</f>
        <v>1.25</v>
      </c>
      <c r="Y346" s="4">
        <f>IFERROR(INDEX(参数!$C$5:$C$7,MATCH($N346,参数!$A$5:$A$7,0)),"")</f>
        <v>1</v>
      </c>
      <c r="Z346" s="4">
        <f>IFERROR(INDEX(参数!$D$5:$D$7,MATCH($N346,参数!$A$5:$A$7,0)),"")</f>
        <v>1.25</v>
      </c>
      <c r="AA346" s="4">
        <f>IFERROR(INDEX(楼层配置!$E$5:$E$104,MATCH($K346,楼层配置!$B$5:$B$104,0)),1)</f>
        <v>1</v>
      </c>
      <c r="AB346" s="4">
        <f>IFERROR(INDEX(楼层配置!$F$5:$F$104,MATCH($K346,楼层配置!$B$5:$B$104,0)),1)</f>
        <v>1</v>
      </c>
      <c r="AC346" s="4">
        <f>IFERROR(INDEX(楼层配置!$G$5:$G$104,MATCH($K346,楼层配置!$B$5:$B$104,0)),1)</f>
        <v>1</v>
      </c>
      <c r="AD346" s="6">
        <f t="shared" si="38"/>
        <v>0.190177544731153</v>
      </c>
      <c r="AE346" s="6">
        <f t="shared" si="39"/>
        <v>0.308835341365462</v>
      </c>
      <c r="AF346" s="6">
        <f t="shared" si="40"/>
        <v>0.49872337182272</v>
      </c>
      <c r="AG346" s="4" t="str">
        <f t="shared" si="41"/>
        <v>有效</v>
      </c>
    </row>
    <row r="347" ht="14.25" customHeight="1" spans="1:33">
      <c r="A347" s="4">
        <v>343</v>
      </c>
      <c r="B347" s="4">
        <v>1007</v>
      </c>
      <c r="C347" s="4">
        <v>44</v>
      </c>
      <c r="D347" s="5">
        <f>IFERROR(ROUND($U347*$X347*$AA347*参数!$B$13,0),"")</f>
        <v>2587565</v>
      </c>
      <c r="E347" s="5">
        <f>IFERROR(ROUND($V347*$Y347*$AB347*参数!$C$13,0),"")</f>
        <v>35849</v>
      </c>
      <c r="F347" s="5">
        <f>IFERROR(ROUND($W347*$Z347*$AC347*参数!$D$13,0),"")</f>
        <v>39328</v>
      </c>
      <c r="G347" s="4">
        <v>2174100</v>
      </c>
      <c r="H347" s="4">
        <v>27390</v>
      </c>
      <c r="I347" s="4">
        <v>26241</v>
      </c>
      <c r="J347" s="4">
        <v>69</v>
      </c>
      <c r="K347" s="4">
        <v>69</v>
      </c>
      <c r="L347" s="4">
        <f>IFERROR(INDEX(楼层配置!$D$5:$D$104,MATCH($K347,楼层配置!$B$5:$B$104,0)),"")</f>
        <v>335</v>
      </c>
      <c r="M347" s="4" t="str">
        <f>IFERROR(INDEX(_角色基线!$B$2:$B$100,MATCH($B347,_角色基线!$A$2:$A$100,0)),"")</f>
        <v>萨萨莉安</v>
      </c>
      <c r="N347" s="4" t="str">
        <f>IFERROR(INDEX(_角色基线!$C$2:$C$100,MATCH($B347,_角色基线!$A$2:$A$100,0)),"")</f>
        <v>Support</v>
      </c>
      <c r="O347" s="4">
        <f>IFERROR(INDEX(_怪物基线!$B$2:$B$501,MATCH(INT($L347),_怪物基线!$A$2:$A$501,0)),"")</f>
        <v>517513</v>
      </c>
      <c r="P347" s="4">
        <f>IFERROR(INDEX(_怪物基线!$C$2:$C$501,MATCH(INT($L347),_怪物基线!$A$2:$A$501,0)),"")</f>
        <v>29874</v>
      </c>
      <c r="Q347" s="4">
        <f>IFERROR(INDEX(_怪物基线!$D$2:$D$501,MATCH(INT($L347),_怪物基线!$A$2:$A$501,0)),"")</f>
        <v>31462</v>
      </c>
      <c r="R347" s="4">
        <f>参数!$B$10</f>
        <v>4</v>
      </c>
      <c r="S347" s="4">
        <f>参数!$C$10</f>
        <v>1.2</v>
      </c>
      <c r="T347" s="4">
        <f>参数!$D$10</f>
        <v>1</v>
      </c>
      <c r="U347" s="4">
        <f t="shared" si="35"/>
        <v>2070052</v>
      </c>
      <c r="V347" s="4">
        <f t="shared" si="36"/>
        <v>35848.8</v>
      </c>
      <c r="W347" s="4">
        <f t="shared" si="37"/>
        <v>31462</v>
      </c>
      <c r="X347" s="4">
        <f>IFERROR(INDEX(参数!$B$5:$B$7,MATCH($N347,参数!$A$5:$A$7,0)),"")</f>
        <v>1.25</v>
      </c>
      <c r="Y347" s="4">
        <f>IFERROR(INDEX(参数!$C$5:$C$7,MATCH($N347,参数!$A$5:$A$7,0)),"")</f>
        <v>1</v>
      </c>
      <c r="Z347" s="4">
        <f>IFERROR(INDEX(参数!$D$5:$D$7,MATCH($N347,参数!$A$5:$A$7,0)),"")</f>
        <v>1.25</v>
      </c>
      <c r="AA347" s="4">
        <f>IFERROR(INDEX(楼层配置!$E$5:$E$104,MATCH($K347,楼层配置!$B$5:$B$104,0)),1)</f>
        <v>1</v>
      </c>
      <c r="AB347" s="4">
        <f>IFERROR(INDEX(楼层配置!$F$5:$F$104,MATCH($K347,楼层配置!$B$5:$B$104,0)),1)</f>
        <v>1</v>
      </c>
      <c r="AC347" s="4">
        <f>IFERROR(INDEX(楼层配置!$G$5:$G$104,MATCH($K347,楼层配置!$B$5:$B$104,0)),1)</f>
        <v>1</v>
      </c>
      <c r="AD347" s="6">
        <f t="shared" si="38"/>
        <v>0.190177544731153</v>
      </c>
      <c r="AE347" s="6">
        <f t="shared" si="39"/>
        <v>0.308835341365462</v>
      </c>
      <c r="AF347" s="6">
        <f t="shared" si="40"/>
        <v>0.49872337182272</v>
      </c>
      <c r="AG347" s="4" t="str">
        <f t="shared" si="41"/>
        <v>有效</v>
      </c>
    </row>
    <row r="348" ht="14.25" customHeight="1" spans="1:33">
      <c r="A348" s="4">
        <v>344</v>
      </c>
      <c r="B348" s="4">
        <v>1008</v>
      </c>
      <c r="C348" s="4">
        <v>44</v>
      </c>
      <c r="D348" s="5">
        <f>IFERROR(ROUND($U348*$X348*$AA348*参数!$B$13,0),"")</f>
        <v>2070052</v>
      </c>
      <c r="E348" s="5">
        <f>IFERROR(ROUND($V348*$Y348*$AB348*参数!$C$13,0),"")</f>
        <v>43019</v>
      </c>
      <c r="F348" s="5">
        <f>IFERROR(ROUND($W348*$Z348*$AC348*参数!$D$13,0),"")</f>
        <v>31462</v>
      </c>
      <c r="G348" s="4">
        <v>1739280</v>
      </c>
      <c r="H348" s="4">
        <v>32868</v>
      </c>
      <c r="I348" s="4">
        <v>20992</v>
      </c>
      <c r="J348" s="4">
        <v>69</v>
      </c>
      <c r="K348" s="4">
        <v>69</v>
      </c>
      <c r="L348" s="4">
        <f>IFERROR(INDEX(楼层配置!$D$5:$D$104,MATCH($K348,楼层配置!$B$5:$B$104,0)),"")</f>
        <v>335</v>
      </c>
      <c r="M348" s="4" t="str">
        <f>IFERROR(INDEX(_角色基线!$B$2:$B$100,MATCH($B348,_角色基线!$A$2:$A$100,0)),"")</f>
        <v>薇</v>
      </c>
      <c r="N348" s="4" t="str">
        <f>IFERROR(INDEX(_角色基线!$C$2:$C$100,MATCH($B348,_角色基线!$A$2:$A$100,0)),"")</f>
        <v>DPS</v>
      </c>
      <c r="O348" s="4">
        <f>IFERROR(INDEX(_怪物基线!$B$2:$B$501,MATCH(INT($L348),_怪物基线!$A$2:$A$501,0)),"")</f>
        <v>517513</v>
      </c>
      <c r="P348" s="4">
        <f>IFERROR(INDEX(_怪物基线!$C$2:$C$501,MATCH(INT($L348),_怪物基线!$A$2:$A$501,0)),"")</f>
        <v>29874</v>
      </c>
      <c r="Q348" s="4">
        <f>IFERROR(INDEX(_怪物基线!$D$2:$D$501,MATCH(INT($L348),_怪物基线!$A$2:$A$501,0)),"")</f>
        <v>31462</v>
      </c>
      <c r="R348" s="4">
        <f>参数!$B$10</f>
        <v>4</v>
      </c>
      <c r="S348" s="4">
        <f>参数!$C$10</f>
        <v>1.2</v>
      </c>
      <c r="T348" s="4">
        <f>参数!$D$10</f>
        <v>1</v>
      </c>
      <c r="U348" s="4">
        <f t="shared" si="35"/>
        <v>2070052</v>
      </c>
      <c r="V348" s="4">
        <f t="shared" si="36"/>
        <v>35848.8</v>
      </c>
      <c r="W348" s="4">
        <f t="shared" si="37"/>
        <v>31462</v>
      </c>
      <c r="X348" s="4">
        <f>IFERROR(INDEX(参数!$B$5:$B$7,MATCH($N348,参数!$A$5:$A$7,0)),"")</f>
        <v>1</v>
      </c>
      <c r="Y348" s="4">
        <f>IFERROR(INDEX(参数!$C$5:$C$7,MATCH($N348,参数!$A$5:$A$7,0)),"")</f>
        <v>1.2</v>
      </c>
      <c r="Z348" s="4">
        <f>IFERROR(INDEX(参数!$D$5:$D$7,MATCH($N348,参数!$A$5:$A$7,0)),"")</f>
        <v>1</v>
      </c>
      <c r="AA348" s="4">
        <f>IFERROR(INDEX(楼层配置!$E$5:$E$104,MATCH($K348,楼层配置!$B$5:$B$104,0)),1)</f>
        <v>1</v>
      </c>
      <c r="AB348" s="4">
        <f>IFERROR(INDEX(楼层配置!$F$5:$F$104,MATCH($K348,楼层配置!$B$5:$B$104,0)),1)</f>
        <v>1</v>
      </c>
      <c r="AC348" s="4">
        <f>IFERROR(INDEX(楼层配置!$G$5:$G$104,MATCH($K348,楼层配置!$B$5:$B$104,0)),1)</f>
        <v>1</v>
      </c>
      <c r="AD348" s="6">
        <f t="shared" si="38"/>
        <v>0.190177544731153</v>
      </c>
      <c r="AE348" s="6">
        <f t="shared" si="39"/>
        <v>0.308841426311306</v>
      </c>
      <c r="AF348" s="6">
        <f t="shared" si="40"/>
        <v>0.498761432926829</v>
      </c>
      <c r="AG348" s="4" t="str">
        <f t="shared" si="41"/>
        <v>有效</v>
      </c>
    </row>
    <row r="349" ht="14.25" customHeight="1" spans="1:33">
      <c r="A349" s="4">
        <v>345</v>
      </c>
      <c r="B349" s="4">
        <v>1021</v>
      </c>
      <c r="C349" s="4">
        <v>44</v>
      </c>
      <c r="D349" s="5">
        <f>IFERROR(ROUND($U349*$X349*$AA349*参数!$B$13,0),"")</f>
        <v>2070052</v>
      </c>
      <c r="E349" s="5">
        <f>IFERROR(ROUND($V349*$Y349*$AB349*参数!$C$13,0),"")</f>
        <v>43019</v>
      </c>
      <c r="F349" s="5">
        <f>IFERROR(ROUND($W349*$Z349*$AC349*参数!$D$13,0),"")</f>
        <v>31462</v>
      </c>
      <c r="G349" s="4">
        <v>1739280</v>
      </c>
      <c r="H349" s="4">
        <v>32868</v>
      </c>
      <c r="I349" s="4">
        <v>20992</v>
      </c>
      <c r="J349" s="4">
        <v>69</v>
      </c>
      <c r="K349" s="4">
        <v>69</v>
      </c>
      <c r="L349" s="4">
        <f>IFERROR(INDEX(楼层配置!$D$5:$D$104,MATCH($K349,楼层配置!$B$5:$B$104,0)),"")</f>
        <v>335</v>
      </c>
      <c r="M349" s="4" t="str">
        <f>IFERROR(INDEX(_角色基线!$B$2:$B$100,MATCH($B349,_角色基线!$A$2:$A$100,0)),"")</f>
        <v>梅梅</v>
      </c>
      <c r="N349" s="4" t="str">
        <f>IFERROR(INDEX(_角色基线!$C$2:$C$100,MATCH($B349,_角色基线!$A$2:$A$100,0)),"")</f>
        <v>DPS</v>
      </c>
      <c r="O349" s="4">
        <f>IFERROR(INDEX(_怪物基线!$B$2:$B$501,MATCH(INT($L349),_怪物基线!$A$2:$A$501,0)),"")</f>
        <v>517513</v>
      </c>
      <c r="P349" s="4">
        <f>IFERROR(INDEX(_怪物基线!$C$2:$C$501,MATCH(INT($L349),_怪物基线!$A$2:$A$501,0)),"")</f>
        <v>29874</v>
      </c>
      <c r="Q349" s="4">
        <f>IFERROR(INDEX(_怪物基线!$D$2:$D$501,MATCH(INT($L349),_怪物基线!$A$2:$A$501,0)),"")</f>
        <v>31462</v>
      </c>
      <c r="R349" s="4">
        <f>参数!$B$10</f>
        <v>4</v>
      </c>
      <c r="S349" s="4">
        <f>参数!$C$10</f>
        <v>1.2</v>
      </c>
      <c r="T349" s="4">
        <f>参数!$D$10</f>
        <v>1</v>
      </c>
      <c r="U349" s="4">
        <f t="shared" si="35"/>
        <v>2070052</v>
      </c>
      <c r="V349" s="4">
        <f t="shared" si="36"/>
        <v>35848.8</v>
      </c>
      <c r="W349" s="4">
        <f t="shared" si="37"/>
        <v>31462</v>
      </c>
      <c r="X349" s="4">
        <f>IFERROR(INDEX(参数!$B$5:$B$7,MATCH($N349,参数!$A$5:$A$7,0)),"")</f>
        <v>1</v>
      </c>
      <c r="Y349" s="4">
        <f>IFERROR(INDEX(参数!$C$5:$C$7,MATCH($N349,参数!$A$5:$A$7,0)),"")</f>
        <v>1.2</v>
      </c>
      <c r="Z349" s="4">
        <f>IFERROR(INDEX(参数!$D$5:$D$7,MATCH($N349,参数!$A$5:$A$7,0)),"")</f>
        <v>1</v>
      </c>
      <c r="AA349" s="4">
        <f>IFERROR(INDEX(楼层配置!$E$5:$E$104,MATCH($K349,楼层配置!$B$5:$B$104,0)),1)</f>
        <v>1</v>
      </c>
      <c r="AB349" s="4">
        <f>IFERROR(INDEX(楼层配置!$F$5:$F$104,MATCH($K349,楼层配置!$B$5:$B$104,0)),1)</f>
        <v>1</v>
      </c>
      <c r="AC349" s="4">
        <f>IFERROR(INDEX(楼层配置!$G$5:$G$104,MATCH($K349,楼层配置!$B$5:$B$104,0)),1)</f>
        <v>1</v>
      </c>
      <c r="AD349" s="6">
        <f t="shared" si="38"/>
        <v>0.190177544731153</v>
      </c>
      <c r="AE349" s="6">
        <f t="shared" si="39"/>
        <v>0.308841426311306</v>
      </c>
      <c r="AF349" s="6">
        <f t="shared" si="40"/>
        <v>0.498761432926829</v>
      </c>
      <c r="AG349" s="4" t="str">
        <f t="shared" si="41"/>
        <v>有效</v>
      </c>
    </row>
    <row r="350" ht="14.25" customHeight="1" spans="1:33">
      <c r="A350" s="4">
        <v>346</v>
      </c>
      <c r="B350" s="4">
        <v>1003</v>
      </c>
      <c r="C350" s="4">
        <v>45</v>
      </c>
      <c r="D350" s="5">
        <f>IFERROR(ROUND($U350*$X350*$AA350*参数!$B$13,0),"")</f>
        <v>3156966</v>
      </c>
      <c r="E350" s="5">
        <f>IFERROR(ROUND($V350*$Y350*$AB350*参数!$C$13,0),"")</f>
        <v>36316</v>
      </c>
      <c r="F350" s="5">
        <f>IFERROR(ROUND($W350*$Z350*$AC350*参数!$D$13,0),"")</f>
        <v>47591</v>
      </c>
      <c r="G350" s="4">
        <v>2705299</v>
      </c>
      <c r="H350" s="4">
        <v>28132</v>
      </c>
      <c r="I350" s="4">
        <v>32079</v>
      </c>
      <c r="J350" s="4">
        <v>70</v>
      </c>
      <c r="K350" s="4">
        <v>70</v>
      </c>
      <c r="L350" s="4">
        <f>IFERROR(INDEX(楼层配置!$D$5:$D$104,MATCH($K350,楼层配置!$B$5:$B$104,0)),"")</f>
        <v>337</v>
      </c>
      <c r="M350" s="4" t="str">
        <f>IFERROR(INDEX(_角色基线!$B$2:$B$100,MATCH($B350,_角色基线!$A$2:$A$100,0)),"")</f>
        <v>塔拉夏</v>
      </c>
      <c r="N350" s="4" t="str">
        <f>IFERROR(INDEX(_角色基线!$C$2:$C$100,MATCH($B350,_角色基线!$A$2:$A$100,0)),"")</f>
        <v>Tank</v>
      </c>
      <c r="O350" s="4">
        <f>IFERROR(INDEX(_怪物基线!$B$2:$B$501,MATCH(INT($L350),_怪物基线!$A$2:$A$501,0)),"")</f>
        <v>526161</v>
      </c>
      <c r="P350" s="4">
        <f>IFERROR(INDEX(_怪物基线!$C$2:$C$501,MATCH(INT($L350),_怪物基线!$A$2:$A$501,0)),"")</f>
        <v>30263</v>
      </c>
      <c r="Q350" s="4">
        <f>IFERROR(INDEX(_怪物基线!$D$2:$D$501,MATCH(INT($L350),_怪物基线!$A$2:$A$501,0)),"")</f>
        <v>31727</v>
      </c>
      <c r="R350" s="4">
        <f>参数!$B$10</f>
        <v>4</v>
      </c>
      <c r="S350" s="4">
        <f>参数!$C$10</f>
        <v>1.2</v>
      </c>
      <c r="T350" s="4">
        <f>参数!$D$10</f>
        <v>1</v>
      </c>
      <c r="U350" s="4">
        <f t="shared" si="35"/>
        <v>2104644</v>
      </c>
      <c r="V350" s="4">
        <f t="shared" si="36"/>
        <v>36315.6</v>
      </c>
      <c r="W350" s="4">
        <f t="shared" si="37"/>
        <v>31727</v>
      </c>
      <c r="X350" s="4">
        <f>IFERROR(INDEX(参数!$B$5:$B$7,MATCH($N350,参数!$A$5:$A$7,0)),"")</f>
        <v>1.5</v>
      </c>
      <c r="Y350" s="4">
        <f>IFERROR(INDEX(参数!$C$5:$C$7,MATCH($N350,参数!$A$5:$A$7,0)),"")</f>
        <v>1</v>
      </c>
      <c r="Z350" s="4">
        <f>IFERROR(INDEX(参数!$D$5:$D$7,MATCH($N350,参数!$A$5:$A$7,0)),"")</f>
        <v>1.5</v>
      </c>
      <c r="AA350" s="4">
        <f>IFERROR(INDEX(楼层配置!$E$5:$E$104,MATCH($K350,楼层配置!$B$5:$B$104,0)),1)</f>
        <v>1</v>
      </c>
      <c r="AB350" s="4">
        <f>IFERROR(INDEX(楼层配置!$F$5:$F$104,MATCH($K350,楼层配置!$B$5:$B$104,0)),1)</f>
        <v>1</v>
      </c>
      <c r="AC350" s="4">
        <f>IFERROR(INDEX(楼层配置!$G$5:$G$104,MATCH($K350,楼层配置!$B$5:$B$104,0)),1)</f>
        <v>1</v>
      </c>
      <c r="AD350" s="6">
        <f t="shared" si="38"/>
        <v>0.166956406667063</v>
      </c>
      <c r="AE350" s="6">
        <f t="shared" si="39"/>
        <v>0.2909142613394</v>
      </c>
      <c r="AF350" s="6">
        <f t="shared" si="40"/>
        <v>0.483556220580442</v>
      </c>
      <c r="AG350" s="4" t="str">
        <f t="shared" si="41"/>
        <v>有效</v>
      </c>
    </row>
    <row r="351" ht="14.25" customHeight="1" spans="1:33">
      <c r="A351" s="4">
        <v>347</v>
      </c>
      <c r="B351" s="4">
        <v>1017</v>
      </c>
      <c r="C351" s="4">
        <v>45</v>
      </c>
      <c r="D351" s="5">
        <f>IFERROR(ROUND($U351*$X351*$AA351*参数!$B$13,0),"")</f>
        <v>2104644</v>
      </c>
      <c r="E351" s="5">
        <f>IFERROR(ROUND($V351*$Y351*$AB351*参数!$C$13,0),"")</f>
        <v>43579</v>
      </c>
      <c r="F351" s="5">
        <f>IFERROR(ROUND($W351*$Z351*$AC351*参数!$D$13,0),"")</f>
        <v>31727</v>
      </c>
      <c r="G351" s="4">
        <v>1803532</v>
      </c>
      <c r="H351" s="4">
        <v>33758</v>
      </c>
      <c r="I351" s="4">
        <v>21386</v>
      </c>
      <c r="J351" s="4">
        <v>70</v>
      </c>
      <c r="K351" s="4">
        <v>70</v>
      </c>
      <c r="L351" s="4">
        <f>IFERROR(INDEX(楼层配置!$D$5:$D$104,MATCH($K351,楼层配置!$B$5:$B$104,0)),"")</f>
        <v>337</v>
      </c>
      <c r="M351" s="4" t="str">
        <f>IFERROR(INDEX(_角色基线!$B$2:$B$100,MATCH($B351,_角色基线!$A$2:$A$100,0)),"")</f>
        <v>伊戈尔</v>
      </c>
      <c r="N351" s="4" t="str">
        <f>IFERROR(INDEX(_角色基线!$C$2:$C$100,MATCH($B351,_角色基线!$A$2:$A$100,0)),"")</f>
        <v>DPS</v>
      </c>
      <c r="O351" s="4">
        <f>IFERROR(INDEX(_怪物基线!$B$2:$B$501,MATCH(INT($L351),_怪物基线!$A$2:$A$501,0)),"")</f>
        <v>526161</v>
      </c>
      <c r="P351" s="4">
        <f>IFERROR(INDEX(_怪物基线!$C$2:$C$501,MATCH(INT($L351),_怪物基线!$A$2:$A$501,0)),"")</f>
        <v>30263</v>
      </c>
      <c r="Q351" s="4">
        <f>IFERROR(INDEX(_怪物基线!$D$2:$D$501,MATCH(INT($L351),_怪物基线!$A$2:$A$501,0)),"")</f>
        <v>31727</v>
      </c>
      <c r="R351" s="4">
        <f>参数!$B$10</f>
        <v>4</v>
      </c>
      <c r="S351" s="4">
        <f>参数!$C$10</f>
        <v>1.2</v>
      </c>
      <c r="T351" s="4">
        <f>参数!$D$10</f>
        <v>1</v>
      </c>
      <c r="U351" s="4">
        <f t="shared" si="35"/>
        <v>2104644</v>
      </c>
      <c r="V351" s="4">
        <f t="shared" si="36"/>
        <v>36315.6</v>
      </c>
      <c r="W351" s="4">
        <f t="shared" si="37"/>
        <v>31727</v>
      </c>
      <c r="X351" s="4">
        <f>IFERROR(INDEX(参数!$B$5:$B$7,MATCH($N351,参数!$A$5:$A$7,0)),"")</f>
        <v>1</v>
      </c>
      <c r="Y351" s="4">
        <f>IFERROR(INDEX(参数!$C$5:$C$7,MATCH($N351,参数!$A$5:$A$7,0)),"")</f>
        <v>1.2</v>
      </c>
      <c r="Z351" s="4">
        <f>IFERROR(INDEX(参数!$D$5:$D$7,MATCH($N351,参数!$A$5:$A$7,0)),"")</f>
        <v>1</v>
      </c>
      <c r="AA351" s="4">
        <f>IFERROR(INDEX(楼层配置!$E$5:$E$104,MATCH($K351,楼层配置!$B$5:$B$104,0)),1)</f>
        <v>1</v>
      </c>
      <c r="AB351" s="4">
        <f>IFERROR(INDEX(楼层配置!$F$5:$F$104,MATCH($K351,楼层配置!$B$5:$B$104,0)),1)</f>
        <v>1</v>
      </c>
      <c r="AC351" s="4">
        <f>IFERROR(INDEX(楼层配置!$G$5:$G$104,MATCH($K351,楼层配置!$B$5:$B$104,0)),1)</f>
        <v>1</v>
      </c>
      <c r="AD351" s="6">
        <f t="shared" si="38"/>
        <v>0.166956838026717</v>
      </c>
      <c r="AE351" s="6">
        <f t="shared" si="39"/>
        <v>0.290923632916642</v>
      </c>
      <c r="AF351" s="6">
        <f t="shared" si="40"/>
        <v>0.483540634059665</v>
      </c>
      <c r="AG351" s="4" t="str">
        <f t="shared" si="41"/>
        <v>有效</v>
      </c>
    </row>
    <row r="352" ht="14.25" customHeight="1" spans="1:33">
      <c r="A352" s="4">
        <v>348</v>
      </c>
      <c r="B352" s="4">
        <v>1015</v>
      </c>
      <c r="C352" s="4">
        <v>45</v>
      </c>
      <c r="D352" s="5">
        <f>IFERROR(ROUND($U352*$X352*$AA352*参数!$B$13,0),"")</f>
        <v>2630805</v>
      </c>
      <c r="E352" s="5">
        <f>IFERROR(ROUND($V352*$Y352*$AB352*参数!$C$13,0),"")</f>
        <v>36316</v>
      </c>
      <c r="F352" s="5">
        <f>IFERROR(ROUND($W352*$Z352*$AC352*参数!$D$13,0),"")</f>
        <v>39659</v>
      </c>
      <c r="G352" s="4">
        <v>2254416</v>
      </c>
      <c r="H352" s="4">
        <v>28132</v>
      </c>
      <c r="I352" s="4">
        <v>26733</v>
      </c>
      <c r="J352" s="4">
        <v>70</v>
      </c>
      <c r="K352" s="4">
        <v>70</v>
      </c>
      <c r="L352" s="4">
        <f>IFERROR(INDEX(楼层配置!$D$5:$D$104,MATCH($K352,楼层配置!$B$5:$B$104,0)),"")</f>
        <v>337</v>
      </c>
      <c r="M352" s="4" t="str">
        <f>IFERROR(INDEX(_角色基线!$B$2:$B$100,MATCH($B352,_角色基线!$A$2:$A$100,0)),"")</f>
        <v>阿莱克西娅</v>
      </c>
      <c r="N352" s="4" t="str">
        <f>IFERROR(INDEX(_角色基线!$C$2:$C$100,MATCH($B352,_角色基线!$A$2:$A$100,0)),"")</f>
        <v>Support</v>
      </c>
      <c r="O352" s="4">
        <f>IFERROR(INDEX(_怪物基线!$B$2:$B$501,MATCH(INT($L352),_怪物基线!$A$2:$A$501,0)),"")</f>
        <v>526161</v>
      </c>
      <c r="P352" s="4">
        <f>IFERROR(INDEX(_怪物基线!$C$2:$C$501,MATCH(INT($L352),_怪物基线!$A$2:$A$501,0)),"")</f>
        <v>30263</v>
      </c>
      <c r="Q352" s="4">
        <f>IFERROR(INDEX(_怪物基线!$D$2:$D$501,MATCH(INT($L352),_怪物基线!$A$2:$A$501,0)),"")</f>
        <v>31727</v>
      </c>
      <c r="R352" s="4">
        <f>参数!$B$10</f>
        <v>4</v>
      </c>
      <c r="S352" s="4">
        <f>参数!$C$10</f>
        <v>1.2</v>
      </c>
      <c r="T352" s="4">
        <f>参数!$D$10</f>
        <v>1</v>
      </c>
      <c r="U352" s="4">
        <f t="shared" si="35"/>
        <v>2104644</v>
      </c>
      <c r="V352" s="4">
        <f t="shared" si="36"/>
        <v>36315.6</v>
      </c>
      <c r="W352" s="4">
        <f t="shared" si="37"/>
        <v>31727</v>
      </c>
      <c r="X352" s="4">
        <f>IFERROR(INDEX(参数!$B$5:$B$7,MATCH($N352,参数!$A$5:$A$7,0)),"")</f>
        <v>1.25</v>
      </c>
      <c r="Y352" s="4">
        <f>IFERROR(INDEX(参数!$C$5:$C$7,MATCH($N352,参数!$A$5:$A$7,0)),"")</f>
        <v>1</v>
      </c>
      <c r="Z352" s="4">
        <f>IFERROR(INDEX(参数!$D$5:$D$7,MATCH($N352,参数!$A$5:$A$7,0)),"")</f>
        <v>1.25</v>
      </c>
      <c r="AA352" s="4">
        <f>IFERROR(INDEX(楼层配置!$E$5:$E$104,MATCH($K352,楼层配置!$B$5:$B$104,0)),1)</f>
        <v>1</v>
      </c>
      <c r="AB352" s="4">
        <f>IFERROR(INDEX(楼层配置!$F$5:$F$104,MATCH($K352,楼层配置!$B$5:$B$104,0)),1)</f>
        <v>1</v>
      </c>
      <c r="AC352" s="4">
        <f>IFERROR(INDEX(楼层配置!$G$5:$G$104,MATCH($K352,楼层配置!$B$5:$B$104,0)),1)</f>
        <v>1</v>
      </c>
      <c r="AD352" s="6">
        <f t="shared" si="38"/>
        <v>0.166956320395171</v>
      </c>
      <c r="AE352" s="6">
        <f t="shared" si="39"/>
        <v>0.2909142613394</v>
      </c>
      <c r="AF352" s="6">
        <f t="shared" si="40"/>
        <v>0.483522238431901</v>
      </c>
      <c r="AG352" s="4" t="str">
        <f t="shared" si="41"/>
        <v>有效</v>
      </c>
    </row>
    <row r="353" ht="14.25" customHeight="1" spans="1:33">
      <c r="A353" s="4">
        <v>349</v>
      </c>
      <c r="B353" s="4">
        <v>1026</v>
      </c>
      <c r="C353" s="4">
        <v>45</v>
      </c>
      <c r="D353" s="5">
        <f>IFERROR(ROUND($U353*$X353*$AA353*参数!$B$13,0),"")</f>
        <v>2104644</v>
      </c>
      <c r="E353" s="5">
        <f>IFERROR(ROUND($V353*$Y353*$AB353*参数!$C$13,0),"")</f>
        <v>43579</v>
      </c>
      <c r="F353" s="5">
        <f>IFERROR(ROUND($W353*$Z353*$AC353*参数!$D$13,0),"")</f>
        <v>31727</v>
      </c>
      <c r="G353" s="4">
        <v>1803532</v>
      </c>
      <c r="H353" s="4">
        <v>33758</v>
      </c>
      <c r="I353" s="4">
        <v>21386</v>
      </c>
      <c r="J353" s="4">
        <v>70</v>
      </c>
      <c r="K353" s="4">
        <v>70</v>
      </c>
      <c r="L353" s="4">
        <f>IFERROR(INDEX(楼层配置!$D$5:$D$104,MATCH($K353,楼层配置!$B$5:$B$104,0)),"")</f>
        <v>337</v>
      </c>
      <c r="M353" s="4" t="str">
        <f>IFERROR(INDEX(_角色基线!$B$2:$B$100,MATCH($B353,_角色基线!$A$2:$A$100,0)),"")</f>
        <v>乔一</v>
      </c>
      <c r="N353" s="4" t="str">
        <f>IFERROR(INDEX(_角色基线!$C$2:$C$100,MATCH($B353,_角色基线!$A$2:$A$100,0)),"")</f>
        <v>DPS</v>
      </c>
      <c r="O353" s="4">
        <f>IFERROR(INDEX(_怪物基线!$B$2:$B$501,MATCH(INT($L353),_怪物基线!$A$2:$A$501,0)),"")</f>
        <v>526161</v>
      </c>
      <c r="P353" s="4">
        <f>IFERROR(INDEX(_怪物基线!$C$2:$C$501,MATCH(INT($L353),_怪物基线!$A$2:$A$501,0)),"")</f>
        <v>30263</v>
      </c>
      <c r="Q353" s="4">
        <f>IFERROR(INDEX(_怪物基线!$D$2:$D$501,MATCH(INT($L353),_怪物基线!$A$2:$A$501,0)),"")</f>
        <v>31727</v>
      </c>
      <c r="R353" s="4">
        <f>参数!$B$10</f>
        <v>4</v>
      </c>
      <c r="S353" s="4">
        <f>参数!$C$10</f>
        <v>1.2</v>
      </c>
      <c r="T353" s="4">
        <f>参数!$D$10</f>
        <v>1</v>
      </c>
      <c r="U353" s="4">
        <f t="shared" si="35"/>
        <v>2104644</v>
      </c>
      <c r="V353" s="4">
        <f t="shared" si="36"/>
        <v>36315.6</v>
      </c>
      <c r="W353" s="4">
        <f t="shared" si="37"/>
        <v>31727</v>
      </c>
      <c r="X353" s="4">
        <f>IFERROR(INDEX(参数!$B$5:$B$7,MATCH($N353,参数!$A$5:$A$7,0)),"")</f>
        <v>1</v>
      </c>
      <c r="Y353" s="4">
        <f>IFERROR(INDEX(参数!$C$5:$C$7,MATCH($N353,参数!$A$5:$A$7,0)),"")</f>
        <v>1.2</v>
      </c>
      <c r="Z353" s="4">
        <f>IFERROR(INDEX(参数!$D$5:$D$7,MATCH($N353,参数!$A$5:$A$7,0)),"")</f>
        <v>1</v>
      </c>
      <c r="AA353" s="4">
        <f>IFERROR(INDEX(楼层配置!$E$5:$E$104,MATCH($K353,楼层配置!$B$5:$B$104,0)),1)</f>
        <v>1</v>
      </c>
      <c r="AB353" s="4">
        <f>IFERROR(INDEX(楼层配置!$F$5:$F$104,MATCH($K353,楼层配置!$B$5:$B$104,0)),1)</f>
        <v>1</v>
      </c>
      <c r="AC353" s="4">
        <f>IFERROR(INDEX(楼层配置!$G$5:$G$104,MATCH($K353,楼层配置!$B$5:$B$104,0)),1)</f>
        <v>1</v>
      </c>
      <c r="AD353" s="6">
        <f t="shared" si="38"/>
        <v>0.166956838026717</v>
      </c>
      <c r="AE353" s="6">
        <f t="shared" si="39"/>
        <v>0.290923632916642</v>
      </c>
      <c r="AF353" s="6">
        <f t="shared" si="40"/>
        <v>0.483540634059665</v>
      </c>
      <c r="AG353" s="4" t="str">
        <f t="shared" si="41"/>
        <v>有效</v>
      </c>
    </row>
    <row r="354" ht="14.25" customHeight="1" spans="1:33">
      <c r="A354" s="4">
        <v>350</v>
      </c>
      <c r="B354" s="4">
        <v>1007</v>
      </c>
      <c r="C354" s="4">
        <v>45</v>
      </c>
      <c r="D354" s="5">
        <f>IFERROR(ROUND($U354*$X354*$AA354*参数!$B$13,0),"")</f>
        <v>2630805</v>
      </c>
      <c r="E354" s="5">
        <f>IFERROR(ROUND($V354*$Y354*$AB354*参数!$C$13,0),"")</f>
        <v>36316</v>
      </c>
      <c r="F354" s="5">
        <f>IFERROR(ROUND($W354*$Z354*$AC354*参数!$D$13,0),"")</f>
        <v>39659</v>
      </c>
      <c r="G354" s="4">
        <v>2254416</v>
      </c>
      <c r="H354" s="4">
        <v>28132</v>
      </c>
      <c r="I354" s="4">
        <v>26733</v>
      </c>
      <c r="J354" s="4">
        <v>70</v>
      </c>
      <c r="K354" s="4">
        <v>70</v>
      </c>
      <c r="L354" s="4">
        <f>IFERROR(INDEX(楼层配置!$D$5:$D$104,MATCH($K354,楼层配置!$B$5:$B$104,0)),"")</f>
        <v>337</v>
      </c>
      <c r="M354" s="4" t="str">
        <f>IFERROR(INDEX(_角色基线!$B$2:$B$100,MATCH($B354,_角色基线!$A$2:$A$100,0)),"")</f>
        <v>萨萨莉安</v>
      </c>
      <c r="N354" s="4" t="str">
        <f>IFERROR(INDEX(_角色基线!$C$2:$C$100,MATCH($B354,_角色基线!$A$2:$A$100,0)),"")</f>
        <v>Support</v>
      </c>
      <c r="O354" s="4">
        <f>IFERROR(INDEX(_怪物基线!$B$2:$B$501,MATCH(INT($L354),_怪物基线!$A$2:$A$501,0)),"")</f>
        <v>526161</v>
      </c>
      <c r="P354" s="4">
        <f>IFERROR(INDEX(_怪物基线!$C$2:$C$501,MATCH(INT($L354),_怪物基线!$A$2:$A$501,0)),"")</f>
        <v>30263</v>
      </c>
      <c r="Q354" s="4">
        <f>IFERROR(INDEX(_怪物基线!$D$2:$D$501,MATCH(INT($L354),_怪物基线!$A$2:$A$501,0)),"")</f>
        <v>31727</v>
      </c>
      <c r="R354" s="4">
        <f>参数!$B$10</f>
        <v>4</v>
      </c>
      <c r="S354" s="4">
        <f>参数!$C$10</f>
        <v>1.2</v>
      </c>
      <c r="T354" s="4">
        <f>参数!$D$10</f>
        <v>1</v>
      </c>
      <c r="U354" s="4">
        <f t="shared" si="35"/>
        <v>2104644</v>
      </c>
      <c r="V354" s="4">
        <f t="shared" si="36"/>
        <v>36315.6</v>
      </c>
      <c r="W354" s="4">
        <f t="shared" si="37"/>
        <v>31727</v>
      </c>
      <c r="X354" s="4">
        <f>IFERROR(INDEX(参数!$B$5:$B$7,MATCH($N354,参数!$A$5:$A$7,0)),"")</f>
        <v>1.25</v>
      </c>
      <c r="Y354" s="4">
        <f>IFERROR(INDEX(参数!$C$5:$C$7,MATCH($N354,参数!$A$5:$A$7,0)),"")</f>
        <v>1</v>
      </c>
      <c r="Z354" s="4">
        <f>IFERROR(INDEX(参数!$D$5:$D$7,MATCH($N354,参数!$A$5:$A$7,0)),"")</f>
        <v>1.25</v>
      </c>
      <c r="AA354" s="4">
        <f>IFERROR(INDEX(楼层配置!$E$5:$E$104,MATCH($K354,楼层配置!$B$5:$B$104,0)),1)</f>
        <v>1</v>
      </c>
      <c r="AB354" s="4">
        <f>IFERROR(INDEX(楼层配置!$F$5:$F$104,MATCH($K354,楼层配置!$B$5:$B$104,0)),1)</f>
        <v>1</v>
      </c>
      <c r="AC354" s="4">
        <f>IFERROR(INDEX(楼层配置!$G$5:$G$104,MATCH($K354,楼层配置!$B$5:$B$104,0)),1)</f>
        <v>1</v>
      </c>
      <c r="AD354" s="6">
        <f t="shared" si="38"/>
        <v>0.166956320395171</v>
      </c>
      <c r="AE354" s="6">
        <f t="shared" si="39"/>
        <v>0.2909142613394</v>
      </c>
      <c r="AF354" s="6">
        <f t="shared" si="40"/>
        <v>0.483522238431901</v>
      </c>
      <c r="AG354" s="4" t="str">
        <f t="shared" si="41"/>
        <v>有效</v>
      </c>
    </row>
    <row r="355" ht="14.25" customHeight="1" spans="1:33">
      <c r="A355" s="4">
        <v>351</v>
      </c>
      <c r="B355" s="4">
        <v>1003</v>
      </c>
      <c r="C355" s="4">
        <v>45</v>
      </c>
      <c r="D355" s="5">
        <f>IFERROR(ROUND($U355*$X355*$AA355*参数!$B$13,0),"")</f>
        <v>3156966</v>
      </c>
      <c r="E355" s="5">
        <f>IFERROR(ROUND($V355*$Y355*$AB355*参数!$C$13,0),"")</f>
        <v>36316</v>
      </c>
      <c r="F355" s="5">
        <f>IFERROR(ROUND($W355*$Z355*$AC355*参数!$D$13,0),"")</f>
        <v>47591</v>
      </c>
      <c r="G355" s="4">
        <v>2804270</v>
      </c>
      <c r="H355" s="4">
        <v>28889</v>
      </c>
      <c r="I355" s="4">
        <v>32676</v>
      </c>
      <c r="J355" s="4">
        <v>71</v>
      </c>
      <c r="K355" s="4">
        <v>71</v>
      </c>
      <c r="L355" s="4">
        <f>IFERROR(INDEX(楼层配置!$D$5:$D$104,MATCH($K355,楼层配置!$B$5:$B$104,0)),"")</f>
        <v>337</v>
      </c>
      <c r="M355" s="4" t="str">
        <f>IFERROR(INDEX(_角色基线!$B$2:$B$100,MATCH($B355,_角色基线!$A$2:$A$100,0)),"")</f>
        <v>塔拉夏</v>
      </c>
      <c r="N355" s="4" t="str">
        <f>IFERROR(INDEX(_角色基线!$C$2:$C$100,MATCH($B355,_角色基线!$A$2:$A$100,0)),"")</f>
        <v>Tank</v>
      </c>
      <c r="O355" s="4">
        <f>IFERROR(INDEX(_怪物基线!$B$2:$B$501,MATCH(INT($L355),_怪物基线!$A$2:$A$501,0)),"")</f>
        <v>526161</v>
      </c>
      <c r="P355" s="4">
        <f>IFERROR(INDEX(_怪物基线!$C$2:$C$501,MATCH(INT($L355),_怪物基线!$A$2:$A$501,0)),"")</f>
        <v>30263</v>
      </c>
      <c r="Q355" s="4">
        <f>IFERROR(INDEX(_怪物基线!$D$2:$D$501,MATCH(INT($L355),_怪物基线!$A$2:$A$501,0)),"")</f>
        <v>31727</v>
      </c>
      <c r="R355" s="4">
        <f>参数!$B$10</f>
        <v>4</v>
      </c>
      <c r="S355" s="4">
        <f>参数!$C$10</f>
        <v>1.2</v>
      </c>
      <c r="T355" s="4">
        <f>参数!$D$10</f>
        <v>1</v>
      </c>
      <c r="U355" s="4">
        <f t="shared" si="35"/>
        <v>2104644</v>
      </c>
      <c r="V355" s="4">
        <f t="shared" si="36"/>
        <v>36315.6</v>
      </c>
      <c r="W355" s="4">
        <f t="shared" si="37"/>
        <v>31727</v>
      </c>
      <c r="X355" s="4">
        <f>IFERROR(INDEX(参数!$B$5:$B$7,MATCH($N355,参数!$A$5:$A$7,0)),"")</f>
        <v>1.5</v>
      </c>
      <c r="Y355" s="4">
        <f>IFERROR(INDEX(参数!$C$5:$C$7,MATCH($N355,参数!$A$5:$A$7,0)),"")</f>
        <v>1</v>
      </c>
      <c r="Z355" s="4">
        <f>IFERROR(INDEX(参数!$D$5:$D$7,MATCH($N355,参数!$A$5:$A$7,0)),"")</f>
        <v>1.5</v>
      </c>
      <c r="AA355" s="4">
        <f>IFERROR(INDEX(楼层配置!$E$5:$E$104,MATCH($K355,楼层配置!$B$5:$B$104,0)),1)</f>
        <v>1</v>
      </c>
      <c r="AB355" s="4">
        <f>IFERROR(INDEX(楼层配置!$F$5:$F$104,MATCH($K355,楼层配置!$B$5:$B$104,0)),1)</f>
        <v>1</v>
      </c>
      <c r="AC355" s="4">
        <f>IFERROR(INDEX(楼层配置!$G$5:$G$104,MATCH($K355,楼层配置!$B$5:$B$104,0)),1)</f>
        <v>1</v>
      </c>
      <c r="AD355" s="6">
        <f t="shared" si="38"/>
        <v>0.125771056282027</v>
      </c>
      <c r="AE355" s="6">
        <f t="shared" si="39"/>
        <v>0.257087472740489</v>
      </c>
      <c r="AF355" s="6">
        <f t="shared" si="40"/>
        <v>0.456451218019341</v>
      </c>
      <c r="AG355" s="4" t="str">
        <f t="shared" si="41"/>
        <v>有效</v>
      </c>
    </row>
    <row r="356" ht="14.25" customHeight="1" spans="1:33">
      <c r="A356" s="4">
        <v>352</v>
      </c>
      <c r="B356" s="4">
        <v>1006</v>
      </c>
      <c r="C356" s="4">
        <v>45</v>
      </c>
      <c r="D356" s="5">
        <f>IFERROR(ROUND($U356*$X356*$AA356*参数!$B$13,0),"")</f>
        <v>2104644</v>
      </c>
      <c r="E356" s="5">
        <f>IFERROR(ROUND($V356*$Y356*$AB356*参数!$C$13,0),"")</f>
        <v>43579</v>
      </c>
      <c r="F356" s="5">
        <f>IFERROR(ROUND($W356*$Z356*$AC356*参数!$D$13,0),"")</f>
        <v>31727</v>
      </c>
      <c r="G356" s="4">
        <v>1869513</v>
      </c>
      <c r="H356" s="4">
        <v>34666</v>
      </c>
      <c r="I356" s="4">
        <v>21784</v>
      </c>
      <c r="J356" s="4">
        <v>71</v>
      </c>
      <c r="K356" s="4">
        <v>71</v>
      </c>
      <c r="L356" s="4">
        <f>IFERROR(INDEX(楼层配置!$D$5:$D$104,MATCH($K356,楼层配置!$B$5:$B$104,0)),"")</f>
        <v>337</v>
      </c>
      <c r="M356" s="4" t="str">
        <f>IFERROR(INDEX(_角色基线!$B$2:$B$100,MATCH($B356,_角色基线!$A$2:$A$100,0)),"")</f>
        <v>莉莉娅</v>
      </c>
      <c r="N356" s="4" t="str">
        <f>IFERROR(INDEX(_角色基线!$C$2:$C$100,MATCH($B356,_角色基线!$A$2:$A$100,0)),"")</f>
        <v>DPS</v>
      </c>
      <c r="O356" s="4">
        <f>IFERROR(INDEX(_怪物基线!$B$2:$B$501,MATCH(INT($L356),_怪物基线!$A$2:$A$501,0)),"")</f>
        <v>526161</v>
      </c>
      <c r="P356" s="4">
        <f>IFERROR(INDEX(_怪物基线!$C$2:$C$501,MATCH(INT($L356),_怪物基线!$A$2:$A$501,0)),"")</f>
        <v>30263</v>
      </c>
      <c r="Q356" s="4">
        <f>IFERROR(INDEX(_怪物基线!$D$2:$D$501,MATCH(INT($L356),_怪物基线!$A$2:$A$501,0)),"")</f>
        <v>31727</v>
      </c>
      <c r="R356" s="4">
        <f>参数!$B$10</f>
        <v>4</v>
      </c>
      <c r="S356" s="4">
        <f>参数!$C$10</f>
        <v>1.2</v>
      </c>
      <c r="T356" s="4">
        <f>参数!$D$10</f>
        <v>1</v>
      </c>
      <c r="U356" s="4">
        <f t="shared" si="35"/>
        <v>2104644</v>
      </c>
      <c r="V356" s="4">
        <f t="shared" si="36"/>
        <v>36315.6</v>
      </c>
      <c r="W356" s="4">
        <f t="shared" si="37"/>
        <v>31727</v>
      </c>
      <c r="X356" s="4">
        <f>IFERROR(INDEX(参数!$B$5:$B$7,MATCH($N356,参数!$A$5:$A$7,0)),"")</f>
        <v>1</v>
      </c>
      <c r="Y356" s="4">
        <f>IFERROR(INDEX(参数!$C$5:$C$7,MATCH($N356,参数!$A$5:$A$7,0)),"")</f>
        <v>1.2</v>
      </c>
      <c r="Z356" s="4">
        <f>IFERROR(INDEX(参数!$D$5:$D$7,MATCH($N356,参数!$A$5:$A$7,0)),"")</f>
        <v>1</v>
      </c>
      <c r="AA356" s="4">
        <f>IFERROR(INDEX(楼层配置!$E$5:$E$104,MATCH($K356,楼层配置!$B$5:$B$104,0)),1)</f>
        <v>1</v>
      </c>
      <c r="AB356" s="4">
        <f>IFERROR(INDEX(楼层配置!$F$5:$F$104,MATCH($K356,楼层配置!$B$5:$B$104,0)),1)</f>
        <v>1</v>
      </c>
      <c r="AC356" s="4">
        <f>IFERROR(INDEX(楼层配置!$G$5:$G$104,MATCH($K356,楼层配置!$B$5:$B$104,0)),1)</f>
        <v>1</v>
      </c>
      <c r="AD356" s="6">
        <f t="shared" si="38"/>
        <v>0.125771257006504</v>
      </c>
      <c r="AE356" s="6">
        <f t="shared" si="39"/>
        <v>0.257110713667571</v>
      </c>
      <c r="AF356" s="6">
        <f t="shared" si="40"/>
        <v>0.456435916268821</v>
      </c>
      <c r="AG356" s="4" t="str">
        <f t="shared" si="41"/>
        <v>有效</v>
      </c>
    </row>
    <row r="357" ht="14.25" customHeight="1" spans="1:33">
      <c r="A357" s="4">
        <v>353</v>
      </c>
      <c r="B357" s="4">
        <v>1007</v>
      </c>
      <c r="C357" s="4">
        <v>45</v>
      </c>
      <c r="D357" s="5">
        <f>IFERROR(ROUND($U357*$X357*$AA357*参数!$B$13,0),"")</f>
        <v>2630805</v>
      </c>
      <c r="E357" s="5">
        <f>IFERROR(ROUND($V357*$Y357*$AB357*参数!$C$13,0),"")</f>
        <v>36316</v>
      </c>
      <c r="F357" s="5">
        <f>IFERROR(ROUND($W357*$Z357*$AC357*参数!$D$13,0),"")</f>
        <v>39659</v>
      </c>
      <c r="G357" s="4">
        <v>2336892</v>
      </c>
      <c r="H357" s="4">
        <v>28889</v>
      </c>
      <c r="I357" s="4">
        <v>27230</v>
      </c>
      <c r="J357" s="4">
        <v>71</v>
      </c>
      <c r="K357" s="4">
        <v>71</v>
      </c>
      <c r="L357" s="4">
        <f>IFERROR(INDEX(楼层配置!$D$5:$D$104,MATCH($K357,楼层配置!$B$5:$B$104,0)),"")</f>
        <v>337</v>
      </c>
      <c r="M357" s="4" t="str">
        <f>IFERROR(INDEX(_角色基线!$B$2:$B$100,MATCH($B357,_角色基线!$A$2:$A$100,0)),"")</f>
        <v>萨萨莉安</v>
      </c>
      <c r="N357" s="4" t="str">
        <f>IFERROR(INDEX(_角色基线!$C$2:$C$100,MATCH($B357,_角色基线!$A$2:$A$100,0)),"")</f>
        <v>Support</v>
      </c>
      <c r="O357" s="4">
        <f>IFERROR(INDEX(_怪物基线!$B$2:$B$501,MATCH(INT($L357),_怪物基线!$A$2:$A$501,0)),"")</f>
        <v>526161</v>
      </c>
      <c r="P357" s="4">
        <f>IFERROR(INDEX(_怪物基线!$C$2:$C$501,MATCH(INT($L357),_怪物基线!$A$2:$A$501,0)),"")</f>
        <v>30263</v>
      </c>
      <c r="Q357" s="4">
        <f>IFERROR(INDEX(_怪物基线!$D$2:$D$501,MATCH(INT($L357),_怪物基线!$A$2:$A$501,0)),"")</f>
        <v>31727</v>
      </c>
      <c r="R357" s="4">
        <f>参数!$B$10</f>
        <v>4</v>
      </c>
      <c r="S357" s="4">
        <f>参数!$C$10</f>
        <v>1.2</v>
      </c>
      <c r="T357" s="4">
        <f>参数!$D$10</f>
        <v>1</v>
      </c>
      <c r="U357" s="4">
        <f t="shared" si="35"/>
        <v>2104644</v>
      </c>
      <c r="V357" s="4">
        <f t="shared" si="36"/>
        <v>36315.6</v>
      </c>
      <c r="W357" s="4">
        <f t="shared" si="37"/>
        <v>31727</v>
      </c>
      <c r="X357" s="4">
        <f>IFERROR(INDEX(参数!$B$5:$B$7,MATCH($N357,参数!$A$5:$A$7,0)),"")</f>
        <v>1.25</v>
      </c>
      <c r="Y357" s="4">
        <f>IFERROR(INDEX(参数!$C$5:$C$7,MATCH($N357,参数!$A$5:$A$7,0)),"")</f>
        <v>1</v>
      </c>
      <c r="Z357" s="4">
        <f>IFERROR(INDEX(参数!$D$5:$D$7,MATCH($N357,参数!$A$5:$A$7,0)),"")</f>
        <v>1.25</v>
      </c>
      <c r="AA357" s="4">
        <f>IFERROR(INDEX(楼层配置!$E$5:$E$104,MATCH($K357,楼层配置!$B$5:$B$104,0)),1)</f>
        <v>1</v>
      </c>
      <c r="AB357" s="4">
        <f>IFERROR(INDEX(楼层配置!$F$5:$F$104,MATCH($K357,楼层配置!$B$5:$B$104,0)),1)</f>
        <v>1</v>
      </c>
      <c r="AC357" s="4">
        <f>IFERROR(INDEX(楼层配置!$G$5:$G$104,MATCH($K357,楼层配置!$B$5:$B$104,0)),1)</f>
        <v>1</v>
      </c>
      <c r="AD357" s="6">
        <f t="shared" si="38"/>
        <v>0.125770895702497</v>
      </c>
      <c r="AE357" s="6">
        <f t="shared" si="39"/>
        <v>0.257087472740489</v>
      </c>
      <c r="AF357" s="6">
        <f t="shared" si="40"/>
        <v>0.456445097319133</v>
      </c>
      <c r="AG357" s="4" t="str">
        <f t="shared" si="41"/>
        <v>有效</v>
      </c>
    </row>
    <row r="358" ht="14.25" customHeight="1" spans="1:33">
      <c r="A358" s="4">
        <v>354</v>
      </c>
      <c r="B358" s="4">
        <v>1006</v>
      </c>
      <c r="C358" s="4">
        <v>45</v>
      </c>
      <c r="D358" s="5">
        <f>IFERROR(ROUND($U358*$X358*$AA358*参数!$B$13,0),"")</f>
        <v>2104644</v>
      </c>
      <c r="E358" s="5">
        <f>IFERROR(ROUND($V358*$Y358*$AB358*参数!$C$13,0),"")</f>
        <v>43579</v>
      </c>
      <c r="F358" s="5">
        <f>IFERROR(ROUND($W358*$Z358*$AC358*参数!$D$13,0),"")</f>
        <v>31727</v>
      </c>
      <c r="G358" s="4">
        <v>1869513</v>
      </c>
      <c r="H358" s="4">
        <v>34666</v>
      </c>
      <c r="I358" s="4">
        <v>21784</v>
      </c>
      <c r="J358" s="4">
        <v>71</v>
      </c>
      <c r="K358" s="4">
        <v>71</v>
      </c>
      <c r="L358" s="4">
        <f>IFERROR(INDEX(楼层配置!$D$5:$D$104,MATCH($K358,楼层配置!$B$5:$B$104,0)),"")</f>
        <v>337</v>
      </c>
      <c r="M358" s="4" t="str">
        <f>IFERROR(INDEX(_角色基线!$B$2:$B$100,MATCH($B358,_角色基线!$A$2:$A$100,0)),"")</f>
        <v>莉莉娅</v>
      </c>
      <c r="N358" s="4" t="str">
        <f>IFERROR(INDEX(_角色基线!$C$2:$C$100,MATCH($B358,_角色基线!$A$2:$A$100,0)),"")</f>
        <v>DPS</v>
      </c>
      <c r="O358" s="4">
        <f>IFERROR(INDEX(_怪物基线!$B$2:$B$501,MATCH(INT($L358),_怪物基线!$A$2:$A$501,0)),"")</f>
        <v>526161</v>
      </c>
      <c r="P358" s="4">
        <f>IFERROR(INDEX(_怪物基线!$C$2:$C$501,MATCH(INT($L358),_怪物基线!$A$2:$A$501,0)),"")</f>
        <v>30263</v>
      </c>
      <c r="Q358" s="4">
        <f>IFERROR(INDEX(_怪物基线!$D$2:$D$501,MATCH(INT($L358),_怪物基线!$A$2:$A$501,0)),"")</f>
        <v>31727</v>
      </c>
      <c r="R358" s="4">
        <f>参数!$B$10</f>
        <v>4</v>
      </c>
      <c r="S358" s="4">
        <f>参数!$C$10</f>
        <v>1.2</v>
      </c>
      <c r="T358" s="4">
        <f>参数!$D$10</f>
        <v>1</v>
      </c>
      <c r="U358" s="4">
        <f t="shared" si="35"/>
        <v>2104644</v>
      </c>
      <c r="V358" s="4">
        <f t="shared" si="36"/>
        <v>36315.6</v>
      </c>
      <c r="W358" s="4">
        <f t="shared" si="37"/>
        <v>31727</v>
      </c>
      <c r="X358" s="4">
        <f>IFERROR(INDEX(参数!$B$5:$B$7,MATCH($N358,参数!$A$5:$A$7,0)),"")</f>
        <v>1</v>
      </c>
      <c r="Y358" s="4">
        <f>IFERROR(INDEX(参数!$C$5:$C$7,MATCH($N358,参数!$A$5:$A$7,0)),"")</f>
        <v>1.2</v>
      </c>
      <c r="Z358" s="4">
        <f>IFERROR(INDEX(参数!$D$5:$D$7,MATCH($N358,参数!$A$5:$A$7,0)),"")</f>
        <v>1</v>
      </c>
      <c r="AA358" s="4">
        <f>IFERROR(INDEX(楼层配置!$E$5:$E$104,MATCH($K358,楼层配置!$B$5:$B$104,0)),1)</f>
        <v>1</v>
      </c>
      <c r="AB358" s="4">
        <f>IFERROR(INDEX(楼层配置!$F$5:$F$104,MATCH($K358,楼层配置!$B$5:$B$104,0)),1)</f>
        <v>1</v>
      </c>
      <c r="AC358" s="4">
        <f>IFERROR(INDEX(楼层配置!$G$5:$G$104,MATCH($K358,楼层配置!$B$5:$B$104,0)),1)</f>
        <v>1</v>
      </c>
      <c r="AD358" s="6">
        <f t="shared" si="38"/>
        <v>0.125771257006504</v>
      </c>
      <c r="AE358" s="6">
        <f t="shared" si="39"/>
        <v>0.257110713667571</v>
      </c>
      <c r="AF358" s="6">
        <f t="shared" si="40"/>
        <v>0.456435916268821</v>
      </c>
      <c r="AG358" s="4" t="str">
        <f t="shared" si="41"/>
        <v>有效</v>
      </c>
    </row>
    <row r="359" ht="14.25" customHeight="1" spans="1:33">
      <c r="A359" s="4">
        <v>355</v>
      </c>
      <c r="B359" s="4">
        <v>1001</v>
      </c>
      <c r="C359" s="4">
        <v>45</v>
      </c>
      <c r="D359" s="5">
        <f>IFERROR(ROUND($U359*$X359*$AA359*参数!$B$13,0),"")</f>
        <v>2104644</v>
      </c>
      <c r="E359" s="5">
        <f>IFERROR(ROUND($V359*$Y359*$AB359*参数!$C$13,0),"")</f>
        <v>43579</v>
      </c>
      <c r="F359" s="5">
        <f>IFERROR(ROUND($W359*$Z359*$AC359*参数!$D$13,0),"")</f>
        <v>31727</v>
      </c>
      <c r="G359" s="4">
        <v>1869513</v>
      </c>
      <c r="H359" s="4">
        <v>34666</v>
      </c>
      <c r="I359" s="4">
        <v>21784</v>
      </c>
      <c r="J359" s="4">
        <v>71</v>
      </c>
      <c r="K359" s="4">
        <v>71</v>
      </c>
      <c r="L359" s="4">
        <f>IFERROR(INDEX(楼层配置!$D$5:$D$104,MATCH($K359,楼层配置!$B$5:$B$104,0)),"")</f>
        <v>337</v>
      </c>
      <c r="M359" s="4" t="str">
        <f>IFERROR(INDEX(_角色基线!$B$2:$B$100,MATCH($B359,_角色基线!$A$2:$A$100,0)),"")</f>
        <v>星海</v>
      </c>
      <c r="N359" s="4" t="str">
        <f>IFERROR(INDEX(_角色基线!$C$2:$C$100,MATCH($B359,_角色基线!$A$2:$A$100,0)),"")</f>
        <v>DPS</v>
      </c>
      <c r="O359" s="4">
        <f>IFERROR(INDEX(_怪物基线!$B$2:$B$501,MATCH(INT($L359),_怪物基线!$A$2:$A$501,0)),"")</f>
        <v>526161</v>
      </c>
      <c r="P359" s="4">
        <f>IFERROR(INDEX(_怪物基线!$C$2:$C$501,MATCH(INT($L359),_怪物基线!$A$2:$A$501,0)),"")</f>
        <v>30263</v>
      </c>
      <c r="Q359" s="4">
        <f>IFERROR(INDEX(_怪物基线!$D$2:$D$501,MATCH(INT($L359),_怪物基线!$A$2:$A$501,0)),"")</f>
        <v>31727</v>
      </c>
      <c r="R359" s="4">
        <f>参数!$B$10</f>
        <v>4</v>
      </c>
      <c r="S359" s="4">
        <f>参数!$C$10</f>
        <v>1.2</v>
      </c>
      <c r="T359" s="4">
        <f>参数!$D$10</f>
        <v>1</v>
      </c>
      <c r="U359" s="4">
        <f t="shared" si="35"/>
        <v>2104644</v>
      </c>
      <c r="V359" s="4">
        <f t="shared" si="36"/>
        <v>36315.6</v>
      </c>
      <c r="W359" s="4">
        <f t="shared" si="37"/>
        <v>31727</v>
      </c>
      <c r="X359" s="4">
        <f>IFERROR(INDEX(参数!$B$5:$B$7,MATCH($N359,参数!$A$5:$A$7,0)),"")</f>
        <v>1</v>
      </c>
      <c r="Y359" s="4">
        <f>IFERROR(INDEX(参数!$C$5:$C$7,MATCH($N359,参数!$A$5:$A$7,0)),"")</f>
        <v>1.2</v>
      </c>
      <c r="Z359" s="4">
        <f>IFERROR(INDEX(参数!$D$5:$D$7,MATCH($N359,参数!$A$5:$A$7,0)),"")</f>
        <v>1</v>
      </c>
      <c r="AA359" s="4">
        <f>IFERROR(INDEX(楼层配置!$E$5:$E$104,MATCH($K359,楼层配置!$B$5:$B$104,0)),1)</f>
        <v>1</v>
      </c>
      <c r="AB359" s="4">
        <f>IFERROR(INDEX(楼层配置!$F$5:$F$104,MATCH($K359,楼层配置!$B$5:$B$104,0)),1)</f>
        <v>1</v>
      </c>
      <c r="AC359" s="4">
        <f>IFERROR(INDEX(楼层配置!$G$5:$G$104,MATCH($K359,楼层配置!$B$5:$B$104,0)),1)</f>
        <v>1</v>
      </c>
      <c r="AD359" s="6">
        <f t="shared" si="38"/>
        <v>0.125771257006504</v>
      </c>
      <c r="AE359" s="6">
        <f t="shared" si="39"/>
        <v>0.257110713667571</v>
      </c>
      <c r="AF359" s="6">
        <f t="shared" si="40"/>
        <v>0.456435916268821</v>
      </c>
      <c r="AG359" s="4" t="str">
        <f t="shared" si="41"/>
        <v>有效</v>
      </c>
    </row>
    <row r="360" ht="14.25" customHeight="1" spans="1:33">
      <c r="A360" s="4">
        <v>356</v>
      </c>
      <c r="B360" s="4">
        <v>1004</v>
      </c>
      <c r="C360" s="4">
        <v>46</v>
      </c>
      <c r="D360" s="5">
        <f>IFERROR(ROUND($U360*$X360*$AA360*参数!$B$13,0),"")</f>
        <v>3183156</v>
      </c>
      <c r="E360" s="5">
        <f>IFERROR(ROUND($V360*$Y360*$AB360*参数!$C$13,0),"")</f>
        <v>36550</v>
      </c>
      <c r="F360" s="5">
        <f>IFERROR(ROUND($W360*$Z360*$AC360*参数!$D$13,0),"")</f>
        <v>47789</v>
      </c>
      <c r="G360" s="4">
        <v>2905884</v>
      </c>
      <c r="H360" s="4">
        <v>29665</v>
      </c>
      <c r="I360" s="4">
        <v>33276</v>
      </c>
      <c r="J360" s="4">
        <v>72</v>
      </c>
      <c r="K360" s="4">
        <v>72</v>
      </c>
      <c r="L360" s="4">
        <f>IFERROR(INDEX(楼层配置!$D$5:$D$104,MATCH($K360,楼层配置!$B$5:$B$104,0)),"")</f>
        <v>338</v>
      </c>
      <c r="M360" s="4" t="str">
        <f>IFERROR(INDEX(_角色基线!$B$2:$B$100,MATCH($B360,_角色基线!$A$2:$A$100,0)),"")</f>
        <v>阿芭</v>
      </c>
      <c r="N360" s="4" t="str">
        <f>IFERROR(INDEX(_角色基线!$C$2:$C$100,MATCH($B360,_角色基线!$A$2:$A$100,0)),"")</f>
        <v>Tank</v>
      </c>
      <c r="O360" s="4">
        <f>IFERROR(INDEX(_怪物基线!$B$2:$B$501,MATCH(INT($L360),_怪物基线!$A$2:$A$501,0)),"")</f>
        <v>530526</v>
      </c>
      <c r="P360" s="4">
        <f>IFERROR(INDEX(_怪物基线!$C$2:$C$501,MATCH(INT($L360),_怪物基线!$A$2:$A$501,0)),"")</f>
        <v>30458</v>
      </c>
      <c r="Q360" s="4">
        <f>IFERROR(INDEX(_怪物基线!$D$2:$D$501,MATCH(INT($L360),_怪物基线!$A$2:$A$501,0)),"")</f>
        <v>31859</v>
      </c>
      <c r="R360" s="4">
        <f>参数!$B$10</f>
        <v>4</v>
      </c>
      <c r="S360" s="4">
        <f>参数!$C$10</f>
        <v>1.2</v>
      </c>
      <c r="T360" s="4">
        <f>参数!$D$10</f>
        <v>1</v>
      </c>
      <c r="U360" s="4">
        <f t="shared" si="35"/>
        <v>2122104</v>
      </c>
      <c r="V360" s="4">
        <f t="shared" si="36"/>
        <v>36549.6</v>
      </c>
      <c r="W360" s="4">
        <f t="shared" si="37"/>
        <v>31859</v>
      </c>
      <c r="X360" s="4">
        <f>IFERROR(INDEX(参数!$B$5:$B$7,MATCH($N360,参数!$A$5:$A$7,0)),"")</f>
        <v>1.5</v>
      </c>
      <c r="Y360" s="4">
        <f>IFERROR(INDEX(参数!$C$5:$C$7,MATCH($N360,参数!$A$5:$A$7,0)),"")</f>
        <v>1</v>
      </c>
      <c r="Z360" s="4">
        <f>IFERROR(INDEX(参数!$D$5:$D$7,MATCH($N360,参数!$A$5:$A$7,0)),"")</f>
        <v>1.5</v>
      </c>
      <c r="AA360" s="4">
        <f>IFERROR(INDEX(楼层配置!$E$5:$E$104,MATCH($K360,楼层配置!$B$5:$B$104,0)),1)</f>
        <v>1</v>
      </c>
      <c r="AB360" s="4">
        <f>IFERROR(INDEX(楼层配置!$F$5:$F$104,MATCH($K360,楼层配置!$B$5:$B$104,0)),1)</f>
        <v>1</v>
      </c>
      <c r="AC360" s="4">
        <f>IFERROR(INDEX(楼层配置!$G$5:$G$104,MATCH($K360,楼层配置!$B$5:$B$104,0)),1)</f>
        <v>1</v>
      </c>
      <c r="AD360" s="6">
        <f t="shared" si="38"/>
        <v>0.0954174357957853</v>
      </c>
      <c r="AE360" s="6">
        <f t="shared" si="39"/>
        <v>0.232091690544413</v>
      </c>
      <c r="AF360" s="6">
        <f t="shared" si="40"/>
        <v>0.436140161077053</v>
      </c>
      <c r="AG360" s="4" t="str">
        <f t="shared" si="41"/>
        <v>有效</v>
      </c>
    </row>
    <row r="361" ht="14.25" customHeight="1" spans="1:33">
      <c r="A361" s="4">
        <v>357</v>
      </c>
      <c r="B361" s="4">
        <v>1013</v>
      </c>
      <c r="C361" s="4">
        <v>46</v>
      </c>
      <c r="D361" s="5">
        <f>IFERROR(ROUND($U361*$X361*$AA361*参数!$B$13,0),"")</f>
        <v>2122104</v>
      </c>
      <c r="E361" s="5">
        <f>IFERROR(ROUND($V361*$Y361*$AB361*参数!$C$13,0),"")</f>
        <v>43860</v>
      </c>
      <c r="F361" s="5">
        <f>IFERROR(ROUND($W361*$Z361*$AC361*参数!$D$13,0),"")</f>
        <v>31859</v>
      </c>
      <c r="G361" s="4">
        <v>1937256</v>
      </c>
      <c r="H361" s="4">
        <v>35598</v>
      </c>
      <c r="I361" s="4">
        <v>22184</v>
      </c>
      <c r="J361" s="4">
        <v>72</v>
      </c>
      <c r="K361" s="4">
        <v>72</v>
      </c>
      <c r="L361" s="4">
        <f>IFERROR(INDEX(楼层配置!$D$5:$D$104,MATCH($K361,楼层配置!$B$5:$B$104,0)),"")</f>
        <v>338</v>
      </c>
      <c r="M361" s="4" t="str">
        <f>IFERROR(INDEX(_角色基线!$B$2:$B$100,MATCH($B361,_角色基线!$A$2:$A$100,0)),"")</f>
        <v>夏缇拉</v>
      </c>
      <c r="N361" s="4" t="str">
        <f>IFERROR(INDEX(_角色基线!$C$2:$C$100,MATCH($B361,_角色基线!$A$2:$A$100,0)),"")</f>
        <v>DPS</v>
      </c>
      <c r="O361" s="4">
        <f>IFERROR(INDEX(_怪物基线!$B$2:$B$501,MATCH(INT($L361),_怪物基线!$A$2:$A$501,0)),"")</f>
        <v>530526</v>
      </c>
      <c r="P361" s="4">
        <f>IFERROR(INDEX(_怪物基线!$C$2:$C$501,MATCH(INT($L361),_怪物基线!$A$2:$A$501,0)),"")</f>
        <v>30458</v>
      </c>
      <c r="Q361" s="4">
        <f>IFERROR(INDEX(_怪物基线!$D$2:$D$501,MATCH(INT($L361),_怪物基线!$A$2:$A$501,0)),"")</f>
        <v>31859</v>
      </c>
      <c r="R361" s="4">
        <f>参数!$B$10</f>
        <v>4</v>
      </c>
      <c r="S361" s="4">
        <f>参数!$C$10</f>
        <v>1.2</v>
      </c>
      <c r="T361" s="4">
        <f>参数!$D$10</f>
        <v>1</v>
      </c>
      <c r="U361" s="4">
        <f t="shared" si="35"/>
        <v>2122104</v>
      </c>
      <c r="V361" s="4">
        <f t="shared" si="36"/>
        <v>36549.6</v>
      </c>
      <c r="W361" s="4">
        <f t="shared" si="37"/>
        <v>31859</v>
      </c>
      <c r="X361" s="4">
        <f>IFERROR(INDEX(参数!$B$5:$B$7,MATCH($N361,参数!$A$5:$A$7,0)),"")</f>
        <v>1</v>
      </c>
      <c r="Y361" s="4">
        <f>IFERROR(INDEX(参数!$C$5:$C$7,MATCH($N361,参数!$A$5:$A$7,0)),"")</f>
        <v>1.2</v>
      </c>
      <c r="Z361" s="4">
        <f>IFERROR(INDEX(参数!$D$5:$D$7,MATCH($N361,参数!$A$5:$A$7,0)),"")</f>
        <v>1</v>
      </c>
      <c r="AA361" s="4">
        <f>IFERROR(INDEX(楼层配置!$E$5:$E$104,MATCH($K361,楼层配置!$B$5:$B$104,0)),1)</f>
        <v>1</v>
      </c>
      <c r="AB361" s="4">
        <f>IFERROR(INDEX(楼层配置!$F$5:$F$104,MATCH($K361,楼层配置!$B$5:$B$104,0)),1)</f>
        <v>1</v>
      </c>
      <c r="AC361" s="4">
        <f>IFERROR(INDEX(楼层配置!$G$5:$G$104,MATCH($K361,楼层配置!$B$5:$B$104,0)),1)</f>
        <v>1</v>
      </c>
      <c r="AD361" s="6">
        <f t="shared" si="38"/>
        <v>0.0954174357957853</v>
      </c>
      <c r="AE361" s="6">
        <f t="shared" si="39"/>
        <v>0.232091690544413</v>
      </c>
      <c r="AF361" s="6">
        <f t="shared" si="40"/>
        <v>0.4361251352326</v>
      </c>
      <c r="AG361" s="4" t="str">
        <f t="shared" si="41"/>
        <v>有效</v>
      </c>
    </row>
    <row r="362" ht="14.25" customHeight="1" spans="1:33">
      <c r="A362" s="4">
        <v>358</v>
      </c>
      <c r="B362" s="4">
        <v>1017</v>
      </c>
      <c r="C362" s="4">
        <v>46</v>
      </c>
      <c r="D362" s="5">
        <f>IFERROR(ROUND($U362*$X362*$AA362*参数!$B$13,0),"")</f>
        <v>2122104</v>
      </c>
      <c r="E362" s="5">
        <f>IFERROR(ROUND($V362*$Y362*$AB362*参数!$C$13,0),"")</f>
        <v>43860</v>
      </c>
      <c r="F362" s="5">
        <f>IFERROR(ROUND($W362*$Z362*$AC362*参数!$D$13,0),"")</f>
        <v>31859</v>
      </c>
      <c r="G362" s="4">
        <v>1937256</v>
      </c>
      <c r="H362" s="4">
        <v>35598</v>
      </c>
      <c r="I362" s="4">
        <v>22184</v>
      </c>
      <c r="J362" s="4">
        <v>72</v>
      </c>
      <c r="K362" s="4">
        <v>72</v>
      </c>
      <c r="L362" s="4">
        <f>IFERROR(INDEX(楼层配置!$D$5:$D$104,MATCH($K362,楼层配置!$B$5:$B$104,0)),"")</f>
        <v>338</v>
      </c>
      <c r="M362" s="4" t="str">
        <f>IFERROR(INDEX(_角色基线!$B$2:$B$100,MATCH($B362,_角色基线!$A$2:$A$100,0)),"")</f>
        <v>伊戈尔</v>
      </c>
      <c r="N362" s="4" t="str">
        <f>IFERROR(INDEX(_角色基线!$C$2:$C$100,MATCH($B362,_角色基线!$A$2:$A$100,0)),"")</f>
        <v>DPS</v>
      </c>
      <c r="O362" s="4">
        <f>IFERROR(INDEX(_怪物基线!$B$2:$B$501,MATCH(INT($L362),_怪物基线!$A$2:$A$501,0)),"")</f>
        <v>530526</v>
      </c>
      <c r="P362" s="4">
        <f>IFERROR(INDEX(_怪物基线!$C$2:$C$501,MATCH(INT($L362),_怪物基线!$A$2:$A$501,0)),"")</f>
        <v>30458</v>
      </c>
      <c r="Q362" s="4">
        <f>IFERROR(INDEX(_怪物基线!$D$2:$D$501,MATCH(INT($L362),_怪物基线!$A$2:$A$501,0)),"")</f>
        <v>31859</v>
      </c>
      <c r="R362" s="4">
        <f>参数!$B$10</f>
        <v>4</v>
      </c>
      <c r="S362" s="4">
        <f>参数!$C$10</f>
        <v>1.2</v>
      </c>
      <c r="T362" s="4">
        <f>参数!$D$10</f>
        <v>1</v>
      </c>
      <c r="U362" s="4">
        <f t="shared" si="35"/>
        <v>2122104</v>
      </c>
      <c r="V362" s="4">
        <f t="shared" si="36"/>
        <v>36549.6</v>
      </c>
      <c r="W362" s="4">
        <f t="shared" si="37"/>
        <v>31859</v>
      </c>
      <c r="X362" s="4">
        <f>IFERROR(INDEX(参数!$B$5:$B$7,MATCH($N362,参数!$A$5:$A$7,0)),"")</f>
        <v>1</v>
      </c>
      <c r="Y362" s="4">
        <f>IFERROR(INDEX(参数!$C$5:$C$7,MATCH($N362,参数!$A$5:$A$7,0)),"")</f>
        <v>1.2</v>
      </c>
      <c r="Z362" s="4">
        <f>IFERROR(INDEX(参数!$D$5:$D$7,MATCH($N362,参数!$A$5:$A$7,0)),"")</f>
        <v>1</v>
      </c>
      <c r="AA362" s="4">
        <f>IFERROR(INDEX(楼层配置!$E$5:$E$104,MATCH($K362,楼层配置!$B$5:$B$104,0)),1)</f>
        <v>1</v>
      </c>
      <c r="AB362" s="4">
        <f>IFERROR(INDEX(楼层配置!$F$5:$F$104,MATCH($K362,楼层配置!$B$5:$B$104,0)),1)</f>
        <v>1</v>
      </c>
      <c r="AC362" s="4">
        <f>IFERROR(INDEX(楼层配置!$G$5:$G$104,MATCH($K362,楼层配置!$B$5:$B$104,0)),1)</f>
        <v>1</v>
      </c>
      <c r="AD362" s="6">
        <f t="shared" si="38"/>
        <v>0.0954174357957853</v>
      </c>
      <c r="AE362" s="6">
        <f t="shared" si="39"/>
        <v>0.232091690544413</v>
      </c>
      <c r="AF362" s="6">
        <f t="shared" si="40"/>
        <v>0.4361251352326</v>
      </c>
      <c r="AG362" s="4" t="str">
        <f t="shared" si="41"/>
        <v>有效</v>
      </c>
    </row>
    <row r="363" ht="14.25" customHeight="1" spans="1:33">
      <c r="A363" s="4">
        <v>359</v>
      </c>
      <c r="B363" s="4">
        <v>1005</v>
      </c>
      <c r="C363" s="4">
        <v>46</v>
      </c>
      <c r="D363" s="5">
        <f>IFERROR(ROUND($U363*$X363*$AA363*参数!$B$13,0),"")</f>
        <v>2122104</v>
      </c>
      <c r="E363" s="5">
        <f>IFERROR(ROUND($V363*$Y363*$AB363*参数!$C$13,0),"")</f>
        <v>43860</v>
      </c>
      <c r="F363" s="5">
        <f>IFERROR(ROUND($W363*$Z363*$AC363*参数!$D$13,0),"")</f>
        <v>31859</v>
      </c>
      <c r="G363" s="4">
        <v>1937256</v>
      </c>
      <c r="H363" s="4">
        <v>35598</v>
      </c>
      <c r="I363" s="4">
        <v>22184</v>
      </c>
      <c r="J363" s="4">
        <v>72</v>
      </c>
      <c r="K363" s="4">
        <v>72</v>
      </c>
      <c r="L363" s="4">
        <f>IFERROR(INDEX(楼层配置!$D$5:$D$104,MATCH($K363,楼层配置!$B$5:$B$104,0)),"")</f>
        <v>338</v>
      </c>
      <c r="M363" s="4" t="str">
        <f>IFERROR(INDEX(_角色基线!$B$2:$B$100,MATCH($B363,_角色基线!$A$2:$A$100,0)),"")</f>
        <v>陈单单</v>
      </c>
      <c r="N363" s="4" t="str">
        <f>IFERROR(INDEX(_角色基线!$C$2:$C$100,MATCH($B363,_角色基线!$A$2:$A$100,0)),"")</f>
        <v>DPS</v>
      </c>
      <c r="O363" s="4">
        <f>IFERROR(INDEX(_怪物基线!$B$2:$B$501,MATCH(INT($L363),_怪物基线!$A$2:$A$501,0)),"")</f>
        <v>530526</v>
      </c>
      <c r="P363" s="4">
        <f>IFERROR(INDEX(_怪物基线!$C$2:$C$501,MATCH(INT($L363),_怪物基线!$A$2:$A$501,0)),"")</f>
        <v>30458</v>
      </c>
      <c r="Q363" s="4">
        <f>IFERROR(INDEX(_怪物基线!$D$2:$D$501,MATCH(INT($L363),_怪物基线!$A$2:$A$501,0)),"")</f>
        <v>31859</v>
      </c>
      <c r="R363" s="4">
        <f>参数!$B$10</f>
        <v>4</v>
      </c>
      <c r="S363" s="4">
        <f>参数!$C$10</f>
        <v>1.2</v>
      </c>
      <c r="T363" s="4">
        <f>参数!$D$10</f>
        <v>1</v>
      </c>
      <c r="U363" s="4">
        <f t="shared" si="35"/>
        <v>2122104</v>
      </c>
      <c r="V363" s="4">
        <f t="shared" si="36"/>
        <v>36549.6</v>
      </c>
      <c r="W363" s="4">
        <f t="shared" si="37"/>
        <v>31859</v>
      </c>
      <c r="X363" s="4">
        <f>IFERROR(INDEX(参数!$B$5:$B$7,MATCH($N363,参数!$A$5:$A$7,0)),"")</f>
        <v>1</v>
      </c>
      <c r="Y363" s="4">
        <f>IFERROR(INDEX(参数!$C$5:$C$7,MATCH($N363,参数!$A$5:$A$7,0)),"")</f>
        <v>1.2</v>
      </c>
      <c r="Z363" s="4">
        <f>IFERROR(INDEX(参数!$D$5:$D$7,MATCH($N363,参数!$A$5:$A$7,0)),"")</f>
        <v>1</v>
      </c>
      <c r="AA363" s="4">
        <f>IFERROR(INDEX(楼层配置!$E$5:$E$104,MATCH($K363,楼层配置!$B$5:$B$104,0)),1)</f>
        <v>1</v>
      </c>
      <c r="AB363" s="4">
        <f>IFERROR(INDEX(楼层配置!$F$5:$F$104,MATCH($K363,楼层配置!$B$5:$B$104,0)),1)</f>
        <v>1</v>
      </c>
      <c r="AC363" s="4">
        <f>IFERROR(INDEX(楼层配置!$G$5:$G$104,MATCH($K363,楼层配置!$B$5:$B$104,0)),1)</f>
        <v>1</v>
      </c>
      <c r="AD363" s="6">
        <f t="shared" si="38"/>
        <v>0.0954174357957853</v>
      </c>
      <c r="AE363" s="6">
        <f t="shared" si="39"/>
        <v>0.232091690544413</v>
      </c>
      <c r="AF363" s="6">
        <f t="shared" si="40"/>
        <v>0.4361251352326</v>
      </c>
      <c r="AG363" s="4" t="str">
        <f t="shared" si="41"/>
        <v>有效</v>
      </c>
    </row>
    <row r="364" ht="14.25" customHeight="1" spans="1:33">
      <c r="A364" s="4">
        <v>360</v>
      </c>
      <c r="B364" s="4">
        <v>1007</v>
      </c>
      <c r="C364" s="4">
        <v>46</v>
      </c>
      <c r="D364" s="5">
        <f>IFERROR(ROUND($U364*$X364*$AA364*参数!$B$13,0),"")</f>
        <v>2652630</v>
      </c>
      <c r="E364" s="5">
        <f>IFERROR(ROUND($V364*$Y364*$AB364*参数!$C$13,0),"")</f>
        <v>36550</v>
      </c>
      <c r="F364" s="5">
        <f>IFERROR(ROUND($W364*$Z364*$AC364*参数!$D$13,0),"")</f>
        <v>39824</v>
      </c>
      <c r="G364" s="4">
        <v>2421570</v>
      </c>
      <c r="H364" s="4">
        <v>29665</v>
      </c>
      <c r="I364" s="4">
        <v>27730</v>
      </c>
      <c r="J364" s="4">
        <v>72</v>
      </c>
      <c r="K364" s="4">
        <v>72</v>
      </c>
      <c r="L364" s="4">
        <f>IFERROR(INDEX(楼层配置!$D$5:$D$104,MATCH($K364,楼层配置!$B$5:$B$104,0)),"")</f>
        <v>338</v>
      </c>
      <c r="M364" s="4" t="str">
        <f>IFERROR(INDEX(_角色基线!$B$2:$B$100,MATCH($B364,_角色基线!$A$2:$A$100,0)),"")</f>
        <v>萨萨莉安</v>
      </c>
      <c r="N364" s="4" t="str">
        <f>IFERROR(INDEX(_角色基线!$C$2:$C$100,MATCH($B364,_角色基线!$A$2:$A$100,0)),"")</f>
        <v>Support</v>
      </c>
      <c r="O364" s="4">
        <f>IFERROR(INDEX(_怪物基线!$B$2:$B$501,MATCH(INT($L364),_怪物基线!$A$2:$A$501,0)),"")</f>
        <v>530526</v>
      </c>
      <c r="P364" s="4">
        <f>IFERROR(INDEX(_怪物基线!$C$2:$C$501,MATCH(INT($L364),_怪物基线!$A$2:$A$501,0)),"")</f>
        <v>30458</v>
      </c>
      <c r="Q364" s="4">
        <f>IFERROR(INDEX(_怪物基线!$D$2:$D$501,MATCH(INT($L364),_怪物基线!$A$2:$A$501,0)),"")</f>
        <v>31859</v>
      </c>
      <c r="R364" s="4">
        <f>参数!$B$10</f>
        <v>4</v>
      </c>
      <c r="S364" s="4">
        <f>参数!$C$10</f>
        <v>1.2</v>
      </c>
      <c r="T364" s="4">
        <f>参数!$D$10</f>
        <v>1</v>
      </c>
      <c r="U364" s="4">
        <f t="shared" si="35"/>
        <v>2122104</v>
      </c>
      <c r="V364" s="4">
        <f t="shared" si="36"/>
        <v>36549.6</v>
      </c>
      <c r="W364" s="4">
        <f t="shared" si="37"/>
        <v>31859</v>
      </c>
      <c r="X364" s="4">
        <f>IFERROR(INDEX(参数!$B$5:$B$7,MATCH($N364,参数!$A$5:$A$7,0)),"")</f>
        <v>1.25</v>
      </c>
      <c r="Y364" s="4">
        <f>IFERROR(INDEX(参数!$C$5:$C$7,MATCH($N364,参数!$A$5:$A$7,0)),"")</f>
        <v>1</v>
      </c>
      <c r="Z364" s="4">
        <f>IFERROR(INDEX(参数!$D$5:$D$7,MATCH($N364,参数!$A$5:$A$7,0)),"")</f>
        <v>1.25</v>
      </c>
      <c r="AA364" s="4">
        <f>IFERROR(INDEX(楼层配置!$E$5:$E$104,MATCH($K364,楼层配置!$B$5:$B$104,0)),1)</f>
        <v>1</v>
      </c>
      <c r="AB364" s="4">
        <f>IFERROR(INDEX(楼层配置!$F$5:$F$104,MATCH($K364,楼层配置!$B$5:$B$104,0)),1)</f>
        <v>1</v>
      </c>
      <c r="AC364" s="4">
        <f>IFERROR(INDEX(楼层配置!$G$5:$G$104,MATCH($K364,楼层配置!$B$5:$B$104,0)),1)</f>
        <v>1</v>
      </c>
      <c r="AD364" s="6">
        <f t="shared" si="38"/>
        <v>0.0954174357957853</v>
      </c>
      <c r="AE364" s="6">
        <f t="shared" si="39"/>
        <v>0.232091690544413</v>
      </c>
      <c r="AF364" s="6">
        <f t="shared" si="40"/>
        <v>0.436134150739272</v>
      </c>
      <c r="AG364" s="4" t="str">
        <f t="shared" si="41"/>
        <v>有效</v>
      </c>
    </row>
    <row r="365" ht="14.25" customHeight="1" spans="1:33">
      <c r="A365" s="4">
        <v>361</v>
      </c>
      <c r="B365" s="4">
        <v>1004</v>
      </c>
      <c r="C365" s="4">
        <v>46</v>
      </c>
      <c r="D365" s="5">
        <f>IFERROR(ROUND($U365*$X365*$AA365*参数!$B$13,0),"")</f>
        <v>3236010</v>
      </c>
      <c r="E365" s="5">
        <f>IFERROR(ROUND($V365*$Y365*$AB365*参数!$C$13,0),"")</f>
        <v>37024</v>
      </c>
      <c r="F365" s="5">
        <f>IFERROR(ROUND($W365*$Z365*$AC365*参数!$D$13,0),"")</f>
        <v>48188</v>
      </c>
      <c r="G365" s="4">
        <v>3010183</v>
      </c>
      <c r="H365" s="4">
        <v>30458</v>
      </c>
      <c r="I365" s="4">
        <v>33879</v>
      </c>
      <c r="J365" s="4">
        <v>73</v>
      </c>
      <c r="K365" s="4">
        <v>73</v>
      </c>
      <c r="L365" s="4">
        <f>IFERROR(INDEX(楼层配置!$D$5:$D$104,MATCH($K365,楼层配置!$B$5:$B$104,0)),"")</f>
        <v>340</v>
      </c>
      <c r="M365" s="4" t="str">
        <f>IFERROR(INDEX(_角色基线!$B$2:$B$100,MATCH($B365,_角色基线!$A$2:$A$100,0)),"")</f>
        <v>阿芭</v>
      </c>
      <c r="N365" s="4" t="str">
        <f>IFERROR(INDEX(_角色基线!$C$2:$C$100,MATCH($B365,_角色基线!$A$2:$A$100,0)),"")</f>
        <v>Tank</v>
      </c>
      <c r="O365" s="4">
        <f>IFERROR(INDEX(_怪物基线!$B$2:$B$501,MATCH(INT($L365),_怪物基线!$A$2:$A$501,0)),"")</f>
        <v>539335</v>
      </c>
      <c r="P365" s="4">
        <f>IFERROR(INDEX(_怪物基线!$C$2:$C$501,MATCH(INT($L365),_怪物基线!$A$2:$A$501,0)),"")</f>
        <v>30853</v>
      </c>
      <c r="Q365" s="4">
        <f>IFERROR(INDEX(_怪物基线!$D$2:$D$501,MATCH(INT($L365),_怪物基线!$A$2:$A$501,0)),"")</f>
        <v>32125</v>
      </c>
      <c r="R365" s="4">
        <f>参数!$B$10</f>
        <v>4</v>
      </c>
      <c r="S365" s="4">
        <f>参数!$C$10</f>
        <v>1.2</v>
      </c>
      <c r="T365" s="4">
        <f>参数!$D$10</f>
        <v>1</v>
      </c>
      <c r="U365" s="4">
        <f t="shared" si="35"/>
        <v>2157340</v>
      </c>
      <c r="V365" s="4">
        <f t="shared" si="36"/>
        <v>37023.6</v>
      </c>
      <c r="W365" s="4">
        <f t="shared" si="37"/>
        <v>32125</v>
      </c>
      <c r="X365" s="4">
        <f>IFERROR(INDEX(参数!$B$5:$B$7,MATCH($N365,参数!$A$5:$A$7,0)),"")</f>
        <v>1.5</v>
      </c>
      <c r="Y365" s="4">
        <f>IFERROR(INDEX(参数!$C$5:$C$7,MATCH($N365,参数!$A$5:$A$7,0)),"")</f>
        <v>1</v>
      </c>
      <c r="Z365" s="4">
        <f>IFERROR(INDEX(参数!$D$5:$D$7,MATCH($N365,参数!$A$5:$A$7,0)),"")</f>
        <v>1.5</v>
      </c>
      <c r="AA365" s="4">
        <f>IFERROR(INDEX(楼层配置!$E$5:$E$104,MATCH($K365,楼层配置!$B$5:$B$104,0)),1)</f>
        <v>1</v>
      </c>
      <c r="AB365" s="4">
        <f>IFERROR(INDEX(楼层配置!$F$5:$F$104,MATCH($K365,楼层配置!$B$5:$B$104,0)),1)</f>
        <v>1</v>
      </c>
      <c r="AC365" s="4">
        <f>IFERROR(INDEX(楼层配置!$G$5:$G$104,MATCH($K365,楼层配置!$B$5:$B$104,0)),1)</f>
        <v>1</v>
      </c>
      <c r="AD365" s="6">
        <f t="shared" si="38"/>
        <v>0.075021020316705</v>
      </c>
      <c r="AE365" s="6">
        <f t="shared" si="39"/>
        <v>0.215575546654409</v>
      </c>
      <c r="AF365" s="6">
        <f t="shared" si="40"/>
        <v>0.422356031760087</v>
      </c>
      <c r="AG365" s="4" t="str">
        <f t="shared" si="41"/>
        <v>有效</v>
      </c>
    </row>
    <row r="366" ht="14.25" customHeight="1" spans="1:33">
      <c r="A366" s="4">
        <v>362</v>
      </c>
      <c r="B366" s="4">
        <v>1017</v>
      </c>
      <c r="C366" s="4">
        <v>46</v>
      </c>
      <c r="D366" s="5">
        <f>IFERROR(ROUND($U366*$X366*$AA366*参数!$B$13,0),"")</f>
        <v>2157340</v>
      </c>
      <c r="E366" s="5">
        <f>IFERROR(ROUND($V366*$Y366*$AB366*参数!$C$13,0),"")</f>
        <v>44428</v>
      </c>
      <c r="F366" s="5">
        <f>IFERROR(ROUND($W366*$Z366*$AC366*参数!$D$13,0),"")</f>
        <v>32125</v>
      </c>
      <c r="G366" s="4">
        <v>2006788</v>
      </c>
      <c r="H366" s="4">
        <v>36549</v>
      </c>
      <c r="I366" s="4">
        <v>22586</v>
      </c>
      <c r="J366" s="4">
        <v>73</v>
      </c>
      <c r="K366" s="4">
        <v>73</v>
      </c>
      <c r="L366" s="4">
        <f>IFERROR(INDEX(楼层配置!$D$5:$D$104,MATCH($K366,楼层配置!$B$5:$B$104,0)),"")</f>
        <v>340</v>
      </c>
      <c r="M366" s="4" t="str">
        <f>IFERROR(INDEX(_角色基线!$B$2:$B$100,MATCH($B366,_角色基线!$A$2:$A$100,0)),"")</f>
        <v>伊戈尔</v>
      </c>
      <c r="N366" s="4" t="str">
        <f>IFERROR(INDEX(_角色基线!$C$2:$C$100,MATCH($B366,_角色基线!$A$2:$A$100,0)),"")</f>
        <v>DPS</v>
      </c>
      <c r="O366" s="4">
        <f>IFERROR(INDEX(_怪物基线!$B$2:$B$501,MATCH(INT($L366),_怪物基线!$A$2:$A$501,0)),"")</f>
        <v>539335</v>
      </c>
      <c r="P366" s="4">
        <f>IFERROR(INDEX(_怪物基线!$C$2:$C$501,MATCH(INT($L366),_怪物基线!$A$2:$A$501,0)),"")</f>
        <v>30853</v>
      </c>
      <c r="Q366" s="4">
        <f>IFERROR(INDEX(_怪物基线!$D$2:$D$501,MATCH(INT($L366),_怪物基线!$A$2:$A$501,0)),"")</f>
        <v>32125</v>
      </c>
      <c r="R366" s="4">
        <f>参数!$B$10</f>
        <v>4</v>
      </c>
      <c r="S366" s="4">
        <f>参数!$C$10</f>
        <v>1.2</v>
      </c>
      <c r="T366" s="4">
        <f>参数!$D$10</f>
        <v>1</v>
      </c>
      <c r="U366" s="4">
        <f t="shared" si="35"/>
        <v>2157340</v>
      </c>
      <c r="V366" s="4">
        <f t="shared" si="36"/>
        <v>37023.6</v>
      </c>
      <c r="W366" s="4">
        <f t="shared" si="37"/>
        <v>32125</v>
      </c>
      <c r="X366" s="4">
        <f>IFERROR(INDEX(参数!$B$5:$B$7,MATCH($N366,参数!$A$5:$A$7,0)),"")</f>
        <v>1</v>
      </c>
      <c r="Y366" s="4">
        <f>IFERROR(INDEX(参数!$C$5:$C$7,MATCH($N366,参数!$A$5:$A$7,0)),"")</f>
        <v>1.2</v>
      </c>
      <c r="Z366" s="4">
        <f>IFERROR(INDEX(参数!$D$5:$D$7,MATCH($N366,参数!$A$5:$A$7,0)),"")</f>
        <v>1</v>
      </c>
      <c r="AA366" s="4">
        <f>IFERROR(INDEX(楼层配置!$E$5:$E$104,MATCH($K366,楼层配置!$B$5:$B$104,0)),1)</f>
        <v>1</v>
      </c>
      <c r="AB366" s="4">
        <f>IFERROR(INDEX(楼层配置!$F$5:$F$104,MATCH($K366,楼层配置!$B$5:$B$104,0)),1)</f>
        <v>1</v>
      </c>
      <c r="AC366" s="4">
        <f>IFERROR(INDEX(楼层配置!$G$5:$G$104,MATCH($K366,楼层配置!$B$5:$B$104,0)),1)</f>
        <v>1</v>
      </c>
      <c r="AD366" s="6">
        <f t="shared" si="38"/>
        <v>0.0750213774449517</v>
      </c>
      <c r="AE366" s="6">
        <f t="shared" si="39"/>
        <v>0.215573613505157</v>
      </c>
      <c r="AF366" s="6">
        <f t="shared" si="40"/>
        <v>0.422341273355176</v>
      </c>
      <c r="AG366" s="4" t="str">
        <f t="shared" si="41"/>
        <v>有效</v>
      </c>
    </row>
    <row r="367" ht="14.25" customHeight="1" spans="1:33">
      <c r="A367" s="4">
        <v>363</v>
      </c>
      <c r="B367" s="4">
        <v>1006</v>
      </c>
      <c r="C367" s="4">
        <v>46</v>
      </c>
      <c r="D367" s="5">
        <f>IFERROR(ROUND($U367*$X367*$AA367*参数!$B$13,0),"")</f>
        <v>2157340</v>
      </c>
      <c r="E367" s="5">
        <f>IFERROR(ROUND($V367*$Y367*$AB367*参数!$C$13,0),"")</f>
        <v>44428</v>
      </c>
      <c r="F367" s="5">
        <f>IFERROR(ROUND($W367*$Z367*$AC367*参数!$D$13,0),"")</f>
        <v>32125</v>
      </c>
      <c r="G367" s="4">
        <v>2006788</v>
      </c>
      <c r="H367" s="4">
        <v>36549</v>
      </c>
      <c r="I367" s="4">
        <v>22586</v>
      </c>
      <c r="J367" s="4">
        <v>73</v>
      </c>
      <c r="K367" s="4">
        <v>73</v>
      </c>
      <c r="L367" s="4">
        <f>IFERROR(INDEX(楼层配置!$D$5:$D$104,MATCH($K367,楼层配置!$B$5:$B$104,0)),"")</f>
        <v>340</v>
      </c>
      <c r="M367" s="4" t="str">
        <f>IFERROR(INDEX(_角色基线!$B$2:$B$100,MATCH($B367,_角色基线!$A$2:$A$100,0)),"")</f>
        <v>莉莉娅</v>
      </c>
      <c r="N367" s="4" t="str">
        <f>IFERROR(INDEX(_角色基线!$C$2:$C$100,MATCH($B367,_角色基线!$A$2:$A$100,0)),"")</f>
        <v>DPS</v>
      </c>
      <c r="O367" s="4">
        <f>IFERROR(INDEX(_怪物基线!$B$2:$B$501,MATCH(INT($L367),_怪物基线!$A$2:$A$501,0)),"")</f>
        <v>539335</v>
      </c>
      <c r="P367" s="4">
        <f>IFERROR(INDEX(_怪物基线!$C$2:$C$501,MATCH(INT($L367),_怪物基线!$A$2:$A$501,0)),"")</f>
        <v>30853</v>
      </c>
      <c r="Q367" s="4">
        <f>IFERROR(INDEX(_怪物基线!$D$2:$D$501,MATCH(INT($L367),_怪物基线!$A$2:$A$501,0)),"")</f>
        <v>32125</v>
      </c>
      <c r="R367" s="4">
        <f>参数!$B$10</f>
        <v>4</v>
      </c>
      <c r="S367" s="4">
        <f>参数!$C$10</f>
        <v>1.2</v>
      </c>
      <c r="T367" s="4">
        <f>参数!$D$10</f>
        <v>1</v>
      </c>
      <c r="U367" s="4">
        <f t="shared" si="35"/>
        <v>2157340</v>
      </c>
      <c r="V367" s="4">
        <f t="shared" si="36"/>
        <v>37023.6</v>
      </c>
      <c r="W367" s="4">
        <f t="shared" si="37"/>
        <v>32125</v>
      </c>
      <c r="X367" s="4">
        <f>IFERROR(INDEX(参数!$B$5:$B$7,MATCH($N367,参数!$A$5:$A$7,0)),"")</f>
        <v>1</v>
      </c>
      <c r="Y367" s="4">
        <f>IFERROR(INDEX(参数!$C$5:$C$7,MATCH($N367,参数!$A$5:$A$7,0)),"")</f>
        <v>1.2</v>
      </c>
      <c r="Z367" s="4">
        <f>IFERROR(INDEX(参数!$D$5:$D$7,MATCH($N367,参数!$A$5:$A$7,0)),"")</f>
        <v>1</v>
      </c>
      <c r="AA367" s="4">
        <f>IFERROR(INDEX(楼层配置!$E$5:$E$104,MATCH($K367,楼层配置!$B$5:$B$104,0)),1)</f>
        <v>1</v>
      </c>
      <c r="AB367" s="4">
        <f>IFERROR(INDEX(楼层配置!$F$5:$F$104,MATCH($K367,楼层配置!$B$5:$B$104,0)),1)</f>
        <v>1</v>
      </c>
      <c r="AC367" s="4">
        <f>IFERROR(INDEX(楼层配置!$G$5:$G$104,MATCH($K367,楼层配置!$B$5:$B$104,0)),1)</f>
        <v>1</v>
      </c>
      <c r="AD367" s="6">
        <f t="shared" si="38"/>
        <v>0.0750213774449517</v>
      </c>
      <c r="AE367" s="6">
        <f t="shared" si="39"/>
        <v>0.215573613505157</v>
      </c>
      <c r="AF367" s="6">
        <f t="shared" si="40"/>
        <v>0.422341273355176</v>
      </c>
      <c r="AG367" s="4" t="str">
        <f t="shared" si="41"/>
        <v>有效</v>
      </c>
    </row>
    <row r="368" ht="14.25" customHeight="1" spans="1:33">
      <c r="A368" s="4">
        <v>364</v>
      </c>
      <c r="B368" s="4">
        <v>1014</v>
      </c>
      <c r="C368" s="4">
        <v>46</v>
      </c>
      <c r="D368" s="5">
        <f>IFERROR(ROUND($U368*$X368*$AA368*参数!$B$13,0),"")</f>
        <v>2157340</v>
      </c>
      <c r="E368" s="5">
        <f>IFERROR(ROUND($V368*$Y368*$AB368*参数!$C$13,0),"")</f>
        <v>44428</v>
      </c>
      <c r="F368" s="5">
        <f>IFERROR(ROUND($W368*$Z368*$AC368*参数!$D$13,0),"")</f>
        <v>32125</v>
      </c>
      <c r="G368" s="4">
        <v>2006788</v>
      </c>
      <c r="H368" s="4">
        <v>36549</v>
      </c>
      <c r="I368" s="4">
        <v>22586</v>
      </c>
      <c r="J368" s="4">
        <v>73</v>
      </c>
      <c r="K368" s="4">
        <v>73</v>
      </c>
      <c r="L368" s="4">
        <f>IFERROR(INDEX(楼层配置!$D$5:$D$104,MATCH($K368,楼层配置!$B$5:$B$104,0)),"")</f>
        <v>340</v>
      </c>
      <c r="M368" s="4" t="str">
        <f>IFERROR(INDEX(_角色基线!$B$2:$B$100,MATCH($B368,_角色基线!$A$2:$A$100,0)),"")</f>
        <v>克莉丝汀</v>
      </c>
      <c r="N368" s="4" t="str">
        <f>IFERROR(INDEX(_角色基线!$C$2:$C$100,MATCH($B368,_角色基线!$A$2:$A$100,0)),"")</f>
        <v>DPS</v>
      </c>
      <c r="O368" s="4">
        <f>IFERROR(INDEX(_怪物基线!$B$2:$B$501,MATCH(INT($L368),_怪物基线!$A$2:$A$501,0)),"")</f>
        <v>539335</v>
      </c>
      <c r="P368" s="4">
        <f>IFERROR(INDEX(_怪物基线!$C$2:$C$501,MATCH(INT($L368),_怪物基线!$A$2:$A$501,0)),"")</f>
        <v>30853</v>
      </c>
      <c r="Q368" s="4">
        <f>IFERROR(INDEX(_怪物基线!$D$2:$D$501,MATCH(INT($L368),_怪物基线!$A$2:$A$501,0)),"")</f>
        <v>32125</v>
      </c>
      <c r="R368" s="4">
        <f>参数!$B$10</f>
        <v>4</v>
      </c>
      <c r="S368" s="4">
        <f>参数!$C$10</f>
        <v>1.2</v>
      </c>
      <c r="T368" s="4">
        <f>参数!$D$10</f>
        <v>1</v>
      </c>
      <c r="U368" s="4">
        <f t="shared" si="35"/>
        <v>2157340</v>
      </c>
      <c r="V368" s="4">
        <f t="shared" si="36"/>
        <v>37023.6</v>
      </c>
      <c r="W368" s="4">
        <f t="shared" si="37"/>
        <v>32125</v>
      </c>
      <c r="X368" s="4">
        <f>IFERROR(INDEX(参数!$B$5:$B$7,MATCH($N368,参数!$A$5:$A$7,0)),"")</f>
        <v>1</v>
      </c>
      <c r="Y368" s="4">
        <f>IFERROR(INDEX(参数!$C$5:$C$7,MATCH($N368,参数!$A$5:$A$7,0)),"")</f>
        <v>1.2</v>
      </c>
      <c r="Z368" s="4">
        <f>IFERROR(INDEX(参数!$D$5:$D$7,MATCH($N368,参数!$A$5:$A$7,0)),"")</f>
        <v>1</v>
      </c>
      <c r="AA368" s="4">
        <f>IFERROR(INDEX(楼层配置!$E$5:$E$104,MATCH($K368,楼层配置!$B$5:$B$104,0)),1)</f>
        <v>1</v>
      </c>
      <c r="AB368" s="4">
        <f>IFERROR(INDEX(楼层配置!$F$5:$F$104,MATCH($K368,楼层配置!$B$5:$B$104,0)),1)</f>
        <v>1</v>
      </c>
      <c r="AC368" s="4">
        <f>IFERROR(INDEX(楼层配置!$G$5:$G$104,MATCH($K368,楼层配置!$B$5:$B$104,0)),1)</f>
        <v>1</v>
      </c>
      <c r="AD368" s="6">
        <f t="shared" si="38"/>
        <v>0.0750213774449517</v>
      </c>
      <c r="AE368" s="6">
        <f t="shared" si="39"/>
        <v>0.215573613505157</v>
      </c>
      <c r="AF368" s="6">
        <f t="shared" si="40"/>
        <v>0.422341273355176</v>
      </c>
      <c r="AG368" s="4" t="str">
        <f t="shared" si="41"/>
        <v>有效</v>
      </c>
    </row>
    <row r="369" ht="14.25" customHeight="1" spans="1:33">
      <c r="A369" s="4">
        <v>365</v>
      </c>
      <c r="B369" s="4">
        <v>1011</v>
      </c>
      <c r="C369" s="4">
        <v>46</v>
      </c>
      <c r="D369" s="5">
        <f>IFERROR(ROUND($U369*$X369*$AA369*参数!$B$13,0),"")</f>
        <v>2696675</v>
      </c>
      <c r="E369" s="5">
        <f>IFERROR(ROUND($V369*$Y369*$AB369*参数!$C$13,0),"")</f>
        <v>37024</v>
      </c>
      <c r="F369" s="5">
        <f>IFERROR(ROUND($W369*$Z369*$AC369*参数!$D$13,0),"")</f>
        <v>40156</v>
      </c>
      <c r="G369" s="4">
        <v>2508486</v>
      </c>
      <c r="H369" s="4">
        <v>30458</v>
      </c>
      <c r="I369" s="4">
        <v>28233</v>
      </c>
      <c r="J369" s="4">
        <v>73</v>
      </c>
      <c r="K369" s="4">
        <v>73</v>
      </c>
      <c r="L369" s="4">
        <f>IFERROR(INDEX(楼层配置!$D$5:$D$104,MATCH($K369,楼层配置!$B$5:$B$104,0)),"")</f>
        <v>340</v>
      </c>
      <c r="M369" s="4" t="str">
        <f>IFERROR(INDEX(_角色基线!$B$2:$B$100,MATCH($B369,_角色基线!$A$2:$A$100,0)),"")</f>
        <v>陈双双</v>
      </c>
      <c r="N369" s="4" t="str">
        <f>IFERROR(INDEX(_角色基线!$C$2:$C$100,MATCH($B369,_角色基线!$A$2:$A$100,0)),"")</f>
        <v>Support</v>
      </c>
      <c r="O369" s="4">
        <f>IFERROR(INDEX(_怪物基线!$B$2:$B$501,MATCH(INT($L369),_怪物基线!$A$2:$A$501,0)),"")</f>
        <v>539335</v>
      </c>
      <c r="P369" s="4">
        <f>IFERROR(INDEX(_怪物基线!$C$2:$C$501,MATCH(INT($L369),_怪物基线!$A$2:$A$501,0)),"")</f>
        <v>30853</v>
      </c>
      <c r="Q369" s="4">
        <f>IFERROR(INDEX(_怪物基线!$D$2:$D$501,MATCH(INT($L369),_怪物基线!$A$2:$A$501,0)),"")</f>
        <v>32125</v>
      </c>
      <c r="R369" s="4">
        <f>参数!$B$10</f>
        <v>4</v>
      </c>
      <c r="S369" s="4">
        <f>参数!$C$10</f>
        <v>1.2</v>
      </c>
      <c r="T369" s="4">
        <f>参数!$D$10</f>
        <v>1</v>
      </c>
      <c r="U369" s="4">
        <f t="shared" si="35"/>
        <v>2157340</v>
      </c>
      <c r="V369" s="4">
        <f t="shared" si="36"/>
        <v>37023.6</v>
      </c>
      <c r="W369" s="4">
        <f t="shared" si="37"/>
        <v>32125</v>
      </c>
      <c r="X369" s="4">
        <f>IFERROR(INDEX(参数!$B$5:$B$7,MATCH($N369,参数!$A$5:$A$7,0)),"")</f>
        <v>1.25</v>
      </c>
      <c r="Y369" s="4">
        <f>IFERROR(INDEX(参数!$C$5:$C$7,MATCH($N369,参数!$A$5:$A$7,0)),"")</f>
        <v>1</v>
      </c>
      <c r="Z369" s="4">
        <f>IFERROR(INDEX(参数!$D$5:$D$7,MATCH($N369,参数!$A$5:$A$7,0)),"")</f>
        <v>1.25</v>
      </c>
      <c r="AA369" s="4">
        <f>IFERROR(INDEX(楼层配置!$E$5:$E$104,MATCH($K369,楼层配置!$B$5:$B$104,0)),1)</f>
        <v>1</v>
      </c>
      <c r="AB369" s="4">
        <f>IFERROR(INDEX(楼层配置!$F$5:$F$104,MATCH($K369,楼层配置!$B$5:$B$104,0)),1)</f>
        <v>1</v>
      </c>
      <c r="AC369" s="4">
        <f>IFERROR(INDEX(楼层配置!$G$5:$G$104,MATCH($K369,楼层配置!$B$5:$B$104,0)),1)</f>
        <v>1</v>
      </c>
      <c r="AD369" s="6">
        <f t="shared" si="38"/>
        <v>0.075020948891084</v>
      </c>
      <c r="AE369" s="6">
        <f t="shared" si="39"/>
        <v>0.215575546654409</v>
      </c>
      <c r="AF369" s="6">
        <f t="shared" si="40"/>
        <v>0.422307229129033</v>
      </c>
      <c r="AG369" s="4" t="str">
        <f t="shared" si="41"/>
        <v>有效</v>
      </c>
    </row>
    <row r="370" ht="14.25" customHeight="1" spans="1:33">
      <c r="A370" s="4">
        <v>366</v>
      </c>
      <c r="B370" s="4">
        <v>1003</v>
      </c>
      <c r="C370" s="4">
        <v>47</v>
      </c>
      <c r="D370" s="5">
        <f>IFERROR(ROUND($U370*$X370*$AA370*参数!$B$13,0),"")</f>
        <v>3262686</v>
      </c>
      <c r="E370" s="5">
        <f>IFERROR(ROUND($V370*$Y370*$AB370*参数!$C$13,0),"")</f>
        <v>37264</v>
      </c>
      <c r="F370" s="5">
        <f>IFERROR(ROUND($W370*$Z370*$AC370*参数!$D$13,0),"")</f>
        <v>48387</v>
      </c>
      <c r="G370" s="4">
        <v>3117218</v>
      </c>
      <c r="H370" s="4">
        <v>31270</v>
      </c>
      <c r="I370" s="4">
        <v>34488</v>
      </c>
      <c r="J370" s="4">
        <v>74</v>
      </c>
      <c r="K370" s="4">
        <v>74</v>
      </c>
      <c r="L370" s="4">
        <f>IFERROR(INDEX(楼层配置!$D$5:$D$104,MATCH($K370,楼层配置!$B$5:$B$104,0)),"")</f>
        <v>341</v>
      </c>
      <c r="M370" s="4" t="str">
        <f>IFERROR(INDEX(_角色基线!$B$2:$B$100,MATCH($B370,_角色基线!$A$2:$A$100,0)),"")</f>
        <v>塔拉夏</v>
      </c>
      <c r="N370" s="4" t="str">
        <f>IFERROR(INDEX(_角色基线!$C$2:$C$100,MATCH($B370,_角色基线!$A$2:$A$100,0)),"")</f>
        <v>Tank</v>
      </c>
      <c r="O370" s="4">
        <f>IFERROR(INDEX(_怪物基线!$B$2:$B$501,MATCH(INT($L370),_怪物基线!$A$2:$A$501,0)),"")</f>
        <v>543781</v>
      </c>
      <c r="P370" s="4">
        <f>IFERROR(INDEX(_怪物基线!$C$2:$C$501,MATCH(INT($L370),_怪物基线!$A$2:$A$501,0)),"")</f>
        <v>31053</v>
      </c>
      <c r="Q370" s="4">
        <f>IFERROR(INDEX(_怪物基线!$D$2:$D$501,MATCH(INT($L370),_怪物基线!$A$2:$A$501,0)),"")</f>
        <v>32258</v>
      </c>
      <c r="R370" s="4">
        <f>参数!$B$10</f>
        <v>4</v>
      </c>
      <c r="S370" s="4">
        <f>参数!$C$10</f>
        <v>1.2</v>
      </c>
      <c r="T370" s="4">
        <f>参数!$D$10</f>
        <v>1</v>
      </c>
      <c r="U370" s="4">
        <f t="shared" si="35"/>
        <v>2175124</v>
      </c>
      <c r="V370" s="4">
        <f t="shared" si="36"/>
        <v>37263.6</v>
      </c>
      <c r="W370" s="4">
        <f t="shared" si="37"/>
        <v>32258</v>
      </c>
      <c r="X370" s="4">
        <f>IFERROR(INDEX(参数!$B$5:$B$7,MATCH($N370,参数!$A$5:$A$7,0)),"")</f>
        <v>1.5</v>
      </c>
      <c r="Y370" s="4">
        <f>IFERROR(INDEX(参数!$C$5:$C$7,MATCH($N370,参数!$A$5:$A$7,0)),"")</f>
        <v>1</v>
      </c>
      <c r="Z370" s="4">
        <f>IFERROR(INDEX(参数!$D$5:$D$7,MATCH($N370,参数!$A$5:$A$7,0)),"")</f>
        <v>1.5</v>
      </c>
      <c r="AA370" s="4">
        <f>IFERROR(INDEX(楼层配置!$E$5:$E$104,MATCH($K370,楼层配置!$B$5:$B$104,0)),1)</f>
        <v>1</v>
      </c>
      <c r="AB370" s="4">
        <f>IFERROR(INDEX(楼层配置!$F$5:$F$104,MATCH($K370,楼层配置!$B$5:$B$104,0)),1)</f>
        <v>1</v>
      </c>
      <c r="AC370" s="4">
        <f>IFERROR(INDEX(楼层配置!$G$5:$G$104,MATCH($K370,楼层配置!$B$5:$B$104,0)),1)</f>
        <v>1</v>
      </c>
      <c r="AD370" s="6">
        <f t="shared" si="38"/>
        <v>0.0466659694637974</v>
      </c>
      <c r="AE370" s="6">
        <f t="shared" si="39"/>
        <v>0.191685321394308</v>
      </c>
      <c r="AF370" s="6">
        <f t="shared" si="40"/>
        <v>0.403009742519137</v>
      </c>
      <c r="AG370" s="4" t="str">
        <f t="shared" si="41"/>
        <v>有效</v>
      </c>
    </row>
    <row r="371" ht="14.25" customHeight="1" spans="1:33">
      <c r="A371" s="4">
        <v>367</v>
      </c>
      <c r="B371" s="4">
        <v>1005</v>
      </c>
      <c r="C371" s="4">
        <v>47</v>
      </c>
      <c r="D371" s="5">
        <f>IFERROR(ROUND($U371*$X371*$AA371*参数!$B$13,0),"")</f>
        <v>2175124</v>
      </c>
      <c r="E371" s="5">
        <f>IFERROR(ROUND($V371*$Y371*$AB371*参数!$C$13,0),"")</f>
        <v>44716</v>
      </c>
      <c r="F371" s="5">
        <f>IFERROR(ROUND($W371*$Z371*$AC371*参数!$D$13,0),"")</f>
        <v>32258</v>
      </c>
      <c r="G371" s="4">
        <v>2078145</v>
      </c>
      <c r="H371" s="4">
        <v>37524</v>
      </c>
      <c r="I371" s="4">
        <v>22992</v>
      </c>
      <c r="J371" s="4">
        <v>74</v>
      </c>
      <c r="K371" s="4">
        <v>74</v>
      </c>
      <c r="L371" s="4">
        <f>IFERROR(INDEX(楼层配置!$D$5:$D$104,MATCH($K371,楼层配置!$B$5:$B$104,0)),"")</f>
        <v>341</v>
      </c>
      <c r="M371" s="4" t="str">
        <f>IFERROR(INDEX(_角色基线!$B$2:$B$100,MATCH($B371,_角色基线!$A$2:$A$100,0)),"")</f>
        <v>陈单单</v>
      </c>
      <c r="N371" s="4" t="str">
        <f>IFERROR(INDEX(_角色基线!$C$2:$C$100,MATCH($B371,_角色基线!$A$2:$A$100,0)),"")</f>
        <v>DPS</v>
      </c>
      <c r="O371" s="4">
        <f>IFERROR(INDEX(_怪物基线!$B$2:$B$501,MATCH(INT($L371),_怪物基线!$A$2:$A$501,0)),"")</f>
        <v>543781</v>
      </c>
      <c r="P371" s="4">
        <f>IFERROR(INDEX(_怪物基线!$C$2:$C$501,MATCH(INT($L371),_怪物基线!$A$2:$A$501,0)),"")</f>
        <v>31053</v>
      </c>
      <c r="Q371" s="4">
        <f>IFERROR(INDEX(_怪物基线!$D$2:$D$501,MATCH(INT($L371),_怪物基线!$A$2:$A$501,0)),"")</f>
        <v>32258</v>
      </c>
      <c r="R371" s="4">
        <f>参数!$B$10</f>
        <v>4</v>
      </c>
      <c r="S371" s="4">
        <f>参数!$C$10</f>
        <v>1.2</v>
      </c>
      <c r="T371" s="4">
        <f>参数!$D$10</f>
        <v>1</v>
      </c>
      <c r="U371" s="4">
        <f t="shared" si="35"/>
        <v>2175124</v>
      </c>
      <c r="V371" s="4">
        <f t="shared" si="36"/>
        <v>37263.6</v>
      </c>
      <c r="W371" s="4">
        <f t="shared" si="37"/>
        <v>32258</v>
      </c>
      <c r="X371" s="4">
        <f>IFERROR(INDEX(参数!$B$5:$B$7,MATCH($N371,参数!$A$5:$A$7,0)),"")</f>
        <v>1</v>
      </c>
      <c r="Y371" s="4">
        <f>IFERROR(INDEX(参数!$C$5:$C$7,MATCH($N371,参数!$A$5:$A$7,0)),"")</f>
        <v>1.2</v>
      </c>
      <c r="Z371" s="4">
        <f>IFERROR(INDEX(参数!$D$5:$D$7,MATCH($N371,参数!$A$5:$A$7,0)),"")</f>
        <v>1</v>
      </c>
      <c r="AA371" s="4">
        <f>IFERROR(INDEX(楼层配置!$E$5:$E$104,MATCH($K371,楼层配置!$B$5:$B$104,0)),1)</f>
        <v>1</v>
      </c>
      <c r="AB371" s="4">
        <f>IFERROR(INDEX(楼层配置!$F$5:$F$104,MATCH($K371,楼层配置!$B$5:$B$104,0)),1)</f>
        <v>1</v>
      </c>
      <c r="AC371" s="4">
        <f>IFERROR(INDEX(楼层配置!$G$5:$G$104,MATCH($K371,楼层配置!$B$5:$B$104,0)),1)</f>
        <v>1</v>
      </c>
      <c r="AD371" s="6">
        <f t="shared" si="38"/>
        <v>0.0466661373484525</v>
      </c>
      <c r="AE371" s="6">
        <f t="shared" si="39"/>
        <v>0.191664001705575</v>
      </c>
      <c r="AF371" s="6">
        <f t="shared" si="40"/>
        <v>0.403009742519137</v>
      </c>
      <c r="AG371" s="4" t="str">
        <f t="shared" si="41"/>
        <v>有效</v>
      </c>
    </row>
    <row r="372" ht="14.25" customHeight="1" spans="1:33">
      <c r="A372" s="4">
        <v>368</v>
      </c>
      <c r="B372" s="4">
        <v>1014</v>
      </c>
      <c r="C372" s="4">
        <v>47</v>
      </c>
      <c r="D372" s="5">
        <f>IFERROR(ROUND($U372*$X372*$AA372*参数!$B$13,0),"")</f>
        <v>2175124</v>
      </c>
      <c r="E372" s="5">
        <f>IFERROR(ROUND($V372*$Y372*$AB372*参数!$C$13,0),"")</f>
        <v>44716</v>
      </c>
      <c r="F372" s="5">
        <f>IFERROR(ROUND($W372*$Z372*$AC372*参数!$D$13,0),"")</f>
        <v>32258</v>
      </c>
      <c r="G372" s="4">
        <v>2078145</v>
      </c>
      <c r="H372" s="4">
        <v>37524</v>
      </c>
      <c r="I372" s="4">
        <v>22992</v>
      </c>
      <c r="J372" s="4">
        <v>74</v>
      </c>
      <c r="K372" s="4">
        <v>74</v>
      </c>
      <c r="L372" s="4">
        <f>IFERROR(INDEX(楼层配置!$D$5:$D$104,MATCH($K372,楼层配置!$B$5:$B$104,0)),"")</f>
        <v>341</v>
      </c>
      <c r="M372" s="4" t="str">
        <f>IFERROR(INDEX(_角色基线!$B$2:$B$100,MATCH($B372,_角色基线!$A$2:$A$100,0)),"")</f>
        <v>克莉丝汀</v>
      </c>
      <c r="N372" s="4" t="str">
        <f>IFERROR(INDEX(_角色基线!$C$2:$C$100,MATCH($B372,_角色基线!$A$2:$A$100,0)),"")</f>
        <v>DPS</v>
      </c>
      <c r="O372" s="4">
        <f>IFERROR(INDEX(_怪物基线!$B$2:$B$501,MATCH(INT($L372),_怪物基线!$A$2:$A$501,0)),"")</f>
        <v>543781</v>
      </c>
      <c r="P372" s="4">
        <f>IFERROR(INDEX(_怪物基线!$C$2:$C$501,MATCH(INT($L372),_怪物基线!$A$2:$A$501,0)),"")</f>
        <v>31053</v>
      </c>
      <c r="Q372" s="4">
        <f>IFERROR(INDEX(_怪物基线!$D$2:$D$501,MATCH(INT($L372),_怪物基线!$A$2:$A$501,0)),"")</f>
        <v>32258</v>
      </c>
      <c r="R372" s="4">
        <f>参数!$B$10</f>
        <v>4</v>
      </c>
      <c r="S372" s="4">
        <f>参数!$C$10</f>
        <v>1.2</v>
      </c>
      <c r="T372" s="4">
        <f>参数!$D$10</f>
        <v>1</v>
      </c>
      <c r="U372" s="4">
        <f t="shared" si="35"/>
        <v>2175124</v>
      </c>
      <c r="V372" s="4">
        <f t="shared" si="36"/>
        <v>37263.6</v>
      </c>
      <c r="W372" s="4">
        <f t="shared" si="37"/>
        <v>32258</v>
      </c>
      <c r="X372" s="4">
        <f>IFERROR(INDEX(参数!$B$5:$B$7,MATCH($N372,参数!$A$5:$A$7,0)),"")</f>
        <v>1</v>
      </c>
      <c r="Y372" s="4">
        <f>IFERROR(INDEX(参数!$C$5:$C$7,MATCH($N372,参数!$A$5:$A$7,0)),"")</f>
        <v>1.2</v>
      </c>
      <c r="Z372" s="4">
        <f>IFERROR(INDEX(参数!$D$5:$D$7,MATCH($N372,参数!$A$5:$A$7,0)),"")</f>
        <v>1</v>
      </c>
      <c r="AA372" s="4">
        <f>IFERROR(INDEX(楼层配置!$E$5:$E$104,MATCH($K372,楼层配置!$B$5:$B$104,0)),1)</f>
        <v>1</v>
      </c>
      <c r="AB372" s="4">
        <f>IFERROR(INDEX(楼层配置!$F$5:$F$104,MATCH($K372,楼层配置!$B$5:$B$104,0)),1)</f>
        <v>1</v>
      </c>
      <c r="AC372" s="4">
        <f>IFERROR(INDEX(楼层配置!$G$5:$G$104,MATCH($K372,楼层配置!$B$5:$B$104,0)),1)</f>
        <v>1</v>
      </c>
      <c r="AD372" s="6">
        <f t="shared" si="38"/>
        <v>0.0466661373484525</v>
      </c>
      <c r="AE372" s="6">
        <f t="shared" si="39"/>
        <v>0.191664001705575</v>
      </c>
      <c r="AF372" s="6">
        <f t="shared" si="40"/>
        <v>0.403009742519137</v>
      </c>
      <c r="AG372" s="4" t="str">
        <f t="shared" si="41"/>
        <v>有效</v>
      </c>
    </row>
    <row r="373" ht="14.25" customHeight="1" spans="1:33">
      <c r="A373" s="4">
        <v>369</v>
      </c>
      <c r="B373" s="4">
        <v>1012</v>
      </c>
      <c r="C373" s="4">
        <v>47</v>
      </c>
      <c r="D373" s="5">
        <f>IFERROR(ROUND($U373*$X373*$AA373*参数!$B$13,0),"")</f>
        <v>2718905</v>
      </c>
      <c r="E373" s="5">
        <f>IFERROR(ROUND($V373*$Y373*$AB373*参数!$C$13,0),"")</f>
        <v>37264</v>
      </c>
      <c r="F373" s="5">
        <f>IFERROR(ROUND($W373*$Z373*$AC373*参数!$D$13,0),"")</f>
        <v>40323</v>
      </c>
      <c r="G373" s="4">
        <v>2597682</v>
      </c>
      <c r="H373" s="4">
        <v>31270</v>
      </c>
      <c r="I373" s="4">
        <v>28740</v>
      </c>
      <c r="J373" s="4">
        <v>74</v>
      </c>
      <c r="K373" s="4">
        <v>74</v>
      </c>
      <c r="L373" s="4">
        <f>IFERROR(INDEX(楼层配置!$D$5:$D$104,MATCH($K373,楼层配置!$B$5:$B$104,0)),"")</f>
        <v>341</v>
      </c>
      <c r="M373" s="4" t="str">
        <f>IFERROR(INDEX(_角色基线!$B$2:$B$100,MATCH($B373,_角色基线!$A$2:$A$100,0)),"")</f>
        <v>艾德琳</v>
      </c>
      <c r="N373" s="4" t="str">
        <f>IFERROR(INDEX(_角色基线!$C$2:$C$100,MATCH($B373,_角色基线!$A$2:$A$100,0)),"")</f>
        <v>Support</v>
      </c>
      <c r="O373" s="4">
        <f>IFERROR(INDEX(_怪物基线!$B$2:$B$501,MATCH(INT($L373),_怪物基线!$A$2:$A$501,0)),"")</f>
        <v>543781</v>
      </c>
      <c r="P373" s="4">
        <f>IFERROR(INDEX(_怪物基线!$C$2:$C$501,MATCH(INT($L373),_怪物基线!$A$2:$A$501,0)),"")</f>
        <v>31053</v>
      </c>
      <c r="Q373" s="4">
        <f>IFERROR(INDEX(_怪物基线!$D$2:$D$501,MATCH(INT($L373),_怪物基线!$A$2:$A$501,0)),"")</f>
        <v>32258</v>
      </c>
      <c r="R373" s="4">
        <f>参数!$B$10</f>
        <v>4</v>
      </c>
      <c r="S373" s="4">
        <f>参数!$C$10</f>
        <v>1.2</v>
      </c>
      <c r="T373" s="4">
        <f>参数!$D$10</f>
        <v>1</v>
      </c>
      <c r="U373" s="4">
        <f t="shared" si="35"/>
        <v>2175124</v>
      </c>
      <c r="V373" s="4">
        <f t="shared" si="36"/>
        <v>37263.6</v>
      </c>
      <c r="W373" s="4">
        <f t="shared" si="37"/>
        <v>32258</v>
      </c>
      <c r="X373" s="4">
        <f>IFERROR(INDEX(参数!$B$5:$B$7,MATCH($N373,参数!$A$5:$A$7,0)),"")</f>
        <v>1.25</v>
      </c>
      <c r="Y373" s="4">
        <f>IFERROR(INDEX(参数!$C$5:$C$7,MATCH($N373,参数!$A$5:$A$7,0)),"")</f>
        <v>1</v>
      </c>
      <c r="Z373" s="4">
        <f>IFERROR(INDEX(参数!$D$5:$D$7,MATCH($N373,参数!$A$5:$A$7,0)),"")</f>
        <v>1.25</v>
      </c>
      <c r="AA373" s="4">
        <f>IFERROR(INDEX(楼层配置!$E$5:$E$104,MATCH($K373,楼层配置!$B$5:$B$104,0)),1)</f>
        <v>1</v>
      </c>
      <c r="AB373" s="4">
        <f>IFERROR(INDEX(楼层配置!$F$5:$F$104,MATCH($K373,楼层配置!$B$5:$B$104,0)),1)</f>
        <v>1</v>
      </c>
      <c r="AC373" s="4">
        <f>IFERROR(INDEX(楼层配置!$G$5:$G$104,MATCH($K373,楼层配置!$B$5:$B$104,0)),1)</f>
        <v>1</v>
      </c>
      <c r="AD373" s="6">
        <f t="shared" si="38"/>
        <v>0.0466658351561122</v>
      </c>
      <c r="AE373" s="6">
        <f t="shared" si="39"/>
        <v>0.191685321394308</v>
      </c>
      <c r="AF373" s="6">
        <f t="shared" si="40"/>
        <v>0.403027139874739</v>
      </c>
      <c r="AG373" s="4" t="str">
        <f t="shared" si="41"/>
        <v>有效</v>
      </c>
    </row>
    <row r="374" ht="14.25" customHeight="1" spans="1:33">
      <c r="A374" s="4">
        <v>370</v>
      </c>
      <c r="B374" s="4">
        <v>1008</v>
      </c>
      <c r="C374" s="4">
        <v>47</v>
      </c>
      <c r="D374" s="5">
        <f>IFERROR(ROUND($U374*$X374*$AA374*参数!$B$13,0),"")</f>
        <v>2175124</v>
      </c>
      <c r="E374" s="5">
        <f>IFERROR(ROUND($V374*$Y374*$AB374*参数!$C$13,0),"")</f>
        <v>44716</v>
      </c>
      <c r="F374" s="5">
        <f>IFERROR(ROUND($W374*$Z374*$AC374*参数!$D$13,0),"")</f>
        <v>32258</v>
      </c>
      <c r="G374" s="4">
        <v>2078145</v>
      </c>
      <c r="H374" s="4">
        <v>37524</v>
      </c>
      <c r="I374" s="4">
        <v>22992</v>
      </c>
      <c r="J374" s="4">
        <v>74</v>
      </c>
      <c r="K374" s="4">
        <v>74</v>
      </c>
      <c r="L374" s="4">
        <f>IFERROR(INDEX(楼层配置!$D$5:$D$104,MATCH($K374,楼层配置!$B$5:$B$104,0)),"")</f>
        <v>341</v>
      </c>
      <c r="M374" s="4" t="str">
        <f>IFERROR(INDEX(_角色基线!$B$2:$B$100,MATCH($B374,_角色基线!$A$2:$A$100,0)),"")</f>
        <v>薇</v>
      </c>
      <c r="N374" s="4" t="str">
        <f>IFERROR(INDEX(_角色基线!$C$2:$C$100,MATCH($B374,_角色基线!$A$2:$A$100,0)),"")</f>
        <v>DPS</v>
      </c>
      <c r="O374" s="4">
        <f>IFERROR(INDEX(_怪物基线!$B$2:$B$501,MATCH(INT($L374),_怪物基线!$A$2:$A$501,0)),"")</f>
        <v>543781</v>
      </c>
      <c r="P374" s="4">
        <f>IFERROR(INDEX(_怪物基线!$C$2:$C$501,MATCH(INT($L374),_怪物基线!$A$2:$A$501,0)),"")</f>
        <v>31053</v>
      </c>
      <c r="Q374" s="4">
        <f>IFERROR(INDEX(_怪物基线!$D$2:$D$501,MATCH(INT($L374),_怪物基线!$A$2:$A$501,0)),"")</f>
        <v>32258</v>
      </c>
      <c r="R374" s="4">
        <f>参数!$B$10</f>
        <v>4</v>
      </c>
      <c r="S374" s="4">
        <f>参数!$C$10</f>
        <v>1.2</v>
      </c>
      <c r="T374" s="4">
        <f>参数!$D$10</f>
        <v>1</v>
      </c>
      <c r="U374" s="4">
        <f t="shared" si="35"/>
        <v>2175124</v>
      </c>
      <c r="V374" s="4">
        <f t="shared" si="36"/>
        <v>37263.6</v>
      </c>
      <c r="W374" s="4">
        <f t="shared" si="37"/>
        <v>32258</v>
      </c>
      <c r="X374" s="4">
        <f>IFERROR(INDEX(参数!$B$5:$B$7,MATCH($N374,参数!$A$5:$A$7,0)),"")</f>
        <v>1</v>
      </c>
      <c r="Y374" s="4">
        <f>IFERROR(INDEX(参数!$C$5:$C$7,MATCH($N374,参数!$A$5:$A$7,0)),"")</f>
        <v>1.2</v>
      </c>
      <c r="Z374" s="4">
        <f>IFERROR(INDEX(参数!$D$5:$D$7,MATCH($N374,参数!$A$5:$A$7,0)),"")</f>
        <v>1</v>
      </c>
      <c r="AA374" s="4">
        <f>IFERROR(INDEX(楼层配置!$E$5:$E$104,MATCH($K374,楼层配置!$B$5:$B$104,0)),1)</f>
        <v>1</v>
      </c>
      <c r="AB374" s="4">
        <f>IFERROR(INDEX(楼层配置!$F$5:$F$104,MATCH($K374,楼层配置!$B$5:$B$104,0)),1)</f>
        <v>1</v>
      </c>
      <c r="AC374" s="4">
        <f>IFERROR(INDEX(楼层配置!$G$5:$G$104,MATCH($K374,楼层配置!$B$5:$B$104,0)),1)</f>
        <v>1</v>
      </c>
      <c r="AD374" s="6">
        <f t="shared" si="38"/>
        <v>0.0466661373484525</v>
      </c>
      <c r="AE374" s="6">
        <f t="shared" si="39"/>
        <v>0.191664001705575</v>
      </c>
      <c r="AF374" s="6">
        <f t="shared" si="40"/>
        <v>0.403009742519137</v>
      </c>
      <c r="AG374" s="4" t="str">
        <f t="shared" si="41"/>
        <v>有效</v>
      </c>
    </row>
    <row r="375" ht="14.25" customHeight="1" spans="1:33">
      <c r="A375" s="4">
        <v>371</v>
      </c>
      <c r="B375" s="4">
        <v>1003</v>
      </c>
      <c r="C375" s="4">
        <v>47</v>
      </c>
      <c r="D375" s="5">
        <f>IFERROR(ROUND($U375*$X375*$AA375*参数!$B$13,0),"")</f>
        <v>3289524</v>
      </c>
      <c r="E375" s="5">
        <f>IFERROR(ROUND($V375*$Y375*$AB375*参数!$C$13,0),"")</f>
        <v>37504</v>
      </c>
      <c r="F375" s="5">
        <f>IFERROR(ROUND($W375*$Z375*$AC375*参数!$D$13,0),"")</f>
        <v>48588</v>
      </c>
      <c r="G375" s="4">
        <v>3227047</v>
      </c>
      <c r="H375" s="4">
        <v>32100</v>
      </c>
      <c r="I375" s="4">
        <v>35101</v>
      </c>
      <c r="J375" s="4">
        <v>75</v>
      </c>
      <c r="K375" s="4">
        <v>75</v>
      </c>
      <c r="L375" s="4">
        <f>IFERROR(INDEX(楼层配置!$D$5:$D$104,MATCH($K375,楼层配置!$B$5:$B$104,0)),"")</f>
        <v>342</v>
      </c>
      <c r="M375" s="4" t="str">
        <f>IFERROR(INDEX(_角色基线!$B$2:$B$100,MATCH($B375,_角色基线!$A$2:$A$100,0)),"")</f>
        <v>塔拉夏</v>
      </c>
      <c r="N375" s="4" t="str">
        <f>IFERROR(INDEX(_角色基线!$C$2:$C$100,MATCH($B375,_角色基线!$A$2:$A$100,0)),"")</f>
        <v>Tank</v>
      </c>
      <c r="O375" s="4">
        <f>IFERROR(INDEX(_怪物基线!$B$2:$B$501,MATCH(INT($L375),_怪物基线!$A$2:$A$501,0)),"")</f>
        <v>548254</v>
      </c>
      <c r="P375" s="4">
        <f>IFERROR(INDEX(_怪物基线!$C$2:$C$501,MATCH(INT($L375),_怪物基线!$A$2:$A$501,0)),"")</f>
        <v>31253</v>
      </c>
      <c r="Q375" s="4">
        <f>IFERROR(INDEX(_怪物基线!$D$2:$D$501,MATCH(INT($L375),_怪物基线!$A$2:$A$501,0)),"")</f>
        <v>32392</v>
      </c>
      <c r="R375" s="4">
        <f>参数!$B$10</f>
        <v>4</v>
      </c>
      <c r="S375" s="4">
        <f>参数!$C$10</f>
        <v>1.2</v>
      </c>
      <c r="T375" s="4">
        <f>参数!$D$10</f>
        <v>1</v>
      </c>
      <c r="U375" s="4">
        <f t="shared" si="35"/>
        <v>2193016</v>
      </c>
      <c r="V375" s="4">
        <f t="shared" si="36"/>
        <v>37503.6</v>
      </c>
      <c r="W375" s="4">
        <f t="shared" si="37"/>
        <v>32392</v>
      </c>
      <c r="X375" s="4">
        <f>IFERROR(INDEX(参数!$B$5:$B$7,MATCH($N375,参数!$A$5:$A$7,0)),"")</f>
        <v>1.5</v>
      </c>
      <c r="Y375" s="4">
        <f>IFERROR(INDEX(参数!$C$5:$C$7,MATCH($N375,参数!$A$5:$A$7,0)),"")</f>
        <v>1</v>
      </c>
      <c r="Z375" s="4">
        <f>IFERROR(INDEX(参数!$D$5:$D$7,MATCH($N375,参数!$A$5:$A$7,0)),"")</f>
        <v>1.5</v>
      </c>
      <c r="AA375" s="4">
        <f>IFERROR(INDEX(楼层配置!$E$5:$E$104,MATCH($K375,楼层配置!$B$5:$B$104,0)),1)</f>
        <v>1</v>
      </c>
      <c r="AB375" s="4">
        <f>IFERROR(INDEX(楼层配置!$F$5:$F$104,MATCH($K375,楼层配置!$B$5:$B$104,0)),1)</f>
        <v>1</v>
      </c>
      <c r="AC375" s="4">
        <f>IFERROR(INDEX(楼层配置!$G$5:$G$104,MATCH($K375,楼层配置!$B$5:$B$104,0)),1)</f>
        <v>1</v>
      </c>
      <c r="AD375" s="6">
        <f t="shared" si="38"/>
        <v>0.0193604245615264</v>
      </c>
      <c r="AE375" s="6">
        <f t="shared" si="39"/>
        <v>0.168348909657321</v>
      </c>
      <c r="AF375" s="6">
        <f t="shared" si="40"/>
        <v>0.384234067405487</v>
      </c>
      <c r="AG375" s="4" t="str">
        <f t="shared" si="41"/>
        <v>有效</v>
      </c>
    </row>
    <row r="376" ht="14.25" customHeight="1" spans="1:33">
      <c r="A376" s="4">
        <v>372</v>
      </c>
      <c r="B376" s="4">
        <v>1017</v>
      </c>
      <c r="C376" s="4">
        <v>47</v>
      </c>
      <c r="D376" s="5">
        <f>IFERROR(ROUND($U376*$X376*$AA376*参数!$B$13,0),"")</f>
        <v>2193016</v>
      </c>
      <c r="E376" s="5">
        <f>IFERROR(ROUND($V376*$Y376*$AB376*参数!$C$13,0),"")</f>
        <v>45004</v>
      </c>
      <c r="F376" s="5">
        <f>IFERROR(ROUND($W376*$Z376*$AC376*参数!$D$13,0),"")</f>
        <v>32392</v>
      </c>
      <c r="G376" s="4">
        <v>2151364</v>
      </c>
      <c r="H376" s="4">
        <v>38520</v>
      </c>
      <c r="I376" s="4">
        <v>23400</v>
      </c>
      <c r="J376" s="4">
        <v>75</v>
      </c>
      <c r="K376" s="4">
        <v>75</v>
      </c>
      <c r="L376" s="4">
        <f>IFERROR(INDEX(楼层配置!$D$5:$D$104,MATCH($K376,楼层配置!$B$5:$B$104,0)),"")</f>
        <v>342</v>
      </c>
      <c r="M376" s="4" t="str">
        <f>IFERROR(INDEX(_角色基线!$B$2:$B$100,MATCH($B376,_角色基线!$A$2:$A$100,0)),"")</f>
        <v>伊戈尔</v>
      </c>
      <c r="N376" s="4" t="str">
        <f>IFERROR(INDEX(_角色基线!$C$2:$C$100,MATCH($B376,_角色基线!$A$2:$A$100,0)),"")</f>
        <v>DPS</v>
      </c>
      <c r="O376" s="4">
        <f>IFERROR(INDEX(_怪物基线!$B$2:$B$501,MATCH(INT($L376),_怪物基线!$A$2:$A$501,0)),"")</f>
        <v>548254</v>
      </c>
      <c r="P376" s="4">
        <f>IFERROR(INDEX(_怪物基线!$C$2:$C$501,MATCH(INT($L376),_怪物基线!$A$2:$A$501,0)),"")</f>
        <v>31253</v>
      </c>
      <c r="Q376" s="4">
        <f>IFERROR(INDEX(_怪物基线!$D$2:$D$501,MATCH(INT($L376),_怪物基线!$A$2:$A$501,0)),"")</f>
        <v>32392</v>
      </c>
      <c r="R376" s="4">
        <f>参数!$B$10</f>
        <v>4</v>
      </c>
      <c r="S376" s="4">
        <f>参数!$C$10</f>
        <v>1.2</v>
      </c>
      <c r="T376" s="4">
        <f>参数!$D$10</f>
        <v>1</v>
      </c>
      <c r="U376" s="4">
        <f t="shared" si="35"/>
        <v>2193016</v>
      </c>
      <c r="V376" s="4">
        <f t="shared" si="36"/>
        <v>37503.6</v>
      </c>
      <c r="W376" s="4">
        <f t="shared" si="37"/>
        <v>32392</v>
      </c>
      <c r="X376" s="4">
        <f>IFERROR(INDEX(参数!$B$5:$B$7,MATCH($N376,参数!$A$5:$A$7,0)),"")</f>
        <v>1</v>
      </c>
      <c r="Y376" s="4">
        <f>IFERROR(INDEX(参数!$C$5:$C$7,MATCH($N376,参数!$A$5:$A$7,0)),"")</f>
        <v>1.2</v>
      </c>
      <c r="Z376" s="4">
        <f>IFERROR(INDEX(参数!$D$5:$D$7,MATCH($N376,参数!$A$5:$A$7,0)),"")</f>
        <v>1</v>
      </c>
      <c r="AA376" s="4">
        <f>IFERROR(INDEX(楼层配置!$E$5:$E$104,MATCH($K376,楼层配置!$B$5:$B$104,0)),1)</f>
        <v>1</v>
      </c>
      <c r="AB376" s="4">
        <f>IFERROR(INDEX(楼层配置!$F$5:$F$104,MATCH($K376,楼层配置!$B$5:$B$104,0)),1)</f>
        <v>1</v>
      </c>
      <c r="AC376" s="4">
        <f>IFERROR(INDEX(楼层配置!$G$5:$G$104,MATCH($K376,楼层配置!$B$5:$B$104,0)),1)</f>
        <v>1</v>
      </c>
      <c r="AD376" s="6">
        <f t="shared" si="38"/>
        <v>0.0193607404418779</v>
      </c>
      <c r="AE376" s="6">
        <f t="shared" si="39"/>
        <v>0.168328141225337</v>
      </c>
      <c r="AF376" s="6">
        <f t="shared" si="40"/>
        <v>0.384273504273504</v>
      </c>
      <c r="AG376" s="4" t="str">
        <f t="shared" si="41"/>
        <v>有效</v>
      </c>
    </row>
    <row r="377" ht="14.25" customHeight="1" spans="1:33">
      <c r="A377" s="4">
        <v>373</v>
      </c>
      <c r="B377" s="4">
        <v>1017</v>
      </c>
      <c r="C377" s="4">
        <v>47</v>
      </c>
      <c r="D377" s="5">
        <f>IFERROR(ROUND($U377*$X377*$AA377*参数!$B$13,0),"")</f>
        <v>2193016</v>
      </c>
      <c r="E377" s="5">
        <f>IFERROR(ROUND($V377*$Y377*$AB377*参数!$C$13,0),"")</f>
        <v>45004</v>
      </c>
      <c r="F377" s="5">
        <f>IFERROR(ROUND($W377*$Z377*$AC377*参数!$D$13,0),"")</f>
        <v>32392</v>
      </c>
      <c r="G377" s="4">
        <v>2151364</v>
      </c>
      <c r="H377" s="4">
        <v>38520</v>
      </c>
      <c r="I377" s="4">
        <v>23400</v>
      </c>
      <c r="J377" s="4">
        <v>75</v>
      </c>
      <c r="K377" s="4">
        <v>75</v>
      </c>
      <c r="L377" s="4">
        <f>IFERROR(INDEX(楼层配置!$D$5:$D$104,MATCH($K377,楼层配置!$B$5:$B$104,0)),"")</f>
        <v>342</v>
      </c>
      <c r="M377" s="4" t="str">
        <f>IFERROR(INDEX(_角色基线!$B$2:$B$100,MATCH($B377,_角色基线!$A$2:$A$100,0)),"")</f>
        <v>伊戈尔</v>
      </c>
      <c r="N377" s="4" t="str">
        <f>IFERROR(INDEX(_角色基线!$C$2:$C$100,MATCH($B377,_角色基线!$A$2:$A$100,0)),"")</f>
        <v>DPS</v>
      </c>
      <c r="O377" s="4">
        <f>IFERROR(INDEX(_怪物基线!$B$2:$B$501,MATCH(INT($L377),_怪物基线!$A$2:$A$501,0)),"")</f>
        <v>548254</v>
      </c>
      <c r="P377" s="4">
        <f>IFERROR(INDEX(_怪物基线!$C$2:$C$501,MATCH(INT($L377),_怪物基线!$A$2:$A$501,0)),"")</f>
        <v>31253</v>
      </c>
      <c r="Q377" s="4">
        <f>IFERROR(INDEX(_怪物基线!$D$2:$D$501,MATCH(INT($L377),_怪物基线!$A$2:$A$501,0)),"")</f>
        <v>32392</v>
      </c>
      <c r="R377" s="4">
        <f>参数!$B$10</f>
        <v>4</v>
      </c>
      <c r="S377" s="4">
        <f>参数!$C$10</f>
        <v>1.2</v>
      </c>
      <c r="T377" s="4">
        <f>参数!$D$10</f>
        <v>1</v>
      </c>
      <c r="U377" s="4">
        <f t="shared" si="35"/>
        <v>2193016</v>
      </c>
      <c r="V377" s="4">
        <f t="shared" si="36"/>
        <v>37503.6</v>
      </c>
      <c r="W377" s="4">
        <f t="shared" si="37"/>
        <v>32392</v>
      </c>
      <c r="X377" s="4">
        <f>IFERROR(INDEX(参数!$B$5:$B$7,MATCH($N377,参数!$A$5:$A$7,0)),"")</f>
        <v>1</v>
      </c>
      <c r="Y377" s="4">
        <f>IFERROR(INDEX(参数!$C$5:$C$7,MATCH($N377,参数!$A$5:$A$7,0)),"")</f>
        <v>1.2</v>
      </c>
      <c r="Z377" s="4">
        <f>IFERROR(INDEX(参数!$D$5:$D$7,MATCH($N377,参数!$A$5:$A$7,0)),"")</f>
        <v>1</v>
      </c>
      <c r="AA377" s="4">
        <f>IFERROR(INDEX(楼层配置!$E$5:$E$104,MATCH($K377,楼层配置!$B$5:$B$104,0)),1)</f>
        <v>1</v>
      </c>
      <c r="AB377" s="4">
        <f>IFERROR(INDEX(楼层配置!$F$5:$F$104,MATCH($K377,楼层配置!$B$5:$B$104,0)),1)</f>
        <v>1</v>
      </c>
      <c r="AC377" s="4">
        <f>IFERROR(INDEX(楼层配置!$G$5:$G$104,MATCH($K377,楼层配置!$B$5:$B$104,0)),1)</f>
        <v>1</v>
      </c>
      <c r="AD377" s="6">
        <f t="shared" si="38"/>
        <v>0.0193607404418779</v>
      </c>
      <c r="AE377" s="6">
        <f t="shared" si="39"/>
        <v>0.168328141225337</v>
      </c>
      <c r="AF377" s="6">
        <f t="shared" si="40"/>
        <v>0.384273504273504</v>
      </c>
      <c r="AG377" s="4" t="str">
        <f t="shared" si="41"/>
        <v>有效</v>
      </c>
    </row>
    <row r="378" ht="14.25" customHeight="1" spans="1:33">
      <c r="A378" s="4">
        <v>374</v>
      </c>
      <c r="B378" s="4">
        <v>1007</v>
      </c>
      <c r="C378" s="4">
        <v>47</v>
      </c>
      <c r="D378" s="5">
        <f>IFERROR(ROUND($U378*$X378*$AA378*参数!$B$13,0),"")</f>
        <v>2741270</v>
      </c>
      <c r="E378" s="5">
        <f>IFERROR(ROUND($V378*$Y378*$AB378*参数!$C$13,0),"")</f>
        <v>37504</v>
      </c>
      <c r="F378" s="5">
        <f>IFERROR(ROUND($W378*$Z378*$AC378*参数!$D$13,0),"")</f>
        <v>40490</v>
      </c>
      <c r="G378" s="4">
        <v>2689206</v>
      </c>
      <c r="H378" s="4">
        <v>32100</v>
      </c>
      <c r="I378" s="4">
        <v>29251</v>
      </c>
      <c r="J378" s="4">
        <v>75</v>
      </c>
      <c r="K378" s="4">
        <v>75</v>
      </c>
      <c r="L378" s="4">
        <f>IFERROR(INDEX(楼层配置!$D$5:$D$104,MATCH($K378,楼层配置!$B$5:$B$104,0)),"")</f>
        <v>342</v>
      </c>
      <c r="M378" s="4" t="str">
        <f>IFERROR(INDEX(_角色基线!$B$2:$B$100,MATCH($B378,_角色基线!$A$2:$A$100,0)),"")</f>
        <v>萨萨莉安</v>
      </c>
      <c r="N378" s="4" t="str">
        <f>IFERROR(INDEX(_角色基线!$C$2:$C$100,MATCH($B378,_角色基线!$A$2:$A$100,0)),"")</f>
        <v>Support</v>
      </c>
      <c r="O378" s="4">
        <f>IFERROR(INDEX(_怪物基线!$B$2:$B$501,MATCH(INT($L378),_怪物基线!$A$2:$A$501,0)),"")</f>
        <v>548254</v>
      </c>
      <c r="P378" s="4">
        <f>IFERROR(INDEX(_怪物基线!$C$2:$C$501,MATCH(INT($L378),_怪物基线!$A$2:$A$501,0)),"")</f>
        <v>31253</v>
      </c>
      <c r="Q378" s="4">
        <f>IFERROR(INDEX(_怪物基线!$D$2:$D$501,MATCH(INT($L378),_怪物基线!$A$2:$A$501,0)),"")</f>
        <v>32392</v>
      </c>
      <c r="R378" s="4">
        <f>参数!$B$10</f>
        <v>4</v>
      </c>
      <c r="S378" s="4">
        <f>参数!$C$10</f>
        <v>1.2</v>
      </c>
      <c r="T378" s="4">
        <f>参数!$D$10</f>
        <v>1</v>
      </c>
      <c r="U378" s="4">
        <f t="shared" si="35"/>
        <v>2193016</v>
      </c>
      <c r="V378" s="4">
        <f t="shared" si="36"/>
        <v>37503.6</v>
      </c>
      <c r="W378" s="4">
        <f t="shared" si="37"/>
        <v>32392</v>
      </c>
      <c r="X378" s="4">
        <f>IFERROR(INDEX(参数!$B$5:$B$7,MATCH($N378,参数!$A$5:$A$7,0)),"")</f>
        <v>1.25</v>
      </c>
      <c r="Y378" s="4">
        <f>IFERROR(INDEX(参数!$C$5:$C$7,MATCH($N378,参数!$A$5:$A$7,0)),"")</f>
        <v>1</v>
      </c>
      <c r="Z378" s="4">
        <f>IFERROR(INDEX(参数!$D$5:$D$7,MATCH($N378,参数!$A$5:$A$7,0)),"")</f>
        <v>1.25</v>
      </c>
      <c r="AA378" s="4">
        <f>IFERROR(INDEX(楼层配置!$E$5:$E$104,MATCH($K378,楼层配置!$B$5:$B$104,0)),1)</f>
        <v>1</v>
      </c>
      <c r="AB378" s="4">
        <f>IFERROR(INDEX(楼层配置!$F$5:$F$104,MATCH($K378,楼层配置!$B$5:$B$104,0)),1)</f>
        <v>1</v>
      </c>
      <c r="AC378" s="4">
        <f>IFERROR(INDEX(楼层配置!$G$5:$G$104,MATCH($K378,楼层配置!$B$5:$B$104,0)),1)</f>
        <v>1</v>
      </c>
      <c r="AD378" s="6">
        <f t="shared" si="38"/>
        <v>0.0193603613854796</v>
      </c>
      <c r="AE378" s="6">
        <f t="shared" si="39"/>
        <v>0.168348909657321</v>
      </c>
      <c r="AF378" s="6">
        <f t="shared" si="40"/>
        <v>0.384226180301528</v>
      </c>
      <c r="AG378" s="4" t="str">
        <f t="shared" si="41"/>
        <v>有效</v>
      </c>
    </row>
    <row r="379" ht="14.25" customHeight="1" spans="1:33">
      <c r="A379" s="4">
        <v>375</v>
      </c>
      <c r="B379" s="4">
        <v>1015</v>
      </c>
      <c r="C379" s="4">
        <v>47</v>
      </c>
      <c r="D379" s="5">
        <f>IFERROR(ROUND($U379*$X379*$AA379*参数!$B$13,0),"")</f>
        <v>2741270</v>
      </c>
      <c r="E379" s="5">
        <f>IFERROR(ROUND($V379*$Y379*$AB379*参数!$C$13,0),"")</f>
        <v>37504</v>
      </c>
      <c r="F379" s="5">
        <f>IFERROR(ROUND($W379*$Z379*$AC379*参数!$D$13,0),"")</f>
        <v>40490</v>
      </c>
      <c r="G379" s="4">
        <v>2689206</v>
      </c>
      <c r="H379" s="4">
        <v>32100</v>
      </c>
      <c r="I379" s="4">
        <v>29251</v>
      </c>
      <c r="J379" s="4">
        <v>75</v>
      </c>
      <c r="K379" s="4">
        <v>75</v>
      </c>
      <c r="L379" s="4">
        <f>IFERROR(INDEX(楼层配置!$D$5:$D$104,MATCH($K379,楼层配置!$B$5:$B$104,0)),"")</f>
        <v>342</v>
      </c>
      <c r="M379" s="4" t="str">
        <f>IFERROR(INDEX(_角色基线!$B$2:$B$100,MATCH($B379,_角色基线!$A$2:$A$100,0)),"")</f>
        <v>阿莱克西娅</v>
      </c>
      <c r="N379" s="4" t="str">
        <f>IFERROR(INDEX(_角色基线!$C$2:$C$100,MATCH($B379,_角色基线!$A$2:$A$100,0)),"")</f>
        <v>Support</v>
      </c>
      <c r="O379" s="4">
        <f>IFERROR(INDEX(_怪物基线!$B$2:$B$501,MATCH(INT($L379),_怪物基线!$A$2:$A$501,0)),"")</f>
        <v>548254</v>
      </c>
      <c r="P379" s="4">
        <f>IFERROR(INDEX(_怪物基线!$C$2:$C$501,MATCH(INT($L379),_怪物基线!$A$2:$A$501,0)),"")</f>
        <v>31253</v>
      </c>
      <c r="Q379" s="4">
        <f>IFERROR(INDEX(_怪物基线!$D$2:$D$501,MATCH(INT($L379),_怪物基线!$A$2:$A$501,0)),"")</f>
        <v>32392</v>
      </c>
      <c r="R379" s="4">
        <f>参数!$B$10</f>
        <v>4</v>
      </c>
      <c r="S379" s="4">
        <f>参数!$C$10</f>
        <v>1.2</v>
      </c>
      <c r="T379" s="4">
        <f>参数!$D$10</f>
        <v>1</v>
      </c>
      <c r="U379" s="4">
        <f t="shared" si="35"/>
        <v>2193016</v>
      </c>
      <c r="V379" s="4">
        <f t="shared" si="36"/>
        <v>37503.6</v>
      </c>
      <c r="W379" s="4">
        <f t="shared" si="37"/>
        <v>32392</v>
      </c>
      <c r="X379" s="4">
        <f>IFERROR(INDEX(参数!$B$5:$B$7,MATCH($N379,参数!$A$5:$A$7,0)),"")</f>
        <v>1.25</v>
      </c>
      <c r="Y379" s="4">
        <f>IFERROR(INDEX(参数!$C$5:$C$7,MATCH($N379,参数!$A$5:$A$7,0)),"")</f>
        <v>1</v>
      </c>
      <c r="Z379" s="4">
        <f>IFERROR(INDEX(参数!$D$5:$D$7,MATCH($N379,参数!$A$5:$A$7,0)),"")</f>
        <v>1.25</v>
      </c>
      <c r="AA379" s="4">
        <f>IFERROR(INDEX(楼层配置!$E$5:$E$104,MATCH($K379,楼层配置!$B$5:$B$104,0)),1)</f>
        <v>1</v>
      </c>
      <c r="AB379" s="4">
        <f>IFERROR(INDEX(楼层配置!$F$5:$F$104,MATCH($K379,楼层配置!$B$5:$B$104,0)),1)</f>
        <v>1</v>
      </c>
      <c r="AC379" s="4">
        <f>IFERROR(INDEX(楼层配置!$G$5:$G$104,MATCH($K379,楼层配置!$B$5:$B$104,0)),1)</f>
        <v>1</v>
      </c>
      <c r="AD379" s="6">
        <f t="shared" si="38"/>
        <v>0.0193603613854796</v>
      </c>
      <c r="AE379" s="6">
        <f t="shared" si="39"/>
        <v>0.168348909657321</v>
      </c>
      <c r="AF379" s="6">
        <f t="shared" si="40"/>
        <v>0.384226180301528</v>
      </c>
      <c r="AG379" s="4" t="str">
        <f t="shared" si="41"/>
        <v>有效</v>
      </c>
    </row>
    <row r="380" ht="14.25" customHeight="1" spans="1:33">
      <c r="A380" s="4">
        <v>376</v>
      </c>
      <c r="B380" s="4">
        <v>1003</v>
      </c>
      <c r="C380" s="4">
        <v>48</v>
      </c>
      <c r="D380" s="5">
        <f>IFERROR(ROUND($U380*$X380*$AA380*参数!$B$13,0),"")</f>
        <v>3316524</v>
      </c>
      <c r="E380" s="5">
        <f>IFERROR(ROUND($V380*$Y380*$AB380*参数!$C$13,0),"")</f>
        <v>37746</v>
      </c>
      <c r="F380" s="5">
        <f>IFERROR(ROUND($W380*$Z380*$AC380*参数!$D$13,0),"")</f>
        <v>48789</v>
      </c>
      <c r="G380" s="4">
        <v>3368325</v>
      </c>
      <c r="H380" s="4">
        <v>33164</v>
      </c>
      <c r="I380" s="4">
        <v>35874</v>
      </c>
      <c r="J380" s="4">
        <v>76</v>
      </c>
      <c r="K380" s="4">
        <v>76</v>
      </c>
      <c r="L380" s="4">
        <f>IFERROR(INDEX(楼层配置!$D$5:$D$104,MATCH($K380,楼层配置!$B$5:$B$104,0)),"")</f>
        <v>343</v>
      </c>
      <c r="M380" s="4" t="str">
        <f>IFERROR(INDEX(_角色基线!$B$2:$B$100,MATCH($B380,_角色基线!$A$2:$A$100,0)),"")</f>
        <v>塔拉夏</v>
      </c>
      <c r="N380" s="4" t="str">
        <f>IFERROR(INDEX(_角色基线!$C$2:$C$100,MATCH($B380,_角色基线!$A$2:$A$100,0)),"")</f>
        <v>Tank</v>
      </c>
      <c r="O380" s="4">
        <f>IFERROR(INDEX(_怪物基线!$B$2:$B$501,MATCH(INT($L380),_怪物基线!$A$2:$A$501,0)),"")</f>
        <v>552754</v>
      </c>
      <c r="P380" s="4">
        <f>IFERROR(INDEX(_怪物基线!$C$2:$C$501,MATCH(INT($L380),_怪物基线!$A$2:$A$501,0)),"")</f>
        <v>31455</v>
      </c>
      <c r="Q380" s="4">
        <f>IFERROR(INDEX(_怪物基线!$D$2:$D$501,MATCH(INT($L380),_怪物基线!$A$2:$A$501,0)),"")</f>
        <v>32526</v>
      </c>
      <c r="R380" s="4">
        <f>参数!$B$10</f>
        <v>4</v>
      </c>
      <c r="S380" s="4">
        <f>参数!$C$10</f>
        <v>1.2</v>
      </c>
      <c r="T380" s="4">
        <f>参数!$D$10</f>
        <v>1</v>
      </c>
      <c r="U380" s="4">
        <f t="shared" si="35"/>
        <v>2211016</v>
      </c>
      <c r="V380" s="4">
        <f t="shared" si="36"/>
        <v>37746</v>
      </c>
      <c r="W380" s="4">
        <f t="shared" si="37"/>
        <v>32526</v>
      </c>
      <c r="X380" s="4">
        <f>IFERROR(INDEX(参数!$B$5:$B$7,MATCH($N380,参数!$A$5:$A$7,0)),"")</f>
        <v>1.5</v>
      </c>
      <c r="Y380" s="4">
        <f>IFERROR(INDEX(参数!$C$5:$C$7,MATCH($N380,参数!$A$5:$A$7,0)),"")</f>
        <v>1</v>
      </c>
      <c r="Z380" s="4">
        <f>IFERROR(INDEX(参数!$D$5:$D$7,MATCH($N380,参数!$A$5:$A$7,0)),"")</f>
        <v>1.5</v>
      </c>
      <c r="AA380" s="4">
        <f>IFERROR(INDEX(楼层配置!$E$5:$E$104,MATCH($K380,楼层配置!$B$5:$B$104,0)),1)</f>
        <v>1</v>
      </c>
      <c r="AB380" s="4">
        <f>IFERROR(INDEX(楼层配置!$F$5:$F$104,MATCH($K380,楼层配置!$B$5:$B$104,0)),1)</f>
        <v>1</v>
      </c>
      <c r="AC380" s="4">
        <f>IFERROR(INDEX(楼层配置!$G$5:$G$104,MATCH($K380,楼层配置!$B$5:$B$104,0)),1)</f>
        <v>1</v>
      </c>
      <c r="AD380" s="6">
        <f t="shared" si="38"/>
        <v>-0.0153788604128164</v>
      </c>
      <c r="AE380" s="6">
        <f t="shared" si="39"/>
        <v>0.138161862260282</v>
      </c>
      <c r="AF380" s="6">
        <f t="shared" si="40"/>
        <v>0.36001003512293</v>
      </c>
      <c r="AG380" s="4" t="str">
        <f t="shared" si="41"/>
        <v>有效</v>
      </c>
    </row>
    <row r="381" ht="14.25" customHeight="1" spans="1:33">
      <c r="A381" s="4">
        <v>377</v>
      </c>
      <c r="B381" s="4">
        <v>1007</v>
      </c>
      <c r="C381" s="4">
        <v>48</v>
      </c>
      <c r="D381" s="5">
        <f>IFERROR(ROUND($U381*$X381*$AA381*参数!$B$13,0),"")</f>
        <v>2763770</v>
      </c>
      <c r="E381" s="5">
        <f>IFERROR(ROUND($V381*$Y381*$AB381*参数!$C$13,0),"")</f>
        <v>37746</v>
      </c>
      <c r="F381" s="5">
        <f>IFERROR(ROUND($W381*$Z381*$AC381*参数!$D$13,0),"")</f>
        <v>40658</v>
      </c>
      <c r="G381" s="4">
        <v>2806938</v>
      </c>
      <c r="H381" s="4">
        <v>33164</v>
      </c>
      <c r="I381" s="4">
        <v>29895</v>
      </c>
      <c r="J381" s="4">
        <v>76</v>
      </c>
      <c r="K381" s="4">
        <v>76</v>
      </c>
      <c r="L381" s="4">
        <f>IFERROR(INDEX(楼层配置!$D$5:$D$104,MATCH($K381,楼层配置!$B$5:$B$104,0)),"")</f>
        <v>343</v>
      </c>
      <c r="M381" s="4" t="str">
        <f>IFERROR(INDEX(_角色基线!$B$2:$B$100,MATCH($B381,_角色基线!$A$2:$A$100,0)),"")</f>
        <v>萨萨莉安</v>
      </c>
      <c r="N381" s="4" t="str">
        <f>IFERROR(INDEX(_角色基线!$C$2:$C$100,MATCH($B381,_角色基线!$A$2:$A$100,0)),"")</f>
        <v>Support</v>
      </c>
      <c r="O381" s="4">
        <f>IFERROR(INDEX(_怪物基线!$B$2:$B$501,MATCH(INT($L381),_怪物基线!$A$2:$A$501,0)),"")</f>
        <v>552754</v>
      </c>
      <c r="P381" s="4">
        <f>IFERROR(INDEX(_怪物基线!$C$2:$C$501,MATCH(INT($L381),_怪物基线!$A$2:$A$501,0)),"")</f>
        <v>31455</v>
      </c>
      <c r="Q381" s="4">
        <f>IFERROR(INDEX(_怪物基线!$D$2:$D$501,MATCH(INT($L381),_怪物基线!$A$2:$A$501,0)),"")</f>
        <v>32526</v>
      </c>
      <c r="R381" s="4">
        <f>参数!$B$10</f>
        <v>4</v>
      </c>
      <c r="S381" s="4">
        <f>参数!$C$10</f>
        <v>1.2</v>
      </c>
      <c r="T381" s="4">
        <f>参数!$D$10</f>
        <v>1</v>
      </c>
      <c r="U381" s="4">
        <f t="shared" si="35"/>
        <v>2211016</v>
      </c>
      <c r="V381" s="4">
        <f t="shared" si="36"/>
        <v>37746</v>
      </c>
      <c r="W381" s="4">
        <f t="shared" si="37"/>
        <v>32526</v>
      </c>
      <c r="X381" s="4">
        <f>IFERROR(INDEX(参数!$B$5:$B$7,MATCH($N381,参数!$A$5:$A$7,0)),"")</f>
        <v>1.25</v>
      </c>
      <c r="Y381" s="4">
        <f>IFERROR(INDEX(参数!$C$5:$C$7,MATCH($N381,参数!$A$5:$A$7,0)),"")</f>
        <v>1</v>
      </c>
      <c r="Z381" s="4">
        <f>IFERROR(INDEX(参数!$D$5:$D$7,MATCH($N381,参数!$A$5:$A$7,0)),"")</f>
        <v>1.25</v>
      </c>
      <c r="AA381" s="4">
        <f>IFERROR(INDEX(楼层配置!$E$5:$E$104,MATCH($K381,楼层配置!$B$5:$B$104,0)),1)</f>
        <v>1</v>
      </c>
      <c r="AB381" s="4">
        <f>IFERROR(INDEX(楼层配置!$F$5:$F$104,MATCH($K381,楼层配置!$B$5:$B$104,0)),1)</f>
        <v>1</v>
      </c>
      <c r="AC381" s="4">
        <f>IFERROR(INDEX(楼层配置!$G$5:$G$104,MATCH($K381,楼层配置!$B$5:$B$104,0)),1)</f>
        <v>1</v>
      </c>
      <c r="AD381" s="6">
        <f t="shared" si="38"/>
        <v>-0.015379035803427</v>
      </c>
      <c r="AE381" s="6">
        <f t="shared" si="39"/>
        <v>0.138161862260282</v>
      </c>
      <c r="AF381" s="6">
        <f t="shared" si="40"/>
        <v>0.360026760327814</v>
      </c>
      <c r="AG381" s="4" t="str">
        <f t="shared" si="41"/>
        <v>有效</v>
      </c>
    </row>
    <row r="382" ht="14.25" customHeight="1" spans="1:33">
      <c r="A382" s="4">
        <v>378</v>
      </c>
      <c r="B382" s="4">
        <v>1006</v>
      </c>
      <c r="C382" s="4">
        <v>48</v>
      </c>
      <c r="D382" s="5">
        <f>IFERROR(ROUND($U382*$X382*$AA382*参数!$B$13,0),"")</f>
        <v>2211016</v>
      </c>
      <c r="E382" s="5">
        <f>IFERROR(ROUND($V382*$Y382*$AB382*参数!$C$13,0),"")</f>
        <v>45295</v>
      </c>
      <c r="F382" s="5">
        <f>IFERROR(ROUND($W382*$Z382*$AC382*参数!$D$13,0),"")</f>
        <v>32526</v>
      </c>
      <c r="G382" s="4">
        <v>2245550</v>
      </c>
      <c r="H382" s="4">
        <v>39796</v>
      </c>
      <c r="I382" s="4">
        <v>23916</v>
      </c>
      <c r="J382" s="4">
        <v>76</v>
      </c>
      <c r="K382" s="4">
        <v>76</v>
      </c>
      <c r="L382" s="4">
        <f>IFERROR(INDEX(楼层配置!$D$5:$D$104,MATCH($K382,楼层配置!$B$5:$B$104,0)),"")</f>
        <v>343</v>
      </c>
      <c r="M382" s="4" t="str">
        <f>IFERROR(INDEX(_角色基线!$B$2:$B$100,MATCH($B382,_角色基线!$A$2:$A$100,0)),"")</f>
        <v>莉莉娅</v>
      </c>
      <c r="N382" s="4" t="str">
        <f>IFERROR(INDEX(_角色基线!$C$2:$C$100,MATCH($B382,_角色基线!$A$2:$A$100,0)),"")</f>
        <v>DPS</v>
      </c>
      <c r="O382" s="4">
        <f>IFERROR(INDEX(_怪物基线!$B$2:$B$501,MATCH(INT($L382),_怪物基线!$A$2:$A$501,0)),"")</f>
        <v>552754</v>
      </c>
      <c r="P382" s="4">
        <f>IFERROR(INDEX(_怪物基线!$C$2:$C$501,MATCH(INT($L382),_怪物基线!$A$2:$A$501,0)),"")</f>
        <v>31455</v>
      </c>
      <c r="Q382" s="4">
        <f>IFERROR(INDEX(_怪物基线!$D$2:$D$501,MATCH(INT($L382),_怪物基线!$A$2:$A$501,0)),"")</f>
        <v>32526</v>
      </c>
      <c r="R382" s="4">
        <f>参数!$B$10</f>
        <v>4</v>
      </c>
      <c r="S382" s="4">
        <f>参数!$C$10</f>
        <v>1.2</v>
      </c>
      <c r="T382" s="4">
        <f>参数!$D$10</f>
        <v>1</v>
      </c>
      <c r="U382" s="4">
        <f t="shared" si="35"/>
        <v>2211016</v>
      </c>
      <c r="V382" s="4">
        <f t="shared" si="36"/>
        <v>37746</v>
      </c>
      <c r="W382" s="4">
        <f t="shared" si="37"/>
        <v>32526</v>
      </c>
      <c r="X382" s="4">
        <f>IFERROR(INDEX(参数!$B$5:$B$7,MATCH($N382,参数!$A$5:$A$7,0)),"")</f>
        <v>1</v>
      </c>
      <c r="Y382" s="4">
        <f>IFERROR(INDEX(参数!$C$5:$C$7,MATCH($N382,参数!$A$5:$A$7,0)),"")</f>
        <v>1.2</v>
      </c>
      <c r="Z382" s="4">
        <f>IFERROR(INDEX(参数!$D$5:$D$7,MATCH($N382,参数!$A$5:$A$7,0)),"")</f>
        <v>1</v>
      </c>
      <c r="AA382" s="4">
        <f>IFERROR(INDEX(楼层配置!$E$5:$E$104,MATCH($K382,楼层配置!$B$5:$B$104,0)),1)</f>
        <v>1</v>
      </c>
      <c r="AB382" s="4">
        <f>IFERROR(INDEX(楼层配置!$F$5:$F$104,MATCH($K382,楼层配置!$B$5:$B$104,0)),1)</f>
        <v>1</v>
      </c>
      <c r="AC382" s="4">
        <f>IFERROR(INDEX(楼层配置!$G$5:$G$104,MATCH($K382,楼层配置!$B$5:$B$104,0)),1)</f>
        <v>1</v>
      </c>
      <c r="AD382" s="6">
        <f t="shared" si="38"/>
        <v>-0.0153788604128164</v>
      </c>
      <c r="AE382" s="6">
        <f t="shared" si="39"/>
        <v>0.138179716554428</v>
      </c>
      <c r="AF382" s="6">
        <f t="shared" si="40"/>
        <v>0.36001003512293</v>
      </c>
      <c r="AG382" s="4" t="str">
        <f t="shared" si="41"/>
        <v>有效</v>
      </c>
    </row>
    <row r="383" ht="14.25" customHeight="1" spans="1:33">
      <c r="A383" s="4">
        <v>379</v>
      </c>
      <c r="B383" s="4">
        <v>1008</v>
      </c>
      <c r="C383" s="4">
        <v>48</v>
      </c>
      <c r="D383" s="5">
        <f>IFERROR(ROUND($U383*$X383*$AA383*参数!$B$13,0),"")</f>
        <v>2211016</v>
      </c>
      <c r="E383" s="5">
        <f>IFERROR(ROUND($V383*$Y383*$AB383*参数!$C$13,0),"")</f>
        <v>45295</v>
      </c>
      <c r="F383" s="5">
        <f>IFERROR(ROUND($W383*$Z383*$AC383*参数!$D$13,0),"")</f>
        <v>32526</v>
      </c>
      <c r="G383" s="4">
        <v>2245550</v>
      </c>
      <c r="H383" s="4">
        <v>39796</v>
      </c>
      <c r="I383" s="4">
        <v>23916</v>
      </c>
      <c r="J383" s="4">
        <v>76</v>
      </c>
      <c r="K383" s="4">
        <v>76</v>
      </c>
      <c r="L383" s="4">
        <f>IFERROR(INDEX(楼层配置!$D$5:$D$104,MATCH($K383,楼层配置!$B$5:$B$104,0)),"")</f>
        <v>343</v>
      </c>
      <c r="M383" s="4" t="str">
        <f>IFERROR(INDEX(_角色基线!$B$2:$B$100,MATCH($B383,_角色基线!$A$2:$A$100,0)),"")</f>
        <v>薇</v>
      </c>
      <c r="N383" s="4" t="str">
        <f>IFERROR(INDEX(_角色基线!$C$2:$C$100,MATCH($B383,_角色基线!$A$2:$A$100,0)),"")</f>
        <v>DPS</v>
      </c>
      <c r="O383" s="4">
        <f>IFERROR(INDEX(_怪物基线!$B$2:$B$501,MATCH(INT($L383),_怪物基线!$A$2:$A$501,0)),"")</f>
        <v>552754</v>
      </c>
      <c r="P383" s="4">
        <f>IFERROR(INDEX(_怪物基线!$C$2:$C$501,MATCH(INT($L383),_怪物基线!$A$2:$A$501,0)),"")</f>
        <v>31455</v>
      </c>
      <c r="Q383" s="4">
        <f>IFERROR(INDEX(_怪物基线!$D$2:$D$501,MATCH(INT($L383),_怪物基线!$A$2:$A$501,0)),"")</f>
        <v>32526</v>
      </c>
      <c r="R383" s="4">
        <f>参数!$B$10</f>
        <v>4</v>
      </c>
      <c r="S383" s="4">
        <f>参数!$C$10</f>
        <v>1.2</v>
      </c>
      <c r="T383" s="4">
        <f>参数!$D$10</f>
        <v>1</v>
      </c>
      <c r="U383" s="4">
        <f t="shared" si="35"/>
        <v>2211016</v>
      </c>
      <c r="V383" s="4">
        <f t="shared" si="36"/>
        <v>37746</v>
      </c>
      <c r="W383" s="4">
        <f t="shared" si="37"/>
        <v>32526</v>
      </c>
      <c r="X383" s="4">
        <f>IFERROR(INDEX(参数!$B$5:$B$7,MATCH($N383,参数!$A$5:$A$7,0)),"")</f>
        <v>1</v>
      </c>
      <c r="Y383" s="4">
        <f>IFERROR(INDEX(参数!$C$5:$C$7,MATCH($N383,参数!$A$5:$A$7,0)),"")</f>
        <v>1.2</v>
      </c>
      <c r="Z383" s="4">
        <f>IFERROR(INDEX(参数!$D$5:$D$7,MATCH($N383,参数!$A$5:$A$7,0)),"")</f>
        <v>1</v>
      </c>
      <c r="AA383" s="4">
        <f>IFERROR(INDEX(楼层配置!$E$5:$E$104,MATCH($K383,楼层配置!$B$5:$B$104,0)),1)</f>
        <v>1</v>
      </c>
      <c r="AB383" s="4">
        <f>IFERROR(INDEX(楼层配置!$F$5:$F$104,MATCH($K383,楼层配置!$B$5:$B$104,0)),1)</f>
        <v>1</v>
      </c>
      <c r="AC383" s="4">
        <f>IFERROR(INDEX(楼层配置!$G$5:$G$104,MATCH($K383,楼层配置!$B$5:$B$104,0)),1)</f>
        <v>1</v>
      </c>
      <c r="AD383" s="6">
        <f t="shared" si="38"/>
        <v>-0.0153788604128164</v>
      </c>
      <c r="AE383" s="6">
        <f t="shared" si="39"/>
        <v>0.138179716554428</v>
      </c>
      <c r="AF383" s="6">
        <f t="shared" si="40"/>
        <v>0.36001003512293</v>
      </c>
      <c r="AG383" s="4" t="str">
        <f t="shared" si="41"/>
        <v>有效</v>
      </c>
    </row>
    <row r="384" ht="14.25" customHeight="1" spans="1:33">
      <c r="A384" s="4">
        <v>380</v>
      </c>
      <c r="B384" s="4">
        <v>1017</v>
      </c>
      <c r="C384" s="4">
        <v>48</v>
      </c>
      <c r="D384" s="5">
        <f>IFERROR(ROUND($U384*$X384*$AA384*参数!$B$13,0),"")</f>
        <v>2211016</v>
      </c>
      <c r="E384" s="5">
        <f>IFERROR(ROUND($V384*$Y384*$AB384*参数!$C$13,0),"")</f>
        <v>45295</v>
      </c>
      <c r="F384" s="5">
        <f>IFERROR(ROUND($W384*$Z384*$AC384*参数!$D$13,0),"")</f>
        <v>32526</v>
      </c>
      <c r="G384" s="4">
        <v>2245550</v>
      </c>
      <c r="H384" s="4">
        <v>39796</v>
      </c>
      <c r="I384" s="4">
        <v>23916</v>
      </c>
      <c r="J384" s="4">
        <v>76</v>
      </c>
      <c r="K384" s="4">
        <v>76</v>
      </c>
      <c r="L384" s="4">
        <f>IFERROR(INDEX(楼层配置!$D$5:$D$104,MATCH($K384,楼层配置!$B$5:$B$104,0)),"")</f>
        <v>343</v>
      </c>
      <c r="M384" s="4" t="str">
        <f>IFERROR(INDEX(_角色基线!$B$2:$B$100,MATCH($B384,_角色基线!$A$2:$A$100,0)),"")</f>
        <v>伊戈尔</v>
      </c>
      <c r="N384" s="4" t="str">
        <f>IFERROR(INDEX(_角色基线!$C$2:$C$100,MATCH($B384,_角色基线!$A$2:$A$100,0)),"")</f>
        <v>DPS</v>
      </c>
      <c r="O384" s="4">
        <f>IFERROR(INDEX(_怪物基线!$B$2:$B$501,MATCH(INT($L384),_怪物基线!$A$2:$A$501,0)),"")</f>
        <v>552754</v>
      </c>
      <c r="P384" s="4">
        <f>IFERROR(INDEX(_怪物基线!$C$2:$C$501,MATCH(INT($L384),_怪物基线!$A$2:$A$501,0)),"")</f>
        <v>31455</v>
      </c>
      <c r="Q384" s="4">
        <f>IFERROR(INDEX(_怪物基线!$D$2:$D$501,MATCH(INT($L384),_怪物基线!$A$2:$A$501,0)),"")</f>
        <v>32526</v>
      </c>
      <c r="R384" s="4">
        <f>参数!$B$10</f>
        <v>4</v>
      </c>
      <c r="S384" s="4">
        <f>参数!$C$10</f>
        <v>1.2</v>
      </c>
      <c r="T384" s="4">
        <f>参数!$D$10</f>
        <v>1</v>
      </c>
      <c r="U384" s="4">
        <f t="shared" si="35"/>
        <v>2211016</v>
      </c>
      <c r="V384" s="4">
        <f t="shared" si="36"/>
        <v>37746</v>
      </c>
      <c r="W384" s="4">
        <f t="shared" si="37"/>
        <v>32526</v>
      </c>
      <c r="X384" s="4">
        <f>IFERROR(INDEX(参数!$B$5:$B$7,MATCH($N384,参数!$A$5:$A$7,0)),"")</f>
        <v>1</v>
      </c>
      <c r="Y384" s="4">
        <f>IFERROR(INDEX(参数!$C$5:$C$7,MATCH($N384,参数!$A$5:$A$7,0)),"")</f>
        <v>1.2</v>
      </c>
      <c r="Z384" s="4">
        <f>IFERROR(INDEX(参数!$D$5:$D$7,MATCH($N384,参数!$A$5:$A$7,0)),"")</f>
        <v>1</v>
      </c>
      <c r="AA384" s="4">
        <f>IFERROR(INDEX(楼层配置!$E$5:$E$104,MATCH($K384,楼层配置!$B$5:$B$104,0)),1)</f>
        <v>1</v>
      </c>
      <c r="AB384" s="4">
        <f>IFERROR(INDEX(楼层配置!$F$5:$F$104,MATCH($K384,楼层配置!$B$5:$B$104,0)),1)</f>
        <v>1</v>
      </c>
      <c r="AC384" s="4">
        <f>IFERROR(INDEX(楼层配置!$G$5:$G$104,MATCH($K384,楼层配置!$B$5:$B$104,0)),1)</f>
        <v>1</v>
      </c>
      <c r="AD384" s="6">
        <f t="shared" si="38"/>
        <v>-0.0153788604128164</v>
      </c>
      <c r="AE384" s="6">
        <f t="shared" si="39"/>
        <v>0.138179716554428</v>
      </c>
      <c r="AF384" s="6">
        <f t="shared" si="40"/>
        <v>0.36001003512293</v>
      </c>
      <c r="AG384" s="4" t="str">
        <f t="shared" si="41"/>
        <v>有效</v>
      </c>
    </row>
    <row r="385" ht="14.25" customHeight="1" spans="1:33">
      <c r="A385" s="4">
        <v>381</v>
      </c>
      <c r="B385" s="4">
        <v>1004</v>
      </c>
      <c r="C385" s="4">
        <v>48</v>
      </c>
      <c r="D385" s="5">
        <f>IFERROR(ROUND($U385*$X385*$AA385*参数!$B$13,0),"")</f>
        <v>3371022</v>
      </c>
      <c r="E385" s="5">
        <f>IFERROR(ROUND($V385*$Y385*$AB385*参数!$C$13,0),"")</f>
        <v>38233</v>
      </c>
      <c r="F385" s="5">
        <f>IFERROR(ROUND($W385*$Z385*$AC385*参数!$D$13,0),"")</f>
        <v>49191</v>
      </c>
      <c r="G385" s="4">
        <v>3484605</v>
      </c>
      <c r="H385" s="4">
        <v>34039</v>
      </c>
      <c r="I385" s="4">
        <v>36495</v>
      </c>
      <c r="J385" s="4">
        <v>77</v>
      </c>
      <c r="K385" s="4">
        <v>77</v>
      </c>
      <c r="L385" s="4">
        <f>IFERROR(INDEX(楼层配置!$D$5:$D$104,MATCH($K385,楼层配置!$B$5:$B$104,0)),"")</f>
        <v>345</v>
      </c>
      <c r="M385" s="4" t="str">
        <f>IFERROR(INDEX(_角色基线!$B$2:$B$100,MATCH($B385,_角色基线!$A$2:$A$100,0)),"")</f>
        <v>阿芭</v>
      </c>
      <c r="N385" s="4" t="str">
        <f>IFERROR(INDEX(_角色基线!$C$2:$C$100,MATCH($B385,_角色基线!$A$2:$A$100,0)),"")</f>
        <v>Tank</v>
      </c>
      <c r="O385" s="4">
        <f>IFERROR(INDEX(_怪物基线!$B$2:$B$501,MATCH(INT($L385),_怪物基线!$A$2:$A$501,0)),"")</f>
        <v>561837</v>
      </c>
      <c r="P385" s="4">
        <f>IFERROR(INDEX(_怪物基线!$C$2:$C$501,MATCH(INT($L385),_怪物基线!$A$2:$A$501,0)),"")</f>
        <v>31861</v>
      </c>
      <c r="Q385" s="4">
        <f>IFERROR(INDEX(_怪物基线!$D$2:$D$501,MATCH(INT($L385),_怪物基线!$A$2:$A$501,0)),"")</f>
        <v>32794</v>
      </c>
      <c r="R385" s="4">
        <f>参数!$B$10</f>
        <v>4</v>
      </c>
      <c r="S385" s="4">
        <f>参数!$C$10</f>
        <v>1.2</v>
      </c>
      <c r="T385" s="4">
        <f>参数!$D$10</f>
        <v>1</v>
      </c>
      <c r="U385" s="4">
        <f t="shared" si="35"/>
        <v>2247348</v>
      </c>
      <c r="V385" s="4">
        <f t="shared" si="36"/>
        <v>38233.2</v>
      </c>
      <c r="W385" s="4">
        <f t="shared" si="37"/>
        <v>32794</v>
      </c>
      <c r="X385" s="4">
        <f>IFERROR(INDEX(参数!$B$5:$B$7,MATCH($N385,参数!$A$5:$A$7,0)),"")</f>
        <v>1.5</v>
      </c>
      <c r="Y385" s="4">
        <f>IFERROR(INDEX(参数!$C$5:$C$7,MATCH($N385,参数!$A$5:$A$7,0)),"")</f>
        <v>1</v>
      </c>
      <c r="Z385" s="4">
        <f>IFERROR(INDEX(参数!$D$5:$D$7,MATCH($N385,参数!$A$5:$A$7,0)),"")</f>
        <v>1.5</v>
      </c>
      <c r="AA385" s="4">
        <f>IFERROR(INDEX(楼层配置!$E$5:$E$104,MATCH($K385,楼层配置!$B$5:$B$104,0)),1)</f>
        <v>1</v>
      </c>
      <c r="AB385" s="4">
        <f>IFERROR(INDEX(楼层配置!$F$5:$F$104,MATCH($K385,楼层配置!$B$5:$B$104,0)),1)</f>
        <v>1</v>
      </c>
      <c r="AC385" s="4">
        <f>IFERROR(INDEX(楼层配置!$G$5:$G$104,MATCH($K385,楼层配置!$B$5:$B$104,0)),1)</f>
        <v>1</v>
      </c>
      <c r="AD385" s="6">
        <f t="shared" si="38"/>
        <v>-0.0325956600532915</v>
      </c>
      <c r="AE385" s="6">
        <f t="shared" si="39"/>
        <v>0.123211610211816</v>
      </c>
      <c r="AF385" s="6">
        <f t="shared" si="40"/>
        <v>0.347883271681052</v>
      </c>
      <c r="AG385" s="4" t="str">
        <f t="shared" si="41"/>
        <v>有效</v>
      </c>
    </row>
    <row r="386" ht="14.25" customHeight="1" spans="1:33">
      <c r="A386" s="4">
        <v>382</v>
      </c>
      <c r="B386" s="4">
        <v>1012</v>
      </c>
      <c r="C386" s="4">
        <v>48</v>
      </c>
      <c r="D386" s="5">
        <f>IFERROR(ROUND($U386*$X386*$AA386*参数!$B$13,0),"")</f>
        <v>2809185</v>
      </c>
      <c r="E386" s="5">
        <f>IFERROR(ROUND($V386*$Y386*$AB386*参数!$C$13,0),"")</f>
        <v>38233</v>
      </c>
      <c r="F386" s="5">
        <f>IFERROR(ROUND($W386*$Z386*$AC386*参数!$D$13,0),"")</f>
        <v>40993</v>
      </c>
      <c r="G386" s="4">
        <v>2903838</v>
      </c>
      <c r="H386" s="4">
        <v>34039</v>
      </c>
      <c r="I386" s="4">
        <v>30413</v>
      </c>
      <c r="J386" s="4">
        <v>77</v>
      </c>
      <c r="K386" s="4">
        <v>77</v>
      </c>
      <c r="L386" s="4">
        <f>IFERROR(INDEX(楼层配置!$D$5:$D$104,MATCH($K386,楼层配置!$B$5:$B$104,0)),"")</f>
        <v>345</v>
      </c>
      <c r="M386" s="4" t="str">
        <f>IFERROR(INDEX(_角色基线!$B$2:$B$100,MATCH($B386,_角色基线!$A$2:$A$100,0)),"")</f>
        <v>艾德琳</v>
      </c>
      <c r="N386" s="4" t="str">
        <f>IFERROR(INDEX(_角色基线!$C$2:$C$100,MATCH($B386,_角色基线!$A$2:$A$100,0)),"")</f>
        <v>Support</v>
      </c>
      <c r="O386" s="4">
        <f>IFERROR(INDEX(_怪物基线!$B$2:$B$501,MATCH(INT($L386),_怪物基线!$A$2:$A$501,0)),"")</f>
        <v>561837</v>
      </c>
      <c r="P386" s="4">
        <f>IFERROR(INDEX(_怪物基线!$C$2:$C$501,MATCH(INT($L386),_怪物基线!$A$2:$A$501,0)),"")</f>
        <v>31861</v>
      </c>
      <c r="Q386" s="4">
        <f>IFERROR(INDEX(_怪物基线!$D$2:$D$501,MATCH(INT($L386),_怪物基线!$A$2:$A$501,0)),"")</f>
        <v>32794</v>
      </c>
      <c r="R386" s="4">
        <f>参数!$B$10</f>
        <v>4</v>
      </c>
      <c r="S386" s="4">
        <f>参数!$C$10</f>
        <v>1.2</v>
      </c>
      <c r="T386" s="4">
        <f>参数!$D$10</f>
        <v>1</v>
      </c>
      <c r="U386" s="4">
        <f t="shared" si="35"/>
        <v>2247348</v>
      </c>
      <c r="V386" s="4">
        <f t="shared" si="36"/>
        <v>38233.2</v>
      </c>
      <c r="W386" s="4">
        <f t="shared" si="37"/>
        <v>32794</v>
      </c>
      <c r="X386" s="4">
        <f>IFERROR(INDEX(参数!$B$5:$B$7,MATCH($N386,参数!$A$5:$A$7,0)),"")</f>
        <v>1.25</v>
      </c>
      <c r="Y386" s="4">
        <f>IFERROR(INDEX(参数!$C$5:$C$7,MATCH($N386,参数!$A$5:$A$7,0)),"")</f>
        <v>1</v>
      </c>
      <c r="Z386" s="4">
        <f>IFERROR(INDEX(参数!$D$5:$D$7,MATCH($N386,参数!$A$5:$A$7,0)),"")</f>
        <v>1.25</v>
      </c>
      <c r="AA386" s="4">
        <f>IFERROR(INDEX(楼层配置!$E$5:$E$104,MATCH($K386,楼层配置!$B$5:$B$104,0)),1)</f>
        <v>1</v>
      </c>
      <c r="AB386" s="4">
        <f>IFERROR(INDEX(楼层配置!$F$5:$F$104,MATCH($K386,楼层配置!$B$5:$B$104,0)),1)</f>
        <v>1</v>
      </c>
      <c r="AC386" s="4">
        <f>IFERROR(INDEX(楼层配置!$G$5:$G$104,MATCH($K386,楼层配置!$B$5:$B$104,0)),1)</f>
        <v>1</v>
      </c>
      <c r="AD386" s="6">
        <f t="shared" si="38"/>
        <v>-0.032595826626692</v>
      </c>
      <c r="AE386" s="6">
        <f t="shared" si="39"/>
        <v>0.123211610211816</v>
      </c>
      <c r="AF386" s="6">
        <f t="shared" si="40"/>
        <v>0.347877552362477</v>
      </c>
      <c r="AG386" s="4" t="str">
        <f t="shared" si="41"/>
        <v>有效</v>
      </c>
    </row>
    <row r="387" ht="14.25" customHeight="1" spans="1:33">
      <c r="A387" s="4">
        <v>383</v>
      </c>
      <c r="B387" s="4">
        <v>1014</v>
      </c>
      <c r="C387" s="4">
        <v>48</v>
      </c>
      <c r="D387" s="5">
        <f>IFERROR(ROUND($U387*$X387*$AA387*参数!$B$13,0),"")</f>
        <v>2247348</v>
      </c>
      <c r="E387" s="5">
        <f>IFERROR(ROUND($V387*$Y387*$AB387*参数!$C$13,0),"")</f>
        <v>45880</v>
      </c>
      <c r="F387" s="5">
        <f>IFERROR(ROUND($W387*$Z387*$AC387*参数!$D$13,0),"")</f>
        <v>32794</v>
      </c>
      <c r="G387" s="4">
        <v>2323070</v>
      </c>
      <c r="H387" s="4">
        <v>40846</v>
      </c>
      <c r="I387" s="4">
        <v>24330</v>
      </c>
      <c r="J387" s="4">
        <v>77</v>
      </c>
      <c r="K387" s="4">
        <v>77</v>
      </c>
      <c r="L387" s="4">
        <f>IFERROR(INDEX(楼层配置!$D$5:$D$104,MATCH($K387,楼层配置!$B$5:$B$104,0)),"")</f>
        <v>345</v>
      </c>
      <c r="M387" s="4" t="str">
        <f>IFERROR(INDEX(_角色基线!$B$2:$B$100,MATCH($B387,_角色基线!$A$2:$A$100,0)),"")</f>
        <v>克莉丝汀</v>
      </c>
      <c r="N387" s="4" t="str">
        <f>IFERROR(INDEX(_角色基线!$C$2:$C$100,MATCH($B387,_角色基线!$A$2:$A$100,0)),"")</f>
        <v>DPS</v>
      </c>
      <c r="O387" s="4">
        <f>IFERROR(INDEX(_怪物基线!$B$2:$B$501,MATCH(INT($L387),_怪物基线!$A$2:$A$501,0)),"")</f>
        <v>561837</v>
      </c>
      <c r="P387" s="4">
        <f>IFERROR(INDEX(_怪物基线!$C$2:$C$501,MATCH(INT($L387),_怪物基线!$A$2:$A$501,0)),"")</f>
        <v>31861</v>
      </c>
      <c r="Q387" s="4">
        <f>IFERROR(INDEX(_怪物基线!$D$2:$D$501,MATCH(INT($L387),_怪物基线!$A$2:$A$501,0)),"")</f>
        <v>32794</v>
      </c>
      <c r="R387" s="4">
        <f>参数!$B$10</f>
        <v>4</v>
      </c>
      <c r="S387" s="4">
        <f>参数!$C$10</f>
        <v>1.2</v>
      </c>
      <c r="T387" s="4">
        <f>参数!$D$10</f>
        <v>1</v>
      </c>
      <c r="U387" s="4">
        <f t="shared" si="35"/>
        <v>2247348</v>
      </c>
      <c r="V387" s="4">
        <f t="shared" si="36"/>
        <v>38233.2</v>
      </c>
      <c r="W387" s="4">
        <f t="shared" si="37"/>
        <v>32794</v>
      </c>
      <c r="X387" s="4">
        <f>IFERROR(INDEX(参数!$B$5:$B$7,MATCH($N387,参数!$A$5:$A$7,0)),"")</f>
        <v>1</v>
      </c>
      <c r="Y387" s="4">
        <f>IFERROR(INDEX(参数!$C$5:$C$7,MATCH($N387,参数!$A$5:$A$7,0)),"")</f>
        <v>1.2</v>
      </c>
      <c r="Z387" s="4">
        <f>IFERROR(INDEX(参数!$D$5:$D$7,MATCH($N387,参数!$A$5:$A$7,0)),"")</f>
        <v>1</v>
      </c>
      <c r="AA387" s="4">
        <f>IFERROR(INDEX(楼层配置!$E$5:$E$104,MATCH($K387,楼层配置!$B$5:$B$104,0)),1)</f>
        <v>1</v>
      </c>
      <c r="AB387" s="4">
        <f>IFERROR(INDEX(楼层配置!$F$5:$F$104,MATCH($K387,楼层配置!$B$5:$B$104,0)),1)</f>
        <v>1</v>
      </c>
      <c r="AC387" s="4">
        <f>IFERROR(INDEX(楼层配置!$G$5:$G$104,MATCH($K387,楼层配置!$B$5:$B$104,0)),1)</f>
        <v>1</v>
      </c>
      <c r="AD387" s="6">
        <f t="shared" si="38"/>
        <v>-0.0325956600532915</v>
      </c>
      <c r="AE387" s="6">
        <f t="shared" si="39"/>
        <v>0.123243402046712</v>
      </c>
      <c r="AF387" s="6">
        <f t="shared" si="40"/>
        <v>0.347883271681052</v>
      </c>
      <c r="AG387" s="4" t="str">
        <f t="shared" si="41"/>
        <v>有效</v>
      </c>
    </row>
    <row r="388" ht="14.25" customHeight="1" spans="1:33">
      <c r="A388" s="4">
        <v>384</v>
      </c>
      <c r="B388" s="4">
        <v>1006</v>
      </c>
      <c r="C388" s="4">
        <v>48</v>
      </c>
      <c r="D388" s="5">
        <f>IFERROR(ROUND($U388*$X388*$AA388*参数!$B$13,0),"")</f>
        <v>2247348</v>
      </c>
      <c r="E388" s="5">
        <f>IFERROR(ROUND($V388*$Y388*$AB388*参数!$C$13,0),"")</f>
        <v>45880</v>
      </c>
      <c r="F388" s="5">
        <f>IFERROR(ROUND($W388*$Z388*$AC388*参数!$D$13,0),"")</f>
        <v>32794</v>
      </c>
      <c r="G388" s="4">
        <v>2323070</v>
      </c>
      <c r="H388" s="4">
        <v>40846</v>
      </c>
      <c r="I388" s="4">
        <v>24330</v>
      </c>
      <c r="J388" s="4">
        <v>77</v>
      </c>
      <c r="K388" s="4">
        <v>77</v>
      </c>
      <c r="L388" s="4">
        <f>IFERROR(INDEX(楼层配置!$D$5:$D$104,MATCH($K388,楼层配置!$B$5:$B$104,0)),"")</f>
        <v>345</v>
      </c>
      <c r="M388" s="4" t="str">
        <f>IFERROR(INDEX(_角色基线!$B$2:$B$100,MATCH($B388,_角色基线!$A$2:$A$100,0)),"")</f>
        <v>莉莉娅</v>
      </c>
      <c r="N388" s="4" t="str">
        <f>IFERROR(INDEX(_角色基线!$C$2:$C$100,MATCH($B388,_角色基线!$A$2:$A$100,0)),"")</f>
        <v>DPS</v>
      </c>
      <c r="O388" s="4">
        <f>IFERROR(INDEX(_怪物基线!$B$2:$B$501,MATCH(INT($L388),_怪物基线!$A$2:$A$501,0)),"")</f>
        <v>561837</v>
      </c>
      <c r="P388" s="4">
        <f>IFERROR(INDEX(_怪物基线!$C$2:$C$501,MATCH(INT($L388),_怪物基线!$A$2:$A$501,0)),"")</f>
        <v>31861</v>
      </c>
      <c r="Q388" s="4">
        <f>IFERROR(INDEX(_怪物基线!$D$2:$D$501,MATCH(INT($L388),_怪物基线!$A$2:$A$501,0)),"")</f>
        <v>32794</v>
      </c>
      <c r="R388" s="4">
        <f>参数!$B$10</f>
        <v>4</v>
      </c>
      <c r="S388" s="4">
        <f>参数!$C$10</f>
        <v>1.2</v>
      </c>
      <c r="T388" s="4">
        <f>参数!$D$10</f>
        <v>1</v>
      </c>
      <c r="U388" s="4">
        <f t="shared" si="35"/>
        <v>2247348</v>
      </c>
      <c r="V388" s="4">
        <f t="shared" si="36"/>
        <v>38233.2</v>
      </c>
      <c r="W388" s="4">
        <f t="shared" si="37"/>
        <v>32794</v>
      </c>
      <c r="X388" s="4">
        <f>IFERROR(INDEX(参数!$B$5:$B$7,MATCH($N388,参数!$A$5:$A$7,0)),"")</f>
        <v>1</v>
      </c>
      <c r="Y388" s="4">
        <f>IFERROR(INDEX(参数!$C$5:$C$7,MATCH($N388,参数!$A$5:$A$7,0)),"")</f>
        <v>1.2</v>
      </c>
      <c r="Z388" s="4">
        <f>IFERROR(INDEX(参数!$D$5:$D$7,MATCH($N388,参数!$A$5:$A$7,0)),"")</f>
        <v>1</v>
      </c>
      <c r="AA388" s="4">
        <f>IFERROR(INDEX(楼层配置!$E$5:$E$104,MATCH($K388,楼层配置!$B$5:$B$104,0)),1)</f>
        <v>1</v>
      </c>
      <c r="AB388" s="4">
        <f>IFERROR(INDEX(楼层配置!$F$5:$F$104,MATCH($K388,楼层配置!$B$5:$B$104,0)),1)</f>
        <v>1</v>
      </c>
      <c r="AC388" s="4">
        <f>IFERROR(INDEX(楼层配置!$G$5:$G$104,MATCH($K388,楼层配置!$B$5:$B$104,0)),1)</f>
        <v>1</v>
      </c>
      <c r="AD388" s="6">
        <f t="shared" si="38"/>
        <v>-0.0325956600532915</v>
      </c>
      <c r="AE388" s="6">
        <f t="shared" si="39"/>
        <v>0.123243402046712</v>
      </c>
      <c r="AF388" s="6">
        <f t="shared" si="40"/>
        <v>0.347883271681052</v>
      </c>
      <c r="AG388" s="4" t="str">
        <f t="shared" si="41"/>
        <v>有效</v>
      </c>
    </row>
    <row r="389" ht="14.25" customHeight="1" spans="1:33">
      <c r="A389" s="4">
        <v>385</v>
      </c>
      <c r="B389" s="4">
        <v>1017</v>
      </c>
      <c r="C389" s="4">
        <v>48</v>
      </c>
      <c r="D389" s="5">
        <f>IFERROR(ROUND($U389*$X389*$AA389*参数!$B$13,0),"")</f>
        <v>2247348</v>
      </c>
      <c r="E389" s="5">
        <f>IFERROR(ROUND($V389*$Y389*$AB389*参数!$C$13,0),"")</f>
        <v>45880</v>
      </c>
      <c r="F389" s="5">
        <f>IFERROR(ROUND($W389*$Z389*$AC389*参数!$D$13,0),"")</f>
        <v>32794</v>
      </c>
      <c r="G389" s="4">
        <v>2323070</v>
      </c>
      <c r="H389" s="4">
        <v>40846</v>
      </c>
      <c r="I389" s="4">
        <v>24330</v>
      </c>
      <c r="J389" s="4">
        <v>77</v>
      </c>
      <c r="K389" s="4">
        <v>77</v>
      </c>
      <c r="L389" s="4">
        <f>IFERROR(INDEX(楼层配置!$D$5:$D$104,MATCH($K389,楼层配置!$B$5:$B$104,0)),"")</f>
        <v>345</v>
      </c>
      <c r="M389" s="4" t="str">
        <f>IFERROR(INDEX(_角色基线!$B$2:$B$100,MATCH($B389,_角色基线!$A$2:$A$100,0)),"")</f>
        <v>伊戈尔</v>
      </c>
      <c r="N389" s="4" t="str">
        <f>IFERROR(INDEX(_角色基线!$C$2:$C$100,MATCH($B389,_角色基线!$A$2:$A$100,0)),"")</f>
        <v>DPS</v>
      </c>
      <c r="O389" s="4">
        <f>IFERROR(INDEX(_怪物基线!$B$2:$B$501,MATCH(INT($L389),_怪物基线!$A$2:$A$501,0)),"")</f>
        <v>561837</v>
      </c>
      <c r="P389" s="4">
        <f>IFERROR(INDEX(_怪物基线!$C$2:$C$501,MATCH(INT($L389),_怪物基线!$A$2:$A$501,0)),"")</f>
        <v>31861</v>
      </c>
      <c r="Q389" s="4">
        <f>IFERROR(INDEX(_怪物基线!$D$2:$D$501,MATCH(INT($L389),_怪物基线!$A$2:$A$501,0)),"")</f>
        <v>32794</v>
      </c>
      <c r="R389" s="4">
        <f>参数!$B$10</f>
        <v>4</v>
      </c>
      <c r="S389" s="4">
        <f>参数!$C$10</f>
        <v>1.2</v>
      </c>
      <c r="T389" s="4">
        <f>参数!$D$10</f>
        <v>1</v>
      </c>
      <c r="U389" s="4">
        <f t="shared" ref="U389:U452" si="42">IF($O389="","",$O389*$R389)</f>
        <v>2247348</v>
      </c>
      <c r="V389" s="4">
        <f t="shared" ref="V389:V452" si="43">IF($P389="","",$P389*$S389)</f>
        <v>38233.2</v>
      </c>
      <c r="W389" s="4">
        <f t="shared" ref="W389:W452" si="44">IF($Q389="","",$Q389*$T389)</f>
        <v>32794</v>
      </c>
      <c r="X389" s="4">
        <f>IFERROR(INDEX(参数!$B$5:$B$7,MATCH($N389,参数!$A$5:$A$7,0)),"")</f>
        <v>1</v>
      </c>
      <c r="Y389" s="4">
        <f>IFERROR(INDEX(参数!$C$5:$C$7,MATCH($N389,参数!$A$5:$A$7,0)),"")</f>
        <v>1.2</v>
      </c>
      <c r="Z389" s="4">
        <f>IFERROR(INDEX(参数!$D$5:$D$7,MATCH($N389,参数!$A$5:$A$7,0)),"")</f>
        <v>1</v>
      </c>
      <c r="AA389" s="4">
        <f>IFERROR(INDEX(楼层配置!$E$5:$E$104,MATCH($K389,楼层配置!$B$5:$B$104,0)),1)</f>
        <v>1</v>
      </c>
      <c r="AB389" s="4">
        <f>IFERROR(INDEX(楼层配置!$F$5:$F$104,MATCH($K389,楼层配置!$B$5:$B$104,0)),1)</f>
        <v>1</v>
      </c>
      <c r="AC389" s="4">
        <f>IFERROR(INDEX(楼层配置!$G$5:$G$104,MATCH($K389,楼层配置!$B$5:$B$104,0)),1)</f>
        <v>1</v>
      </c>
      <c r="AD389" s="6">
        <f t="shared" ref="AD389:AD452" si="45">IFERROR($D389/$G389-1,"")</f>
        <v>-0.0325956600532915</v>
      </c>
      <c r="AE389" s="6">
        <f t="shared" ref="AE389:AE452" si="46">IFERROR($E389/$H389-1,"")</f>
        <v>0.123243402046712</v>
      </c>
      <c r="AF389" s="6">
        <f t="shared" ref="AF389:AF452" si="47">IFERROR($F389/$I389-1,"")</f>
        <v>0.347883271681052</v>
      </c>
      <c r="AG389" s="4" t="str">
        <f t="shared" ref="AG389:AG452" si="48">IF(AND($A389&gt;=1,$L389&gt;=1,$L389&lt;=500,OR($N389="Tank",$N389="DPS",$N389="Support"),ISNUMBER($D389),ISNUMBER($E389),ISNUMBER($F389)),"有效","异常")</f>
        <v>有效</v>
      </c>
    </row>
    <row r="390" ht="14.25" customHeight="1" spans="1:33">
      <c r="A390" s="4">
        <v>386</v>
      </c>
      <c r="B390" s="4">
        <v>1004</v>
      </c>
      <c r="C390" s="4">
        <v>49</v>
      </c>
      <c r="D390" s="5">
        <f>IFERROR(ROUND($U390*$X390*$AA390*参数!$B$13,0),"")</f>
        <v>3398520</v>
      </c>
      <c r="E390" s="5">
        <f>IFERROR(ROUND($V390*$Y390*$AB390*参数!$C$13,0),"")</f>
        <v>38480</v>
      </c>
      <c r="F390" s="5">
        <f>IFERROR(ROUND($W390*$Z390*$AC390*参数!$D$13,0),"")</f>
        <v>49392</v>
      </c>
      <c r="G390" s="4">
        <v>3603844</v>
      </c>
      <c r="H390" s="4">
        <v>34933</v>
      </c>
      <c r="I390" s="4">
        <v>37123</v>
      </c>
      <c r="J390" s="4">
        <v>78</v>
      </c>
      <c r="K390" s="4">
        <v>78</v>
      </c>
      <c r="L390" s="4">
        <f>IFERROR(INDEX(楼层配置!$D$5:$D$104,MATCH($K390,楼层配置!$B$5:$B$104,0)),"")</f>
        <v>346</v>
      </c>
      <c r="M390" s="4" t="str">
        <f>IFERROR(INDEX(_角色基线!$B$2:$B$100,MATCH($B390,_角色基线!$A$2:$A$100,0)),"")</f>
        <v>阿芭</v>
      </c>
      <c r="N390" s="4" t="str">
        <f>IFERROR(INDEX(_角色基线!$C$2:$C$100,MATCH($B390,_角色基线!$A$2:$A$100,0)),"")</f>
        <v>Tank</v>
      </c>
      <c r="O390" s="4">
        <f>IFERROR(INDEX(_怪物基线!$B$2:$B$501,MATCH(INT($L390),_怪物基线!$A$2:$A$501,0)),"")</f>
        <v>566420</v>
      </c>
      <c r="P390" s="4">
        <f>IFERROR(INDEX(_怪物基线!$C$2:$C$501,MATCH(INT($L390),_怪物基线!$A$2:$A$501,0)),"")</f>
        <v>32067</v>
      </c>
      <c r="Q390" s="4">
        <f>IFERROR(INDEX(_怪物基线!$D$2:$D$501,MATCH(INT($L390),_怪物基线!$A$2:$A$501,0)),"")</f>
        <v>32928</v>
      </c>
      <c r="R390" s="4">
        <f>参数!$B$10</f>
        <v>4</v>
      </c>
      <c r="S390" s="4">
        <f>参数!$C$10</f>
        <v>1.2</v>
      </c>
      <c r="T390" s="4">
        <f>参数!$D$10</f>
        <v>1</v>
      </c>
      <c r="U390" s="4">
        <f t="shared" si="42"/>
        <v>2265680</v>
      </c>
      <c r="V390" s="4">
        <f t="shared" si="43"/>
        <v>38480.4</v>
      </c>
      <c r="W390" s="4">
        <f t="shared" si="44"/>
        <v>32928</v>
      </c>
      <c r="X390" s="4">
        <f>IFERROR(INDEX(参数!$B$5:$B$7,MATCH($N390,参数!$A$5:$A$7,0)),"")</f>
        <v>1.5</v>
      </c>
      <c r="Y390" s="4">
        <f>IFERROR(INDEX(参数!$C$5:$C$7,MATCH($N390,参数!$A$5:$A$7,0)),"")</f>
        <v>1</v>
      </c>
      <c r="Z390" s="4">
        <f>IFERROR(INDEX(参数!$D$5:$D$7,MATCH($N390,参数!$A$5:$A$7,0)),"")</f>
        <v>1.5</v>
      </c>
      <c r="AA390" s="4">
        <f>IFERROR(INDEX(楼层配置!$E$5:$E$104,MATCH($K390,楼层配置!$B$5:$B$104,0)),1)</f>
        <v>1</v>
      </c>
      <c r="AB390" s="4">
        <f>IFERROR(INDEX(楼层配置!$F$5:$F$104,MATCH($K390,楼层配置!$B$5:$B$104,0)),1)</f>
        <v>1</v>
      </c>
      <c r="AC390" s="4">
        <f>IFERROR(INDEX(楼层配置!$G$5:$G$104,MATCH($K390,楼层配置!$B$5:$B$104,0)),1)</f>
        <v>1</v>
      </c>
      <c r="AD390" s="6">
        <f t="shared" si="45"/>
        <v>-0.0569736092905242</v>
      </c>
      <c r="AE390" s="6">
        <f t="shared" si="46"/>
        <v>0.101537228408668</v>
      </c>
      <c r="AF390" s="6">
        <f t="shared" si="47"/>
        <v>0.330495918972066</v>
      </c>
      <c r="AG390" s="4" t="str">
        <f t="shared" si="48"/>
        <v>有效</v>
      </c>
    </row>
    <row r="391" ht="14.25" customHeight="1" spans="1:33">
      <c r="A391" s="4">
        <v>387</v>
      </c>
      <c r="B391" s="4">
        <v>1013</v>
      </c>
      <c r="C391" s="4">
        <v>49</v>
      </c>
      <c r="D391" s="5">
        <f>IFERROR(ROUND($U391*$X391*$AA391*参数!$B$13,0),"")</f>
        <v>2265680</v>
      </c>
      <c r="E391" s="5">
        <f>IFERROR(ROUND($V391*$Y391*$AB391*参数!$C$13,0),"")</f>
        <v>46176</v>
      </c>
      <c r="F391" s="5">
        <f>IFERROR(ROUND($W391*$Z391*$AC391*参数!$D$13,0),"")</f>
        <v>32928</v>
      </c>
      <c r="G391" s="4">
        <v>2402563</v>
      </c>
      <c r="H391" s="4">
        <v>41919</v>
      </c>
      <c r="I391" s="4">
        <v>24748</v>
      </c>
      <c r="J391" s="4">
        <v>78</v>
      </c>
      <c r="K391" s="4">
        <v>78</v>
      </c>
      <c r="L391" s="4">
        <f>IFERROR(INDEX(楼层配置!$D$5:$D$104,MATCH($K391,楼层配置!$B$5:$B$104,0)),"")</f>
        <v>346</v>
      </c>
      <c r="M391" s="4" t="str">
        <f>IFERROR(INDEX(_角色基线!$B$2:$B$100,MATCH($B391,_角色基线!$A$2:$A$100,0)),"")</f>
        <v>夏缇拉</v>
      </c>
      <c r="N391" s="4" t="str">
        <f>IFERROR(INDEX(_角色基线!$C$2:$C$100,MATCH($B391,_角色基线!$A$2:$A$100,0)),"")</f>
        <v>DPS</v>
      </c>
      <c r="O391" s="4">
        <f>IFERROR(INDEX(_怪物基线!$B$2:$B$501,MATCH(INT($L391),_怪物基线!$A$2:$A$501,0)),"")</f>
        <v>566420</v>
      </c>
      <c r="P391" s="4">
        <f>IFERROR(INDEX(_怪物基线!$C$2:$C$501,MATCH(INT($L391),_怪物基线!$A$2:$A$501,0)),"")</f>
        <v>32067</v>
      </c>
      <c r="Q391" s="4">
        <f>IFERROR(INDEX(_怪物基线!$D$2:$D$501,MATCH(INT($L391),_怪物基线!$A$2:$A$501,0)),"")</f>
        <v>32928</v>
      </c>
      <c r="R391" s="4">
        <f>参数!$B$10</f>
        <v>4</v>
      </c>
      <c r="S391" s="4">
        <f>参数!$C$10</f>
        <v>1.2</v>
      </c>
      <c r="T391" s="4">
        <f>参数!$D$10</f>
        <v>1</v>
      </c>
      <c r="U391" s="4">
        <f t="shared" si="42"/>
        <v>2265680</v>
      </c>
      <c r="V391" s="4">
        <f t="shared" si="43"/>
        <v>38480.4</v>
      </c>
      <c r="W391" s="4">
        <f t="shared" si="44"/>
        <v>32928</v>
      </c>
      <c r="X391" s="4">
        <f>IFERROR(INDEX(参数!$B$5:$B$7,MATCH($N391,参数!$A$5:$A$7,0)),"")</f>
        <v>1</v>
      </c>
      <c r="Y391" s="4">
        <f>IFERROR(INDEX(参数!$C$5:$C$7,MATCH($N391,参数!$A$5:$A$7,0)),"")</f>
        <v>1.2</v>
      </c>
      <c r="Z391" s="4">
        <f>IFERROR(INDEX(参数!$D$5:$D$7,MATCH($N391,参数!$A$5:$A$7,0)),"")</f>
        <v>1</v>
      </c>
      <c r="AA391" s="4">
        <f>IFERROR(INDEX(楼层配置!$E$5:$E$104,MATCH($K391,楼层配置!$B$5:$B$104,0)),1)</f>
        <v>1</v>
      </c>
      <c r="AB391" s="4">
        <f>IFERROR(INDEX(楼层配置!$F$5:$F$104,MATCH($K391,楼层配置!$B$5:$B$104,0)),1)</f>
        <v>1</v>
      </c>
      <c r="AC391" s="4">
        <f>IFERROR(INDEX(楼层配置!$G$5:$G$104,MATCH($K391,楼层配置!$B$5:$B$104,0)),1)</f>
        <v>1</v>
      </c>
      <c r="AD391" s="6">
        <f t="shared" si="45"/>
        <v>-0.0569737401266897</v>
      </c>
      <c r="AE391" s="6">
        <f t="shared" si="46"/>
        <v>0.101552995061905</v>
      </c>
      <c r="AF391" s="6">
        <f t="shared" si="47"/>
        <v>0.330531760142234</v>
      </c>
      <c r="AG391" s="4" t="str">
        <f t="shared" si="48"/>
        <v>有效</v>
      </c>
    </row>
    <row r="392" ht="14.25" customHeight="1" spans="1:33">
      <c r="A392" s="4">
        <v>388</v>
      </c>
      <c r="B392" s="4">
        <v>1006</v>
      </c>
      <c r="C392" s="4">
        <v>49</v>
      </c>
      <c r="D392" s="5">
        <f>IFERROR(ROUND($U392*$X392*$AA392*参数!$B$13,0),"")</f>
        <v>2265680</v>
      </c>
      <c r="E392" s="5">
        <f>IFERROR(ROUND($V392*$Y392*$AB392*参数!$C$13,0),"")</f>
        <v>46176</v>
      </c>
      <c r="F392" s="5">
        <f>IFERROR(ROUND($W392*$Z392*$AC392*参数!$D$13,0),"")</f>
        <v>32928</v>
      </c>
      <c r="G392" s="4">
        <v>2402563</v>
      </c>
      <c r="H392" s="4">
        <v>41919</v>
      </c>
      <c r="I392" s="4">
        <v>24748</v>
      </c>
      <c r="J392" s="4">
        <v>78</v>
      </c>
      <c r="K392" s="4">
        <v>78</v>
      </c>
      <c r="L392" s="4">
        <f>IFERROR(INDEX(楼层配置!$D$5:$D$104,MATCH($K392,楼层配置!$B$5:$B$104,0)),"")</f>
        <v>346</v>
      </c>
      <c r="M392" s="4" t="str">
        <f>IFERROR(INDEX(_角色基线!$B$2:$B$100,MATCH($B392,_角色基线!$A$2:$A$100,0)),"")</f>
        <v>莉莉娅</v>
      </c>
      <c r="N392" s="4" t="str">
        <f>IFERROR(INDEX(_角色基线!$C$2:$C$100,MATCH($B392,_角色基线!$A$2:$A$100,0)),"")</f>
        <v>DPS</v>
      </c>
      <c r="O392" s="4">
        <f>IFERROR(INDEX(_怪物基线!$B$2:$B$501,MATCH(INT($L392),_怪物基线!$A$2:$A$501,0)),"")</f>
        <v>566420</v>
      </c>
      <c r="P392" s="4">
        <f>IFERROR(INDEX(_怪物基线!$C$2:$C$501,MATCH(INT($L392),_怪物基线!$A$2:$A$501,0)),"")</f>
        <v>32067</v>
      </c>
      <c r="Q392" s="4">
        <f>IFERROR(INDEX(_怪物基线!$D$2:$D$501,MATCH(INT($L392),_怪物基线!$A$2:$A$501,0)),"")</f>
        <v>32928</v>
      </c>
      <c r="R392" s="4">
        <f>参数!$B$10</f>
        <v>4</v>
      </c>
      <c r="S392" s="4">
        <f>参数!$C$10</f>
        <v>1.2</v>
      </c>
      <c r="T392" s="4">
        <f>参数!$D$10</f>
        <v>1</v>
      </c>
      <c r="U392" s="4">
        <f t="shared" si="42"/>
        <v>2265680</v>
      </c>
      <c r="V392" s="4">
        <f t="shared" si="43"/>
        <v>38480.4</v>
      </c>
      <c r="W392" s="4">
        <f t="shared" si="44"/>
        <v>32928</v>
      </c>
      <c r="X392" s="4">
        <f>IFERROR(INDEX(参数!$B$5:$B$7,MATCH($N392,参数!$A$5:$A$7,0)),"")</f>
        <v>1</v>
      </c>
      <c r="Y392" s="4">
        <f>IFERROR(INDEX(参数!$C$5:$C$7,MATCH($N392,参数!$A$5:$A$7,0)),"")</f>
        <v>1.2</v>
      </c>
      <c r="Z392" s="4">
        <f>IFERROR(INDEX(参数!$D$5:$D$7,MATCH($N392,参数!$A$5:$A$7,0)),"")</f>
        <v>1</v>
      </c>
      <c r="AA392" s="4">
        <f>IFERROR(INDEX(楼层配置!$E$5:$E$104,MATCH($K392,楼层配置!$B$5:$B$104,0)),1)</f>
        <v>1</v>
      </c>
      <c r="AB392" s="4">
        <f>IFERROR(INDEX(楼层配置!$F$5:$F$104,MATCH($K392,楼层配置!$B$5:$B$104,0)),1)</f>
        <v>1</v>
      </c>
      <c r="AC392" s="4">
        <f>IFERROR(INDEX(楼层配置!$G$5:$G$104,MATCH($K392,楼层配置!$B$5:$B$104,0)),1)</f>
        <v>1</v>
      </c>
      <c r="AD392" s="6">
        <f t="shared" si="45"/>
        <v>-0.0569737401266897</v>
      </c>
      <c r="AE392" s="6">
        <f t="shared" si="46"/>
        <v>0.101552995061905</v>
      </c>
      <c r="AF392" s="6">
        <f t="shared" si="47"/>
        <v>0.330531760142234</v>
      </c>
      <c r="AG392" s="4" t="str">
        <f t="shared" si="48"/>
        <v>有效</v>
      </c>
    </row>
    <row r="393" ht="14.25" customHeight="1" spans="1:33">
      <c r="A393" s="4">
        <v>389</v>
      </c>
      <c r="B393" s="4">
        <v>1006</v>
      </c>
      <c r="C393" s="4">
        <v>49</v>
      </c>
      <c r="D393" s="5">
        <f>IFERROR(ROUND($U393*$X393*$AA393*参数!$B$13,0),"")</f>
        <v>2265680</v>
      </c>
      <c r="E393" s="5">
        <f>IFERROR(ROUND($V393*$Y393*$AB393*参数!$C$13,0),"")</f>
        <v>46176</v>
      </c>
      <c r="F393" s="5">
        <f>IFERROR(ROUND($W393*$Z393*$AC393*参数!$D$13,0),"")</f>
        <v>32928</v>
      </c>
      <c r="G393" s="4">
        <v>2402563</v>
      </c>
      <c r="H393" s="4">
        <v>41919</v>
      </c>
      <c r="I393" s="4">
        <v>24748</v>
      </c>
      <c r="J393" s="4">
        <v>78</v>
      </c>
      <c r="K393" s="4">
        <v>78</v>
      </c>
      <c r="L393" s="4">
        <f>IFERROR(INDEX(楼层配置!$D$5:$D$104,MATCH($K393,楼层配置!$B$5:$B$104,0)),"")</f>
        <v>346</v>
      </c>
      <c r="M393" s="4" t="str">
        <f>IFERROR(INDEX(_角色基线!$B$2:$B$100,MATCH($B393,_角色基线!$A$2:$A$100,0)),"")</f>
        <v>莉莉娅</v>
      </c>
      <c r="N393" s="4" t="str">
        <f>IFERROR(INDEX(_角色基线!$C$2:$C$100,MATCH($B393,_角色基线!$A$2:$A$100,0)),"")</f>
        <v>DPS</v>
      </c>
      <c r="O393" s="4">
        <f>IFERROR(INDEX(_怪物基线!$B$2:$B$501,MATCH(INT($L393),_怪物基线!$A$2:$A$501,0)),"")</f>
        <v>566420</v>
      </c>
      <c r="P393" s="4">
        <f>IFERROR(INDEX(_怪物基线!$C$2:$C$501,MATCH(INT($L393),_怪物基线!$A$2:$A$501,0)),"")</f>
        <v>32067</v>
      </c>
      <c r="Q393" s="4">
        <f>IFERROR(INDEX(_怪物基线!$D$2:$D$501,MATCH(INT($L393),_怪物基线!$A$2:$A$501,0)),"")</f>
        <v>32928</v>
      </c>
      <c r="R393" s="4">
        <f>参数!$B$10</f>
        <v>4</v>
      </c>
      <c r="S393" s="4">
        <f>参数!$C$10</f>
        <v>1.2</v>
      </c>
      <c r="T393" s="4">
        <f>参数!$D$10</f>
        <v>1</v>
      </c>
      <c r="U393" s="4">
        <f t="shared" si="42"/>
        <v>2265680</v>
      </c>
      <c r="V393" s="4">
        <f t="shared" si="43"/>
        <v>38480.4</v>
      </c>
      <c r="W393" s="4">
        <f t="shared" si="44"/>
        <v>32928</v>
      </c>
      <c r="X393" s="4">
        <f>IFERROR(INDEX(参数!$B$5:$B$7,MATCH($N393,参数!$A$5:$A$7,0)),"")</f>
        <v>1</v>
      </c>
      <c r="Y393" s="4">
        <f>IFERROR(INDEX(参数!$C$5:$C$7,MATCH($N393,参数!$A$5:$A$7,0)),"")</f>
        <v>1.2</v>
      </c>
      <c r="Z393" s="4">
        <f>IFERROR(INDEX(参数!$D$5:$D$7,MATCH($N393,参数!$A$5:$A$7,0)),"")</f>
        <v>1</v>
      </c>
      <c r="AA393" s="4">
        <f>IFERROR(INDEX(楼层配置!$E$5:$E$104,MATCH($K393,楼层配置!$B$5:$B$104,0)),1)</f>
        <v>1</v>
      </c>
      <c r="AB393" s="4">
        <f>IFERROR(INDEX(楼层配置!$F$5:$F$104,MATCH($K393,楼层配置!$B$5:$B$104,0)),1)</f>
        <v>1</v>
      </c>
      <c r="AC393" s="4">
        <f>IFERROR(INDEX(楼层配置!$G$5:$G$104,MATCH($K393,楼层配置!$B$5:$B$104,0)),1)</f>
        <v>1</v>
      </c>
      <c r="AD393" s="6">
        <f t="shared" si="45"/>
        <v>-0.0569737401266897</v>
      </c>
      <c r="AE393" s="6">
        <f t="shared" si="46"/>
        <v>0.101552995061905</v>
      </c>
      <c r="AF393" s="6">
        <f t="shared" si="47"/>
        <v>0.330531760142234</v>
      </c>
      <c r="AG393" s="4" t="str">
        <f t="shared" si="48"/>
        <v>有效</v>
      </c>
    </row>
    <row r="394" ht="14.25" customHeight="1" spans="1:33">
      <c r="A394" s="4">
        <v>390</v>
      </c>
      <c r="B394" s="4">
        <v>1011</v>
      </c>
      <c r="C394" s="4">
        <v>49</v>
      </c>
      <c r="D394" s="5">
        <f>IFERROR(ROUND($U394*$X394*$AA394*参数!$B$13,0),"")</f>
        <v>2832100</v>
      </c>
      <c r="E394" s="5">
        <f>IFERROR(ROUND($V394*$Y394*$AB394*参数!$C$13,0),"")</f>
        <v>38480</v>
      </c>
      <c r="F394" s="5">
        <f>IFERROR(ROUND($W394*$Z394*$AC394*参数!$D$13,0),"")</f>
        <v>41160</v>
      </c>
      <c r="G394" s="4">
        <v>3003204</v>
      </c>
      <c r="H394" s="4">
        <v>34933</v>
      </c>
      <c r="I394" s="4">
        <v>30936</v>
      </c>
      <c r="J394" s="4">
        <v>78</v>
      </c>
      <c r="K394" s="4">
        <v>78</v>
      </c>
      <c r="L394" s="4">
        <f>IFERROR(INDEX(楼层配置!$D$5:$D$104,MATCH($K394,楼层配置!$B$5:$B$104,0)),"")</f>
        <v>346</v>
      </c>
      <c r="M394" s="4" t="str">
        <f>IFERROR(INDEX(_角色基线!$B$2:$B$100,MATCH($B394,_角色基线!$A$2:$A$100,0)),"")</f>
        <v>陈双双</v>
      </c>
      <c r="N394" s="4" t="str">
        <f>IFERROR(INDEX(_角色基线!$C$2:$C$100,MATCH($B394,_角色基线!$A$2:$A$100,0)),"")</f>
        <v>Support</v>
      </c>
      <c r="O394" s="4">
        <f>IFERROR(INDEX(_怪物基线!$B$2:$B$501,MATCH(INT($L394),_怪物基线!$A$2:$A$501,0)),"")</f>
        <v>566420</v>
      </c>
      <c r="P394" s="4">
        <f>IFERROR(INDEX(_怪物基线!$C$2:$C$501,MATCH(INT($L394),_怪物基线!$A$2:$A$501,0)),"")</f>
        <v>32067</v>
      </c>
      <c r="Q394" s="4">
        <f>IFERROR(INDEX(_怪物基线!$D$2:$D$501,MATCH(INT($L394),_怪物基线!$A$2:$A$501,0)),"")</f>
        <v>32928</v>
      </c>
      <c r="R394" s="4">
        <f>参数!$B$10</f>
        <v>4</v>
      </c>
      <c r="S394" s="4">
        <f>参数!$C$10</f>
        <v>1.2</v>
      </c>
      <c r="T394" s="4">
        <f>参数!$D$10</f>
        <v>1</v>
      </c>
      <c r="U394" s="4">
        <f t="shared" si="42"/>
        <v>2265680</v>
      </c>
      <c r="V394" s="4">
        <f t="shared" si="43"/>
        <v>38480.4</v>
      </c>
      <c r="W394" s="4">
        <f t="shared" si="44"/>
        <v>32928</v>
      </c>
      <c r="X394" s="4">
        <f>IFERROR(INDEX(参数!$B$5:$B$7,MATCH($N394,参数!$A$5:$A$7,0)),"")</f>
        <v>1.25</v>
      </c>
      <c r="Y394" s="4">
        <f>IFERROR(INDEX(参数!$C$5:$C$7,MATCH($N394,参数!$A$5:$A$7,0)),"")</f>
        <v>1</v>
      </c>
      <c r="Z394" s="4">
        <f>IFERROR(INDEX(参数!$D$5:$D$7,MATCH($N394,参数!$A$5:$A$7,0)),"")</f>
        <v>1.25</v>
      </c>
      <c r="AA394" s="4">
        <f>IFERROR(INDEX(楼层配置!$E$5:$E$104,MATCH($K394,楼层配置!$B$5:$B$104,0)),1)</f>
        <v>1</v>
      </c>
      <c r="AB394" s="4">
        <f>IFERROR(INDEX(楼层配置!$F$5:$F$104,MATCH($K394,楼层配置!$B$5:$B$104,0)),1)</f>
        <v>1</v>
      </c>
      <c r="AC394" s="4">
        <f>IFERROR(INDEX(楼层配置!$G$5:$G$104,MATCH($K394,楼层配置!$B$5:$B$104,0)),1)</f>
        <v>1</v>
      </c>
      <c r="AD394" s="6">
        <f t="shared" si="45"/>
        <v>-0.0569738186283716</v>
      </c>
      <c r="AE394" s="6">
        <f t="shared" si="46"/>
        <v>0.101537228408668</v>
      </c>
      <c r="AF394" s="6">
        <f t="shared" si="47"/>
        <v>0.330488750969744</v>
      </c>
      <c r="AG394" s="4" t="str">
        <f t="shared" si="48"/>
        <v>有效</v>
      </c>
    </row>
    <row r="395" ht="14.25" customHeight="1" spans="1:33">
      <c r="A395" s="4">
        <v>391</v>
      </c>
      <c r="B395" s="4">
        <v>1003</v>
      </c>
      <c r="C395" s="4">
        <v>49</v>
      </c>
      <c r="D395" s="5">
        <f>IFERROR(ROUND($U395*$X395*$AA395*参数!$B$13,0),"")</f>
        <v>3426186</v>
      </c>
      <c r="E395" s="5">
        <f>IFERROR(ROUND($V395*$Y395*$AB395*参数!$C$13,0),"")</f>
        <v>38728</v>
      </c>
      <c r="F395" s="5">
        <f>IFERROR(ROUND($W395*$Z395*$AC395*参数!$D$13,0),"")</f>
        <v>49595</v>
      </c>
      <c r="G395" s="4">
        <v>3726093</v>
      </c>
      <c r="H395" s="4">
        <v>35849</v>
      </c>
      <c r="I395" s="4">
        <v>37754</v>
      </c>
      <c r="J395" s="4">
        <v>79</v>
      </c>
      <c r="K395" s="4">
        <v>79</v>
      </c>
      <c r="L395" s="4">
        <f>IFERROR(INDEX(楼层配置!$D$5:$D$104,MATCH($K395,楼层配置!$B$5:$B$104,0)),"")</f>
        <v>347</v>
      </c>
      <c r="M395" s="4" t="str">
        <f>IFERROR(INDEX(_角色基线!$B$2:$B$100,MATCH($B395,_角色基线!$A$2:$A$100,0)),"")</f>
        <v>塔拉夏</v>
      </c>
      <c r="N395" s="4" t="str">
        <f>IFERROR(INDEX(_角色基线!$C$2:$C$100,MATCH($B395,_角色基线!$A$2:$A$100,0)),"")</f>
        <v>Tank</v>
      </c>
      <c r="O395" s="4">
        <f>IFERROR(INDEX(_怪物基线!$B$2:$B$501,MATCH(INT($L395),_怪物基线!$A$2:$A$501,0)),"")</f>
        <v>571031</v>
      </c>
      <c r="P395" s="4">
        <f>IFERROR(INDEX(_怪物基线!$C$2:$C$501,MATCH(INT($L395),_怪物基线!$A$2:$A$501,0)),"")</f>
        <v>32273</v>
      </c>
      <c r="Q395" s="4">
        <f>IFERROR(INDEX(_怪物基线!$D$2:$D$501,MATCH(INT($L395),_怪物基线!$A$2:$A$501,0)),"")</f>
        <v>33063</v>
      </c>
      <c r="R395" s="4">
        <f>参数!$B$10</f>
        <v>4</v>
      </c>
      <c r="S395" s="4">
        <f>参数!$C$10</f>
        <v>1.2</v>
      </c>
      <c r="T395" s="4">
        <f>参数!$D$10</f>
        <v>1</v>
      </c>
      <c r="U395" s="4">
        <f t="shared" si="42"/>
        <v>2284124</v>
      </c>
      <c r="V395" s="4">
        <f t="shared" si="43"/>
        <v>38727.6</v>
      </c>
      <c r="W395" s="4">
        <f t="shared" si="44"/>
        <v>33063</v>
      </c>
      <c r="X395" s="4">
        <f>IFERROR(INDEX(参数!$B$5:$B$7,MATCH($N395,参数!$A$5:$A$7,0)),"")</f>
        <v>1.5</v>
      </c>
      <c r="Y395" s="4">
        <f>IFERROR(INDEX(参数!$C$5:$C$7,MATCH($N395,参数!$A$5:$A$7,0)),"")</f>
        <v>1</v>
      </c>
      <c r="Z395" s="4">
        <f>IFERROR(INDEX(参数!$D$5:$D$7,MATCH($N395,参数!$A$5:$A$7,0)),"")</f>
        <v>1.5</v>
      </c>
      <c r="AA395" s="4">
        <f>IFERROR(INDEX(楼层配置!$E$5:$E$104,MATCH($K395,楼层配置!$B$5:$B$104,0)),1)</f>
        <v>1</v>
      </c>
      <c r="AB395" s="4">
        <f>IFERROR(INDEX(楼层配置!$F$5:$F$104,MATCH($K395,楼层配置!$B$5:$B$104,0)),1)</f>
        <v>1</v>
      </c>
      <c r="AC395" s="4">
        <f>IFERROR(INDEX(楼层配置!$G$5:$G$104,MATCH($K395,楼层配置!$B$5:$B$104,0)),1)</f>
        <v>1</v>
      </c>
      <c r="AD395" s="6">
        <f t="shared" si="45"/>
        <v>-0.0804883291962922</v>
      </c>
      <c r="AE395" s="6">
        <f t="shared" si="46"/>
        <v>0.0803090741722223</v>
      </c>
      <c r="AF395" s="6">
        <f t="shared" si="47"/>
        <v>0.313635641256556</v>
      </c>
      <c r="AG395" s="4" t="str">
        <f t="shared" si="48"/>
        <v>有效</v>
      </c>
    </row>
    <row r="396" ht="14.25" customHeight="1" spans="1:33">
      <c r="A396" s="4">
        <v>392</v>
      </c>
      <c r="B396" s="4">
        <v>1011</v>
      </c>
      <c r="C396" s="4">
        <v>49</v>
      </c>
      <c r="D396" s="5">
        <f>IFERROR(ROUND($U396*$X396*$AA396*参数!$B$13,0),"")</f>
        <v>2855155</v>
      </c>
      <c r="E396" s="5">
        <f>IFERROR(ROUND($V396*$Y396*$AB396*参数!$C$13,0),"")</f>
        <v>38728</v>
      </c>
      <c r="F396" s="5">
        <f>IFERROR(ROUND($W396*$Z396*$AC396*参数!$D$13,0),"")</f>
        <v>41329</v>
      </c>
      <c r="G396" s="4">
        <v>3105078</v>
      </c>
      <c r="H396" s="4">
        <v>35849</v>
      </c>
      <c r="I396" s="4">
        <v>31462</v>
      </c>
      <c r="J396" s="4">
        <v>79</v>
      </c>
      <c r="K396" s="4">
        <v>79</v>
      </c>
      <c r="L396" s="4">
        <f>IFERROR(INDEX(楼层配置!$D$5:$D$104,MATCH($K396,楼层配置!$B$5:$B$104,0)),"")</f>
        <v>347</v>
      </c>
      <c r="M396" s="4" t="str">
        <f>IFERROR(INDEX(_角色基线!$B$2:$B$100,MATCH($B396,_角色基线!$A$2:$A$100,0)),"")</f>
        <v>陈双双</v>
      </c>
      <c r="N396" s="4" t="str">
        <f>IFERROR(INDEX(_角色基线!$C$2:$C$100,MATCH($B396,_角色基线!$A$2:$A$100,0)),"")</f>
        <v>Support</v>
      </c>
      <c r="O396" s="4">
        <f>IFERROR(INDEX(_怪物基线!$B$2:$B$501,MATCH(INT($L396),_怪物基线!$A$2:$A$501,0)),"")</f>
        <v>571031</v>
      </c>
      <c r="P396" s="4">
        <f>IFERROR(INDEX(_怪物基线!$C$2:$C$501,MATCH(INT($L396),_怪物基线!$A$2:$A$501,0)),"")</f>
        <v>32273</v>
      </c>
      <c r="Q396" s="4">
        <f>IFERROR(INDEX(_怪物基线!$D$2:$D$501,MATCH(INT($L396),_怪物基线!$A$2:$A$501,0)),"")</f>
        <v>33063</v>
      </c>
      <c r="R396" s="4">
        <f>参数!$B$10</f>
        <v>4</v>
      </c>
      <c r="S396" s="4">
        <f>参数!$C$10</f>
        <v>1.2</v>
      </c>
      <c r="T396" s="4">
        <f>参数!$D$10</f>
        <v>1</v>
      </c>
      <c r="U396" s="4">
        <f t="shared" si="42"/>
        <v>2284124</v>
      </c>
      <c r="V396" s="4">
        <f t="shared" si="43"/>
        <v>38727.6</v>
      </c>
      <c r="W396" s="4">
        <f t="shared" si="44"/>
        <v>33063</v>
      </c>
      <c r="X396" s="4">
        <f>IFERROR(INDEX(参数!$B$5:$B$7,MATCH($N396,参数!$A$5:$A$7,0)),"")</f>
        <v>1.25</v>
      </c>
      <c r="Y396" s="4">
        <f>IFERROR(INDEX(参数!$C$5:$C$7,MATCH($N396,参数!$A$5:$A$7,0)),"")</f>
        <v>1</v>
      </c>
      <c r="Z396" s="4">
        <f>IFERROR(INDEX(参数!$D$5:$D$7,MATCH($N396,参数!$A$5:$A$7,0)),"")</f>
        <v>1.25</v>
      </c>
      <c r="AA396" s="4">
        <f>IFERROR(INDEX(楼层配置!$E$5:$E$104,MATCH($K396,楼层配置!$B$5:$B$104,0)),1)</f>
        <v>1</v>
      </c>
      <c r="AB396" s="4">
        <f>IFERROR(INDEX(楼层配置!$F$5:$F$104,MATCH($K396,楼层配置!$B$5:$B$104,0)),1)</f>
        <v>1</v>
      </c>
      <c r="AC396" s="4">
        <f>IFERROR(INDEX(楼层配置!$G$5:$G$104,MATCH($K396,楼层配置!$B$5:$B$104,0)),1)</f>
        <v>1</v>
      </c>
      <c r="AD396" s="6">
        <f t="shared" si="45"/>
        <v>-0.0804884772620849</v>
      </c>
      <c r="AE396" s="6">
        <f t="shared" si="46"/>
        <v>0.0803090741722223</v>
      </c>
      <c r="AF396" s="6">
        <f t="shared" si="47"/>
        <v>0.313616426164897</v>
      </c>
      <c r="AG396" s="4" t="str">
        <f t="shared" si="48"/>
        <v>有效</v>
      </c>
    </row>
    <row r="397" ht="14.25" customHeight="1" spans="1:33">
      <c r="A397" s="4">
        <v>393</v>
      </c>
      <c r="B397" s="4">
        <v>1013</v>
      </c>
      <c r="C397" s="4">
        <v>49</v>
      </c>
      <c r="D397" s="5">
        <f>IFERROR(ROUND($U397*$X397*$AA397*参数!$B$13,0),"")</f>
        <v>2284124</v>
      </c>
      <c r="E397" s="5">
        <f>IFERROR(ROUND($V397*$Y397*$AB397*参数!$C$13,0),"")</f>
        <v>46473</v>
      </c>
      <c r="F397" s="5">
        <f>IFERROR(ROUND($W397*$Z397*$AC397*参数!$D$13,0),"")</f>
        <v>33063</v>
      </c>
      <c r="G397" s="4">
        <v>2484062</v>
      </c>
      <c r="H397" s="4">
        <v>43018</v>
      </c>
      <c r="I397" s="4">
        <v>25169</v>
      </c>
      <c r="J397" s="4">
        <v>79</v>
      </c>
      <c r="K397" s="4">
        <v>79</v>
      </c>
      <c r="L397" s="4">
        <f>IFERROR(INDEX(楼层配置!$D$5:$D$104,MATCH($K397,楼层配置!$B$5:$B$104,0)),"")</f>
        <v>347</v>
      </c>
      <c r="M397" s="4" t="str">
        <f>IFERROR(INDEX(_角色基线!$B$2:$B$100,MATCH($B397,_角色基线!$A$2:$A$100,0)),"")</f>
        <v>夏缇拉</v>
      </c>
      <c r="N397" s="4" t="str">
        <f>IFERROR(INDEX(_角色基线!$C$2:$C$100,MATCH($B397,_角色基线!$A$2:$A$100,0)),"")</f>
        <v>DPS</v>
      </c>
      <c r="O397" s="4">
        <f>IFERROR(INDEX(_怪物基线!$B$2:$B$501,MATCH(INT($L397),_怪物基线!$A$2:$A$501,0)),"")</f>
        <v>571031</v>
      </c>
      <c r="P397" s="4">
        <f>IFERROR(INDEX(_怪物基线!$C$2:$C$501,MATCH(INT($L397),_怪物基线!$A$2:$A$501,0)),"")</f>
        <v>32273</v>
      </c>
      <c r="Q397" s="4">
        <f>IFERROR(INDEX(_怪物基线!$D$2:$D$501,MATCH(INT($L397),_怪物基线!$A$2:$A$501,0)),"")</f>
        <v>33063</v>
      </c>
      <c r="R397" s="4">
        <f>参数!$B$10</f>
        <v>4</v>
      </c>
      <c r="S397" s="4">
        <f>参数!$C$10</f>
        <v>1.2</v>
      </c>
      <c r="T397" s="4">
        <f>参数!$D$10</f>
        <v>1</v>
      </c>
      <c r="U397" s="4">
        <f t="shared" si="42"/>
        <v>2284124</v>
      </c>
      <c r="V397" s="4">
        <f t="shared" si="43"/>
        <v>38727.6</v>
      </c>
      <c r="W397" s="4">
        <f t="shared" si="44"/>
        <v>33063</v>
      </c>
      <c r="X397" s="4">
        <f>IFERROR(INDEX(参数!$B$5:$B$7,MATCH($N397,参数!$A$5:$A$7,0)),"")</f>
        <v>1</v>
      </c>
      <c r="Y397" s="4">
        <f>IFERROR(INDEX(参数!$C$5:$C$7,MATCH($N397,参数!$A$5:$A$7,0)),"")</f>
        <v>1.2</v>
      </c>
      <c r="Z397" s="4">
        <f>IFERROR(INDEX(参数!$D$5:$D$7,MATCH($N397,参数!$A$5:$A$7,0)),"")</f>
        <v>1</v>
      </c>
      <c r="AA397" s="4">
        <f>IFERROR(INDEX(楼层配置!$E$5:$E$104,MATCH($K397,楼层配置!$B$5:$B$104,0)),1)</f>
        <v>1</v>
      </c>
      <c r="AB397" s="4">
        <f>IFERROR(INDEX(楼层配置!$F$5:$F$104,MATCH($K397,楼层配置!$B$5:$B$104,0)),1)</f>
        <v>1</v>
      </c>
      <c r="AC397" s="4">
        <f>IFERROR(INDEX(楼层配置!$G$5:$G$104,MATCH($K397,楼层配置!$B$5:$B$104,0)),1)</f>
        <v>1</v>
      </c>
      <c r="AD397" s="6">
        <f t="shared" si="45"/>
        <v>-0.0804883291962922</v>
      </c>
      <c r="AE397" s="6">
        <f t="shared" si="46"/>
        <v>0.0803152168859547</v>
      </c>
      <c r="AF397" s="6">
        <f t="shared" si="47"/>
        <v>0.313639794985895</v>
      </c>
      <c r="AG397" s="4" t="str">
        <f t="shared" si="48"/>
        <v>有效</v>
      </c>
    </row>
    <row r="398" ht="14.25" customHeight="1" spans="1:33">
      <c r="A398" s="4">
        <v>394</v>
      </c>
      <c r="B398" s="4">
        <v>1001</v>
      </c>
      <c r="C398" s="4">
        <v>49</v>
      </c>
      <c r="D398" s="5">
        <f>IFERROR(ROUND($U398*$X398*$AA398*参数!$B$13,0),"")</f>
        <v>2284124</v>
      </c>
      <c r="E398" s="5">
        <f>IFERROR(ROUND($V398*$Y398*$AB398*参数!$C$13,0),"")</f>
        <v>46473</v>
      </c>
      <c r="F398" s="5">
        <f>IFERROR(ROUND($W398*$Z398*$AC398*参数!$D$13,0),"")</f>
        <v>33063</v>
      </c>
      <c r="G398" s="4">
        <v>2484062</v>
      </c>
      <c r="H398" s="4">
        <v>43018</v>
      </c>
      <c r="I398" s="4">
        <v>25169</v>
      </c>
      <c r="J398" s="4">
        <v>79</v>
      </c>
      <c r="K398" s="4">
        <v>79</v>
      </c>
      <c r="L398" s="4">
        <f>IFERROR(INDEX(楼层配置!$D$5:$D$104,MATCH($K398,楼层配置!$B$5:$B$104,0)),"")</f>
        <v>347</v>
      </c>
      <c r="M398" s="4" t="str">
        <f>IFERROR(INDEX(_角色基线!$B$2:$B$100,MATCH($B398,_角色基线!$A$2:$A$100,0)),"")</f>
        <v>星海</v>
      </c>
      <c r="N398" s="4" t="str">
        <f>IFERROR(INDEX(_角色基线!$C$2:$C$100,MATCH($B398,_角色基线!$A$2:$A$100,0)),"")</f>
        <v>DPS</v>
      </c>
      <c r="O398" s="4">
        <f>IFERROR(INDEX(_怪物基线!$B$2:$B$501,MATCH(INT($L398),_怪物基线!$A$2:$A$501,0)),"")</f>
        <v>571031</v>
      </c>
      <c r="P398" s="4">
        <f>IFERROR(INDEX(_怪物基线!$C$2:$C$501,MATCH(INT($L398),_怪物基线!$A$2:$A$501,0)),"")</f>
        <v>32273</v>
      </c>
      <c r="Q398" s="4">
        <f>IFERROR(INDEX(_怪物基线!$D$2:$D$501,MATCH(INT($L398),_怪物基线!$A$2:$A$501,0)),"")</f>
        <v>33063</v>
      </c>
      <c r="R398" s="4">
        <f>参数!$B$10</f>
        <v>4</v>
      </c>
      <c r="S398" s="4">
        <f>参数!$C$10</f>
        <v>1.2</v>
      </c>
      <c r="T398" s="4">
        <f>参数!$D$10</f>
        <v>1</v>
      </c>
      <c r="U398" s="4">
        <f t="shared" si="42"/>
        <v>2284124</v>
      </c>
      <c r="V398" s="4">
        <f t="shared" si="43"/>
        <v>38727.6</v>
      </c>
      <c r="W398" s="4">
        <f t="shared" si="44"/>
        <v>33063</v>
      </c>
      <c r="X398" s="4">
        <f>IFERROR(INDEX(参数!$B$5:$B$7,MATCH($N398,参数!$A$5:$A$7,0)),"")</f>
        <v>1</v>
      </c>
      <c r="Y398" s="4">
        <f>IFERROR(INDEX(参数!$C$5:$C$7,MATCH($N398,参数!$A$5:$A$7,0)),"")</f>
        <v>1.2</v>
      </c>
      <c r="Z398" s="4">
        <f>IFERROR(INDEX(参数!$D$5:$D$7,MATCH($N398,参数!$A$5:$A$7,0)),"")</f>
        <v>1</v>
      </c>
      <c r="AA398" s="4">
        <f>IFERROR(INDEX(楼层配置!$E$5:$E$104,MATCH($K398,楼层配置!$B$5:$B$104,0)),1)</f>
        <v>1</v>
      </c>
      <c r="AB398" s="4">
        <f>IFERROR(INDEX(楼层配置!$F$5:$F$104,MATCH($K398,楼层配置!$B$5:$B$104,0)),1)</f>
        <v>1</v>
      </c>
      <c r="AC398" s="4">
        <f>IFERROR(INDEX(楼层配置!$G$5:$G$104,MATCH($K398,楼层配置!$B$5:$B$104,0)),1)</f>
        <v>1</v>
      </c>
      <c r="AD398" s="6">
        <f t="shared" si="45"/>
        <v>-0.0804883291962922</v>
      </c>
      <c r="AE398" s="6">
        <f t="shared" si="46"/>
        <v>0.0803152168859547</v>
      </c>
      <c r="AF398" s="6">
        <f t="shared" si="47"/>
        <v>0.313639794985895</v>
      </c>
      <c r="AG398" s="4" t="str">
        <f t="shared" si="48"/>
        <v>有效</v>
      </c>
    </row>
    <row r="399" ht="14.25" customHeight="1" spans="1:33">
      <c r="A399" s="4">
        <v>395</v>
      </c>
      <c r="B399" s="4">
        <v>1001</v>
      </c>
      <c r="C399" s="4">
        <v>49</v>
      </c>
      <c r="D399" s="5">
        <f>IFERROR(ROUND($U399*$X399*$AA399*参数!$B$13,0),"")</f>
        <v>2284124</v>
      </c>
      <c r="E399" s="5">
        <f>IFERROR(ROUND($V399*$Y399*$AB399*参数!$C$13,0),"")</f>
        <v>46473</v>
      </c>
      <c r="F399" s="5">
        <f>IFERROR(ROUND($W399*$Z399*$AC399*参数!$D$13,0),"")</f>
        <v>33063</v>
      </c>
      <c r="G399" s="4">
        <v>2484062</v>
      </c>
      <c r="H399" s="4">
        <v>43018</v>
      </c>
      <c r="I399" s="4">
        <v>25169</v>
      </c>
      <c r="J399" s="4">
        <v>79</v>
      </c>
      <c r="K399" s="4">
        <v>79</v>
      </c>
      <c r="L399" s="4">
        <f>IFERROR(INDEX(楼层配置!$D$5:$D$104,MATCH($K399,楼层配置!$B$5:$B$104,0)),"")</f>
        <v>347</v>
      </c>
      <c r="M399" s="4" t="str">
        <f>IFERROR(INDEX(_角色基线!$B$2:$B$100,MATCH($B399,_角色基线!$A$2:$A$100,0)),"")</f>
        <v>星海</v>
      </c>
      <c r="N399" s="4" t="str">
        <f>IFERROR(INDEX(_角色基线!$C$2:$C$100,MATCH($B399,_角色基线!$A$2:$A$100,0)),"")</f>
        <v>DPS</v>
      </c>
      <c r="O399" s="4">
        <f>IFERROR(INDEX(_怪物基线!$B$2:$B$501,MATCH(INT($L399),_怪物基线!$A$2:$A$501,0)),"")</f>
        <v>571031</v>
      </c>
      <c r="P399" s="4">
        <f>IFERROR(INDEX(_怪物基线!$C$2:$C$501,MATCH(INT($L399),_怪物基线!$A$2:$A$501,0)),"")</f>
        <v>32273</v>
      </c>
      <c r="Q399" s="4">
        <f>IFERROR(INDEX(_怪物基线!$D$2:$D$501,MATCH(INT($L399),_怪物基线!$A$2:$A$501,0)),"")</f>
        <v>33063</v>
      </c>
      <c r="R399" s="4">
        <f>参数!$B$10</f>
        <v>4</v>
      </c>
      <c r="S399" s="4">
        <f>参数!$C$10</f>
        <v>1.2</v>
      </c>
      <c r="T399" s="4">
        <f>参数!$D$10</f>
        <v>1</v>
      </c>
      <c r="U399" s="4">
        <f t="shared" si="42"/>
        <v>2284124</v>
      </c>
      <c r="V399" s="4">
        <f t="shared" si="43"/>
        <v>38727.6</v>
      </c>
      <c r="W399" s="4">
        <f t="shared" si="44"/>
        <v>33063</v>
      </c>
      <c r="X399" s="4">
        <f>IFERROR(INDEX(参数!$B$5:$B$7,MATCH($N399,参数!$A$5:$A$7,0)),"")</f>
        <v>1</v>
      </c>
      <c r="Y399" s="4">
        <f>IFERROR(INDEX(参数!$C$5:$C$7,MATCH($N399,参数!$A$5:$A$7,0)),"")</f>
        <v>1.2</v>
      </c>
      <c r="Z399" s="4">
        <f>IFERROR(INDEX(参数!$D$5:$D$7,MATCH($N399,参数!$A$5:$A$7,0)),"")</f>
        <v>1</v>
      </c>
      <c r="AA399" s="4">
        <f>IFERROR(INDEX(楼层配置!$E$5:$E$104,MATCH($K399,楼层配置!$B$5:$B$104,0)),1)</f>
        <v>1</v>
      </c>
      <c r="AB399" s="4">
        <f>IFERROR(INDEX(楼层配置!$F$5:$F$104,MATCH($K399,楼层配置!$B$5:$B$104,0)),1)</f>
        <v>1</v>
      </c>
      <c r="AC399" s="4">
        <f>IFERROR(INDEX(楼层配置!$G$5:$G$104,MATCH($K399,楼层配置!$B$5:$B$104,0)),1)</f>
        <v>1</v>
      </c>
      <c r="AD399" s="6">
        <f t="shared" si="45"/>
        <v>-0.0804883291962922</v>
      </c>
      <c r="AE399" s="6">
        <f t="shared" si="46"/>
        <v>0.0803152168859547</v>
      </c>
      <c r="AF399" s="6">
        <f t="shared" si="47"/>
        <v>0.313639794985895</v>
      </c>
      <c r="AG399" s="4" t="str">
        <f t="shared" si="48"/>
        <v>有效</v>
      </c>
    </row>
    <row r="400" ht="14.25" customHeight="1" spans="1:33">
      <c r="A400" s="4">
        <v>396</v>
      </c>
      <c r="B400" s="4">
        <v>1003</v>
      </c>
      <c r="C400" s="4">
        <v>50</v>
      </c>
      <c r="D400" s="5">
        <f>IFERROR(ROUND($U400*$X400*$AA400*参数!$B$13,0),"")</f>
        <v>3482028</v>
      </c>
      <c r="E400" s="5">
        <f>IFERROR(ROUND($V400*$Y400*$AB400*参数!$C$13,0),"")</f>
        <v>39227</v>
      </c>
      <c r="F400" s="5">
        <f>IFERROR(ROUND($W400*$Z400*$AC400*参数!$D$13,0),"")</f>
        <v>50000</v>
      </c>
      <c r="G400" s="4">
        <v>3851402</v>
      </c>
      <c r="H400" s="4">
        <v>36786</v>
      </c>
      <c r="I400" s="4">
        <v>38390</v>
      </c>
      <c r="J400" s="4">
        <v>80</v>
      </c>
      <c r="K400" s="4">
        <v>80</v>
      </c>
      <c r="L400" s="4">
        <f>IFERROR(INDEX(楼层配置!$D$5:$D$104,MATCH($K400,楼层配置!$B$5:$B$104,0)),"")</f>
        <v>349</v>
      </c>
      <c r="M400" s="4" t="str">
        <f>IFERROR(INDEX(_角色基线!$B$2:$B$100,MATCH($B400,_角色基线!$A$2:$A$100,0)),"")</f>
        <v>塔拉夏</v>
      </c>
      <c r="N400" s="4" t="str">
        <f>IFERROR(INDEX(_角色基线!$C$2:$C$100,MATCH($B400,_角色基线!$A$2:$A$100,0)),"")</f>
        <v>Tank</v>
      </c>
      <c r="O400" s="4">
        <f>IFERROR(INDEX(_怪物基线!$B$2:$B$501,MATCH(INT($L400),_怪物基线!$A$2:$A$501,0)),"")</f>
        <v>580338</v>
      </c>
      <c r="P400" s="4">
        <f>IFERROR(INDEX(_怪物基线!$C$2:$C$501,MATCH(INT($L400),_怪物基线!$A$2:$A$501,0)),"")</f>
        <v>32689</v>
      </c>
      <c r="Q400" s="4">
        <f>IFERROR(INDEX(_怪物基线!$D$2:$D$501,MATCH(INT($L400),_怪物基线!$A$2:$A$501,0)),"")</f>
        <v>33333</v>
      </c>
      <c r="R400" s="4">
        <f>参数!$B$10</f>
        <v>4</v>
      </c>
      <c r="S400" s="4">
        <f>参数!$C$10</f>
        <v>1.2</v>
      </c>
      <c r="T400" s="4">
        <f>参数!$D$10</f>
        <v>1</v>
      </c>
      <c r="U400" s="4">
        <f t="shared" si="42"/>
        <v>2321352</v>
      </c>
      <c r="V400" s="4">
        <f t="shared" si="43"/>
        <v>39226.8</v>
      </c>
      <c r="W400" s="4">
        <f t="shared" si="44"/>
        <v>33333</v>
      </c>
      <c r="X400" s="4">
        <f>IFERROR(INDEX(参数!$B$5:$B$7,MATCH($N400,参数!$A$5:$A$7,0)),"")</f>
        <v>1.5</v>
      </c>
      <c r="Y400" s="4">
        <f>IFERROR(INDEX(参数!$C$5:$C$7,MATCH($N400,参数!$A$5:$A$7,0)),"")</f>
        <v>1</v>
      </c>
      <c r="Z400" s="4">
        <f>IFERROR(INDEX(参数!$D$5:$D$7,MATCH($N400,参数!$A$5:$A$7,0)),"")</f>
        <v>1.5</v>
      </c>
      <c r="AA400" s="4">
        <f>IFERROR(INDEX(楼层配置!$E$5:$E$104,MATCH($K400,楼层配置!$B$5:$B$104,0)),1)</f>
        <v>1</v>
      </c>
      <c r="AB400" s="4">
        <f>IFERROR(INDEX(楼层配置!$F$5:$F$104,MATCH($K400,楼层配置!$B$5:$B$104,0)),1)</f>
        <v>1</v>
      </c>
      <c r="AC400" s="4">
        <f>IFERROR(INDEX(楼层配置!$G$5:$G$104,MATCH($K400,楼层配置!$B$5:$B$104,0)),1)</f>
        <v>1</v>
      </c>
      <c r="AD400" s="6">
        <f t="shared" si="45"/>
        <v>-0.095906373834775</v>
      </c>
      <c r="AE400" s="6">
        <f t="shared" si="46"/>
        <v>0.0663567661610396</v>
      </c>
      <c r="AF400" s="6">
        <f t="shared" si="47"/>
        <v>0.302422505860901</v>
      </c>
      <c r="AG400" s="4" t="str">
        <f t="shared" si="48"/>
        <v>有效</v>
      </c>
    </row>
    <row r="401" ht="14.25" customHeight="1" spans="1:33">
      <c r="A401" s="4">
        <v>397</v>
      </c>
      <c r="B401" s="4">
        <v>1013</v>
      </c>
      <c r="C401" s="4">
        <v>50</v>
      </c>
      <c r="D401" s="5">
        <f>IFERROR(ROUND($U401*$X401*$AA401*参数!$B$13,0),"")</f>
        <v>2321352</v>
      </c>
      <c r="E401" s="5">
        <f>IFERROR(ROUND($V401*$Y401*$AB401*参数!$C$13,0),"")</f>
        <v>47072</v>
      </c>
      <c r="F401" s="5">
        <f>IFERROR(ROUND($W401*$Z401*$AC401*参数!$D$13,0),"")</f>
        <v>33333</v>
      </c>
      <c r="G401" s="4">
        <v>2567601</v>
      </c>
      <c r="H401" s="4">
        <v>44143</v>
      </c>
      <c r="I401" s="4">
        <v>25593</v>
      </c>
      <c r="J401" s="4">
        <v>80</v>
      </c>
      <c r="K401" s="4">
        <v>80</v>
      </c>
      <c r="L401" s="4">
        <f>IFERROR(INDEX(楼层配置!$D$5:$D$104,MATCH($K401,楼层配置!$B$5:$B$104,0)),"")</f>
        <v>349</v>
      </c>
      <c r="M401" s="4" t="str">
        <f>IFERROR(INDEX(_角色基线!$B$2:$B$100,MATCH($B401,_角色基线!$A$2:$A$100,0)),"")</f>
        <v>夏缇拉</v>
      </c>
      <c r="N401" s="4" t="str">
        <f>IFERROR(INDEX(_角色基线!$C$2:$C$100,MATCH($B401,_角色基线!$A$2:$A$100,0)),"")</f>
        <v>DPS</v>
      </c>
      <c r="O401" s="4">
        <f>IFERROR(INDEX(_怪物基线!$B$2:$B$501,MATCH(INT($L401),_怪物基线!$A$2:$A$501,0)),"")</f>
        <v>580338</v>
      </c>
      <c r="P401" s="4">
        <f>IFERROR(INDEX(_怪物基线!$C$2:$C$501,MATCH(INT($L401),_怪物基线!$A$2:$A$501,0)),"")</f>
        <v>32689</v>
      </c>
      <c r="Q401" s="4">
        <f>IFERROR(INDEX(_怪物基线!$D$2:$D$501,MATCH(INT($L401),_怪物基线!$A$2:$A$501,0)),"")</f>
        <v>33333</v>
      </c>
      <c r="R401" s="4">
        <f>参数!$B$10</f>
        <v>4</v>
      </c>
      <c r="S401" s="4">
        <f>参数!$C$10</f>
        <v>1.2</v>
      </c>
      <c r="T401" s="4">
        <f>参数!$D$10</f>
        <v>1</v>
      </c>
      <c r="U401" s="4">
        <f t="shared" si="42"/>
        <v>2321352</v>
      </c>
      <c r="V401" s="4">
        <f t="shared" si="43"/>
        <v>39226.8</v>
      </c>
      <c r="W401" s="4">
        <f t="shared" si="44"/>
        <v>33333</v>
      </c>
      <c r="X401" s="4">
        <f>IFERROR(INDEX(参数!$B$5:$B$7,MATCH($N401,参数!$A$5:$A$7,0)),"")</f>
        <v>1</v>
      </c>
      <c r="Y401" s="4">
        <f>IFERROR(INDEX(参数!$C$5:$C$7,MATCH($N401,参数!$A$5:$A$7,0)),"")</f>
        <v>1.2</v>
      </c>
      <c r="Z401" s="4">
        <f>IFERROR(INDEX(参数!$D$5:$D$7,MATCH($N401,参数!$A$5:$A$7,0)),"")</f>
        <v>1</v>
      </c>
      <c r="AA401" s="4">
        <f>IFERROR(INDEX(楼层配置!$E$5:$E$104,MATCH($K401,楼层配置!$B$5:$B$104,0)),1)</f>
        <v>1</v>
      </c>
      <c r="AB401" s="4">
        <f>IFERROR(INDEX(楼层配置!$F$5:$F$104,MATCH($K401,楼层配置!$B$5:$B$104,0)),1)</f>
        <v>1</v>
      </c>
      <c r="AC401" s="4">
        <f>IFERROR(INDEX(楼层配置!$G$5:$G$104,MATCH($K401,楼层配置!$B$5:$B$104,0)),1)</f>
        <v>1</v>
      </c>
      <c r="AD401" s="6">
        <f t="shared" si="45"/>
        <v>-0.0959062564627448</v>
      </c>
      <c r="AE401" s="6">
        <f t="shared" si="46"/>
        <v>0.0663525360759349</v>
      </c>
      <c r="AF401" s="6">
        <f t="shared" si="47"/>
        <v>0.302426444730981</v>
      </c>
      <c r="AG401" s="4" t="str">
        <f t="shared" si="48"/>
        <v>有效</v>
      </c>
    </row>
    <row r="402" ht="14.25" customHeight="1" spans="1:33">
      <c r="A402" s="4">
        <v>398</v>
      </c>
      <c r="B402" s="4">
        <v>1020</v>
      </c>
      <c r="C402" s="4">
        <v>50</v>
      </c>
      <c r="D402" s="5">
        <f>IFERROR(ROUND($U402*$X402*$AA402*参数!$B$13,0),"")</f>
        <v>2901690</v>
      </c>
      <c r="E402" s="5">
        <f>IFERROR(ROUND($V402*$Y402*$AB402*参数!$C$13,0),"")</f>
        <v>39227</v>
      </c>
      <c r="F402" s="5">
        <f>IFERROR(ROUND($W402*$Z402*$AC402*参数!$D$13,0),"")</f>
        <v>41666</v>
      </c>
      <c r="G402" s="4">
        <v>3209502</v>
      </c>
      <c r="H402" s="4">
        <v>36786</v>
      </c>
      <c r="I402" s="4">
        <v>31992</v>
      </c>
      <c r="J402" s="4">
        <v>80</v>
      </c>
      <c r="K402" s="4">
        <v>80</v>
      </c>
      <c r="L402" s="4">
        <f>IFERROR(INDEX(楼层配置!$D$5:$D$104,MATCH($K402,楼层配置!$B$5:$B$104,0)),"")</f>
        <v>349</v>
      </c>
      <c r="M402" s="4" t="str">
        <f>IFERROR(INDEX(_角色基线!$B$2:$B$100,MATCH($B402,_角色基线!$A$2:$A$100,0)),"")</f>
        <v>卡斯帕</v>
      </c>
      <c r="N402" s="4" t="str">
        <f>IFERROR(INDEX(_角色基线!$C$2:$C$100,MATCH($B402,_角色基线!$A$2:$A$100,0)),"")</f>
        <v>Support</v>
      </c>
      <c r="O402" s="4">
        <f>IFERROR(INDEX(_怪物基线!$B$2:$B$501,MATCH(INT($L402),_怪物基线!$A$2:$A$501,0)),"")</f>
        <v>580338</v>
      </c>
      <c r="P402" s="4">
        <f>IFERROR(INDEX(_怪物基线!$C$2:$C$501,MATCH(INT($L402),_怪物基线!$A$2:$A$501,0)),"")</f>
        <v>32689</v>
      </c>
      <c r="Q402" s="4">
        <f>IFERROR(INDEX(_怪物基线!$D$2:$D$501,MATCH(INT($L402),_怪物基线!$A$2:$A$501,0)),"")</f>
        <v>33333</v>
      </c>
      <c r="R402" s="4">
        <f>参数!$B$10</f>
        <v>4</v>
      </c>
      <c r="S402" s="4">
        <f>参数!$C$10</f>
        <v>1.2</v>
      </c>
      <c r="T402" s="4">
        <f>参数!$D$10</f>
        <v>1</v>
      </c>
      <c r="U402" s="4">
        <f t="shared" si="42"/>
        <v>2321352</v>
      </c>
      <c r="V402" s="4">
        <f t="shared" si="43"/>
        <v>39226.8</v>
      </c>
      <c r="W402" s="4">
        <f t="shared" si="44"/>
        <v>33333</v>
      </c>
      <c r="X402" s="4">
        <f>IFERROR(INDEX(参数!$B$5:$B$7,MATCH($N402,参数!$A$5:$A$7,0)),"")</f>
        <v>1.25</v>
      </c>
      <c r="Y402" s="4">
        <f>IFERROR(INDEX(参数!$C$5:$C$7,MATCH($N402,参数!$A$5:$A$7,0)),"")</f>
        <v>1</v>
      </c>
      <c r="Z402" s="4">
        <f>IFERROR(INDEX(参数!$D$5:$D$7,MATCH($N402,参数!$A$5:$A$7,0)),"")</f>
        <v>1.25</v>
      </c>
      <c r="AA402" s="4">
        <f>IFERROR(INDEX(楼层配置!$E$5:$E$104,MATCH($K402,楼层配置!$B$5:$B$104,0)),1)</f>
        <v>1</v>
      </c>
      <c r="AB402" s="4">
        <f>IFERROR(INDEX(楼层配置!$F$5:$F$104,MATCH($K402,楼层配置!$B$5:$B$104,0)),1)</f>
        <v>1</v>
      </c>
      <c r="AC402" s="4">
        <f>IFERROR(INDEX(楼层配置!$G$5:$G$104,MATCH($K402,楼层配置!$B$5:$B$104,0)),1)</f>
        <v>1</v>
      </c>
      <c r="AD402" s="6">
        <f t="shared" si="45"/>
        <v>-0.0959064677323772</v>
      </c>
      <c r="AE402" s="6">
        <f t="shared" si="46"/>
        <v>0.0663567661610396</v>
      </c>
      <c r="AF402" s="6">
        <f t="shared" si="47"/>
        <v>0.302388097024256</v>
      </c>
      <c r="AG402" s="4" t="str">
        <f t="shared" si="48"/>
        <v>有效</v>
      </c>
    </row>
    <row r="403" ht="14.25" customHeight="1" spans="1:33">
      <c r="A403" s="4">
        <v>399</v>
      </c>
      <c r="B403" s="4">
        <v>1012</v>
      </c>
      <c r="C403" s="4">
        <v>50</v>
      </c>
      <c r="D403" s="5">
        <f>IFERROR(ROUND($U403*$X403*$AA403*参数!$B$13,0),"")</f>
        <v>2901690</v>
      </c>
      <c r="E403" s="5">
        <f>IFERROR(ROUND($V403*$Y403*$AB403*参数!$C$13,0),"")</f>
        <v>39227</v>
      </c>
      <c r="F403" s="5">
        <f>IFERROR(ROUND($W403*$Z403*$AC403*参数!$D$13,0),"")</f>
        <v>41666</v>
      </c>
      <c r="G403" s="4">
        <v>3209502</v>
      </c>
      <c r="H403" s="4">
        <v>36786</v>
      </c>
      <c r="I403" s="4">
        <v>31992</v>
      </c>
      <c r="J403" s="4">
        <v>80</v>
      </c>
      <c r="K403" s="4">
        <v>80</v>
      </c>
      <c r="L403" s="4">
        <f>IFERROR(INDEX(楼层配置!$D$5:$D$104,MATCH($K403,楼层配置!$B$5:$B$104,0)),"")</f>
        <v>349</v>
      </c>
      <c r="M403" s="4" t="str">
        <f>IFERROR(INDEX(_角色基线!$B$2:$B$100,MATCH($B403,_角色基线!$A$2:$A$100,0)),"")</f>
        <v>艾德琳</v>
      </c>
      <c r="N403" s="4" t="str">
        <f>IFERROR(INDEX(_角色基线!$C$2:$C$100,MATCH($B403,_角色基线!$A$2:$A$100,0)),"")</f>
        <v>Support</v>
      </c>
      <c r="O403" s="4">
        <f>IFERROR(INDEX(_怪物基线!$B$2:$B$501,MATCH(INT($L403),_怪物基线!$A$2:$A$501,0)),"")</f>
        <v>580338</v>
      </c>
      <c r="P403" s="4">
        <f>IFERROR(INDEX(_怪物基线!$C$2:$C$501,MATCH(INT($L403),_怪物基线!$A$2:$A$501,0)),"")</f>
        <v>32689</v>
      </c>
      <c r="Q403" s="4">
        <f>IFERROR(INDEX(_怪物基线!$D$2:$D$501,MATCH(INT($L403),_怪物基线!$A$2:$A$501,0)),"")</f>
        <v>33333</v>
      </c>
      <c r="R403" s="4">
        <f>参数!$B$10</f>
        <v>4</v>
      </c>
      <c r="S403" s="4">
        <f>参数!$C$10</f>
        <v>1.2</v>
      </c>
      <c r="T403" s="4">
        <f>参数!$D$10</f>
        <v>1</v>
      </c>
      <c r="U403" s="4">
        <f t="shared" si="42"/>
        <v>2321352</v>
      </c>
      <c r="V403" s="4">
        <f t="shared" si="43"/>
        <v>39226.8</v>
      </c>
      <c r="W403" s="4">
        <f t="shared" si="44"/>
        <v>33333</v>
      </c>
      <c r="X403" s="4">
        <f>IFERROR(INDEX(参数!$B$5:$B$7,MATCH($N403,参数!$A$5:$A$7,0)),"")</f>
        <v>1.25</v>
      </c>
      <c r="Y403" s="4">
        <f>IFERROR(INDEX(参数!$C$5:$C$7,MATCH($N403,参数!$A$5:$A$7,0)),"")</f>
        <v>1</v>
      </c>
      <c r="Z403" s="4">
        <f>IFERROR(INDEX(参数!$D$5:$D$7,MATCH($N403,参数!$A$5:$A$7,0)),"")</f>
        <v>1.25</v>
      </c>
      <c r="AA403" s="4">
        <f>IFERROR(INDEX(楼层配置!$E$5:$E$104,MATCH($K403,楼层配置!$B$5:$B$104,0)),1)</f>
        <v>1</v>
      </c>
      <c r="AB403" s="4">
        <f>IFERROR(INDEX(楼层配置!$F$5:$F$104,MATCH($K403,楼层配置!$B$5:$B$104,0)),1)</f>
        <v>1</v>
      </c>
      <c r="AC403" s="4">
        <f>IFERROR(INDEX(楼层配置!$G$5:$G$104,MATCH($K403,楼层配置!$B$5:$B$104,0)),1)</f>
        <v>1</v>
      </c>
      <c r="AD403" s="6">
        <f t="shared" si="45"/>
        <v>-0.0959064677323772</v>
      </c>
      <c r="AE403" s="6">
        <f t="shared" si="46"/>
        <v>0.0663567661610396</v>
      </c>
      <c r="AF403" s="6">
        <f t="shared" si="47"/>
        <v>0.302388097024256</v>
      </c>
      <c r="AG403" s="4" t="str">
        <f t="shared" si="48"/>
        <v>有效</v>
      </c>
    </row>
    <row r="404" ht="14.25" customHeight="1" spans="1:33">
      <c r="A404" s="4">
        <v>400</v>
      </c>
      <c r="B404" s="4">
        <v>1018</v>
      </c>
      <c r="C404" s="4">
        <v>50</v>
      </c>
      <c r="D404" s="5">
        <f>IFERROR(ROUND($U404*$X404*$AA404*参数!$B$13,0),"")</f>
        <v>2901690</v>
      </c>
      <c r="E404" s="5">
        <f>IFERROR(ROUND($V404*$Y404*$AB404*参数!$C$13,0),"")</f>
        <v>39227</v>
      </c>
      <c r="F404" s="5">
        <f>IFERROR(ROUND($W404*$Z404*$AC404*参数!$D$13,0),"")</f>
        <v>41666</v>
      </c>
      <c r="G404" s="4">
        <v>3209502</v>
      </c>
      <c r="H404" s="4">
        <v>36786</v>
      </c>
      <c r="I404" s="4">
        <v>31992</v>
      </c>
      <c r="J404" s="4">
        <v>80</v>
      </c>
      <c r="K404" s="4">
        <v>80</v>
      </c>
      <c r="L404" s="4">
        <f>IFERROR(INDEX(楼层配置!$D$5:$D$104,MATCH($K404,楼层配置!$B$5:$B$104,0)),"")</f>
        <v>349</v>
      </c>
      <c r="M404" s="4" t="str">
        <f>IFERROR(INDEX(_角色基线!$B$2:$B$100,MATCH($B404,_角色基线!$A$2:$A$100,0)),"")</f>
        <v>埃莉诺</v>
      </c>
      <c r="N404" s="4" t="str">
        <f>IFERROR(INDEX(_角色基线!$C$2:$C$100,MATCH($B404,_角色基线!$A$2:$A$100,0)),"")</f>
        <v>Support</v>
      </c>
      <c r="O404" s="4">
        <f>IFERROR(INDEX(_怪物基线!$B$2:$B$501,MATCH(INT($L404),_怪物基线!$A$2:$A$501,0)),"")</f>
        <v>580338</v>
      </c>
      <c r="P404" s="4">
        <f>IFERROR(INDEX(_怪物基线!$C$2:$C$501,MATCH(INT($L404),_怪物基线!$A$2:$A$501,0)),"")</f>
        <v>32689</v>
      </c>
      <c r="Q404" s="4">
        <f>IFERROR(INDEX(_怪物基线!$D$2:$D$501,MATCH(INT($L404),_怪物基线!$A$2:$A$501,0)),"")</f>
        <v>33333</v>
      </c>
      <c r="R404" s="4">
        <f>参数!$B$10</f>
        <v>4</v>
      </c>
      <c r="S404" s="4">
        <f>参数!$C$10</f>
        <v>1.2</v>
      </c>
      <c r="T404" s="4">
        <f>参数!$D$10</f>
        <v>1</v>
      </c>
      <c r="U404" s="4">
        <f t="shared" si="42"/>
        <v>2321352</v>
      </c>
      <c r="V404" s="4">
        <f t="shared" si="43"/>
        <v>39226.8</v>
      </c>
      <c r="W404" s="4">
        <f t="shared" si="44"/>
        <v>33333</v>
      </c>
      <c r="X404" s="4">
        <f>IFERROR(INDEX(参数!$B$5:$B$7,MATCH($N404,参数!$A$5:$A$7,0)),"")</f>
        <v>1.25</v>
      </c>
      <c r="Y404" s="4">
        <f>IFERROR(INDEX(参数!$C$5:$C$7,MATCH($N404,参数!$A$5:$A$7,0)),"")</f>
        <v>1</v>
      </c>
      <c r="Z404" s="4">
        <f>IFERROR(INDEX(参数!$D$5:$D$7,MATCH($N404,参数!$A$5:$A$7,0)),"")</f>
        <v>1.25</v>
      </c>
      <c r="AA404" s="4">
        <f>IFERROR(INDEX(楼层配置!$E$5:$E$104,MATCH($K404,楼层配置!$B$5:$B$104,0)),1)</f>
        <v>1</v>
      </c>
      <c r="AB404" s="4">
        <f>IFERROR(INDEX(楼层配置!$F$5:$F$104,MATCH($K404,楼层配置!$B$5:$B$104,0)),1)</f>
        <v>1</v>
      </c>
      <c r="AC404" s="4">
        <f>IFERROR(INDEX(楼层配置!$G$5:$G$104,MATCH($K404,楼层配置!$B$5:$B$104,0)),1)</f>
        <v>1</v>
      </c>
      <c r="AD404" s="6">
        <f t="shared" si="45"/>
        <v>-0.0959064677323772</v>
      </c>
      <c r="AE404" s="6">
        <f t="shared" si="46"/>
        <v>0.0663567661610396</v>
      </c>
      <c r="AF404" s="6">
        <f t="shared" si="47"/>
        <v>0.302388097024256</v>
      </c>
      <c r="AG404" s="4" t="str">
        <f t="shared" si="48"/>
        <v>有效</v>
      </c>
    </row>
    <row r="405" ht="14.25" customHeight="1" spans="1:33">
      <c r="A405" s="4">
        <v>401</v>
      </c>
      <c r="B405" s="4">
        <v>1004</v>
      </c>
      <c r="C405" s="4">
        <v>50</v>
      </c>
      <c r="D405" s="5">
        <f>IFERROR(ROUND($U405*$X405*$AA405*参数!$B$13,0),"")</f>
        <v>3510198</v>
      </c>
      <c r="E405" s="5">
        <f>IFERROR(ROUND($V405*$Y405*$AB405*参数!$C$13,0),"")</f>
        <v>39479</v>
      </c>
      <c r="F405" s="5">
        <f>IFERROR(ROUND($W405*$Z405*$AC405*参数!$D$13,0),"")</f>
        <v>50202</v>
      </c>
      <c r="G405" s="4">
        <v>3979828</v>
      </c>
      <c r="H405" s="4">
        <v>37746</v>
      </c>
      <c r="I405" s="4">
        <v>39031</v>
      </c>
      <c r="J405" s="4">
        <v>81</v>
      </c>
      <c r="K405" s="4">
        <v>81</v>
      </c>
      <c r="L405" s="4">
        <f>IFERROR(INDEX(楼层配置!$D$5:$D$104,MATCH($K405,楼层配置!$B$5:$B$104,0)),"")</f>
        <v>350</v>
      </c>
      <c r="M405" s="4" t="str">
        <f>IFERROR(INDEX(_角色基线!$B$2:$B$100,MATCH($B405,_角色基线!$A$2:$A$100,0)),"")</f>
        <v>阿芭</v>
      </c>
      <c r="N405" s="4" t="str">
        <f>IFERROR(INDEX(_角色基线!$C$2:$C$100,MATCH($B405,_角色基线!$A$2:$A$100,0)),"")</f>
        <v>Tank</v>
      </c>
      <c r="O405" s="4">
        <f>IFERROR(INDEX(_怪物基线!$B$2:$B$501,MATCH(INT($L405),_怪物基线!$A$2:$A$501,0)),"")</f>
        <v>585033</v>
      </c>
      <c r="P405" s="4">
        <f>IFERROR(INDEX(_怪物基线!$C$2:$C$501,MATCH(INT($L405),_怪物基线!$A$2:$A$501,0)),"")</f>
        <v>32899</v>
      </c>
      <c r="Q405" s="4">
        <f>IFERROR(INDEX(_怪物基线!$D$2:$D$501,MATCH(INT($L405),_怪物基线!$A$2:$A$501,0)),"")</f>
        <v>33468</v>
      </c>
      <c r="R405" s="4">
        <f>参数!$B$10</f>
        <v>4</v>
      </c>
      <c r="S405" s="4">
        <f>参数!$C$10</f>
        <v>1.2</v>
      </c>
      <c r="T405" s="4">
        <f>参数!$D$10</f>
        <v>1</v>
      </c>
      <c r="U405" s="4">
        <f t="shared" si="42"/>
        <v>2340132</v>
      </c>
      <c r="V405" s="4">
        <f t="shared" si="43"/>
        <v>39478.8</v>
      </c>
      <c r="W405" s="4">
        <f t="shared" si="44"/>
        <v>33468</v>
      </c>
      <c r="X405" s="4">
        <f>IFERROR(INDEX(参数!$B$5:$B$7,MATCH($N405,参数!$A$5:$A$7,0)),"")</f>
        <v>1.5</v>
      </c>
      <c r="Y405" s="4">
        <f>IFERROR(INDEX(参数!$C$5:$C$7,MATCH($N405,参数!$A$5:$A$7,0)),"")</f>
        <v>1</v>
      </c>
      <c r="Z405" s="4">
        <f>IFERROR(INDEX(参数!$D$5:$D$7,MATCH($N405,参数!$A$5:$A$7,0)),"")</f>
        <v>1.5</v>
      </c>
      <c r="AA405" s="4">
        <f>IFERROR(INDEX(楼层配置!$E$5:$E$104,MATCH($K405,楼层配置!$B$5:$B$104,0)),1)</f>
        <v>1</v>
      </c>
      <c r="AB405" s="4">
        <f>IFERROR(INDEX(楼层配置!$F$5:$F$104,MATCH($K405,楼层配置!$B$5:$B$104,0)),1)</f>
        <v>1</v>
      </c>
      <c r="AC405" s="4">
        <f>IFERROR(INDEX(楼层配置!$G$5:$G$104,MATCH($K405,楼层配置!$B$5:$B$104,0)),1)</f>
        <v>1</v>
      </c>
      <c r="AD405" s="6">
        <f t="shared" si="45"/>
        <v>-0.118002587046475</v>
      </c>
      <c r="AE405" s="6">
        <f t="shared" si="46"/>
        <v>0.0459121496317492</v>
      </c>
      <c r="AF405" s="6">
        <f t="shared" si="47"/>
        <v>0.286208398452512</v>
      </c>
      <c r="AG405" s="4" t="str">
        <f t="shared" si="48"/>
        <v>有效</v>
      </c>
    </row>
    <row r="406" ht="14.25" customHeight="1" spans="1:33">
      <c r="A406" s="4">
        <v>402</v>
      </c>
      <c r="B406" s="4">
        <v>1017</v>
      </c>
      <c r="C406" s="4">
        <v>50</v>
      </c>
      <c r="D406" s="5">
        <f>IFERROR(ROUND($U406*$X406*$AA406*参数!$B$13,0),"")</f>
        <v>2340132</v>
      </c>
      <c r="E406" s="5">
        <f>IFERROR(ROUND($V406*$Y406*$AB406*参数!$C$13,0),"")</f>
        <v>47375</v>
      </c>
      <c r="F406" s="5">
        <f>IFERROR(ROUND($W406*$Z406*$AC406*参数!$D$13,0),"")</f>
        <v>33468</v>
      </c>
      <c r="G406" s="4">
        <v>2653219</v>
      </c>
      <c r="H406" s="4">
        <v>45295</v>
      </c>
      <c r="I406" s="4">
        <v>26020</v>
      </c>
      <c r="J406" s="4">
        <v>81</v>
      </c>
      <c r="K406" s="4">
        <v>81</v>
      </c>
      <c r="L406" s="4">
        <f>IFERROR(INDEX(楼层配置!$D$5:$D$104,MATCH($K406,楼层配置!$B$5:$B$104,0)),"")</f>
        <v>350</v>
      </c>
      <c r="M406" s="4" t="str">
        <f>IFERROR(INDEX(_角色基线!$B$2:$B$100,MATCH($B406,_角色基线!$A$2:$A$100,0)),"")</f>
        <v>伊戈尔</v>
      </c>
      <c r="N406" s="4" t="str">
        <f>IFERROR(INDEX(_角色基线!$C$2:$C$100,MATCH($B406,_角色基线!$A$2:$A$100,0)),"")</f>
        <v>DPS</v>
      </c>
      <c r="O406" s="4">
        <f>IFERROR(INDEX(_怪物基线!$B$2:$B$501,MATCH(INT($L406),_怪物基线!$A$2:$A$501,0)),"")</f>
        <v>585033</v>
      </c>
      <c r="P406" s="4">
        <f>IFERROR(INDEX(_怪物基线!$C$2:$C$501,MATCH(INT($L406),_怪物基线!$A$2:$A$501,0)),"")</f>
        <v>32899</v>
      </c>
      <c r="Q406" s="4">
        <f>IFERROR(INDEX(_怪物基线!$D$2:$D$501,MATCH(INT($L406),_怪物基线!$A$2:$A$501,0)),"")</f>
        <v>33468</v>
      </c>
      <c r="R406" s="4">
        <f>参数!$B$10</f>
        <v>4</v>
      </c>
      <c r="S406" s="4">
        <f>参数!$C$10</f>
        <v>1.2</v>
      </c>
      <c r="T406" s="4">
        <f>参数!$D$10</f>
        <v>1</v>
      </c>
      <c r="U406" s="4">
        <f t="shared" si="42"/>
        <v>2340132</v>
      </c>
      <c r="V406" s="4">
        <f t="shared" si="43"/>
        <v>39478.8</v>
      </c>
      <c r="W406" s="4">
        <f t="shared" si="44"/>
        <v>33468</v>
      </c>
      <c r="X406" s="4">
        <f>IFERROR(INDEX(参数!$B$5:$B$7,MATCH($N406,参数!$A$5:$A$7,0)),"")</f>
        <v>1</v>
      </c>
      <c r="Y406" s="4">
        <f>IFERROR(INDEX(参数!$C$5:$C$7,MATCH($N406,参数!$A$5:$A$7,0)),"")</f>
        <v>1.2</v>
      </c>
      <c r="Z406" s="4">
        <f>IFERROR(INDEX(参数!$D$5:$D$7,MATCH($N406,参数!$A$5:$A$7,0)),"")</f>
        <v>1</v>
      </c>
      <c r="AA406" s="4">
        <f>IFERROR(INDEX(楼层配置!$E$5:$E$104,MATCH($K406,楼层配置!$B$5:$B$104,0)),1)</f>
        <v>1</v>
      </c>
      <c r="AB406" s="4">
        <f>IFERROR(INDEX(楼层配置!$F$5:$F$104,MATCH($K406,楼层配置!$B$5:$B$104,0)),1)</f>
        <v>1</v>
      </c>
      <c r="AC406" s="4">
        <f>IFERROR(INDEX(楼层配置!$G$5:$G$104,MATCH($K406,楼层配置!$B$5:$B$104,0)),1)</f>
        <v>1</v>
      </c>
      <c r="AD406" s="6">
        <f t="shared" si="45"/>
        <v>-0.118002697854945</v>
      </c>
      <c r="AE406" s="6">
        <f t="shared" si="46"/>
        <v>0.0459211833535711</v>
      </c>
      <c r="AF406" s="6">
        <f t="shared" si="47"/>
        <v>0.286241352805534</v>
      </c>
      <c r="AG406" s="4" t="str">
        <f t="shared" si="48"/>
        <v>有效</v>
      </c>
    </row>
    <row r="407" ht="14.25" customHeight="1" spans="1:33">
      <c r="A407" s="4">
        <v>403</v>
      </c>
      <c r="B407" s="4">
        <v>1013</v>
      </c>
      <c r="C407" s="4">
        <v>50</v>
      </c>
      <c r="D407" s="5">
        <f>IFERROR(ROUND($U407*$X407*$AA407*参数!$B$13,0),"")</f>
        <v>2340132</v>
      </c>
      <c r="E407" s="5">
        <f>IFERROR(ROUND($V407*$Y407*$AB407*参数!$C$13,0),"")</f>
        <v>47375</v>
      </c>
      <c r="F407" s="5">
        <f>IFERROR(ROUND($W407*$Z407*$AC407*参数!$D$13,0),"")</f>
        <v>33468</v>
      </c>
      <c r="G407" s="4">
        <v>2653219</v>
      </c>
      <c r="H407" s="4">
        <v>45295</v>
      </c>
      <c r="I407" s="4">
        <v>26020</v>
      </c>
      <c r="J407" s="4">
        <v>81</v>
      </c>
      <c r="K407" s="4">
        <v>81</v>
      </c>
      <c r="L407" s="4">
        <f>IFERROR(INDEX(楼层配置!$D$5:$D$104,MATCH($K407,楼层配置!$B$5:$B$104,0)),"")</f>
        <v>350</v>
      </c>
      <c r="M407" s="4" t="str">
        <f>IFERROR(INDEX(_角色基线!$B$2:$B$100,MATCH($B407,_角色基线!$A$2:$A$100,0)),"")</f>
        <v>夏缇拉</v>
      </c>
      <c r="N407" s="4" t="str">
        <f>IFERROR(INDEX(_角色基线!$C$2:$C$100,MATCH($B407,_角色基线!$A$2:$A$100,0)),"")</f>
        <v>DPS</v>
      </c>
      <c r="O407" s="4">
        <f>IFERROR(INDEX(_怪物基线!$B$2:$B$501,MATCH(INT($L407),_怪物基线!$A$2:$A$501,0)),"")</f>
        <v>585033</v>
      </c>
      <c r="P407" s="4">
        <f>IFERROR(INDEX(_怪物基线!$C$2:$C$501,MATCH(INT($L407),_怪物基线!$A$2:$A$501,0)),"")</f>
        <v>32899</v>
      </c>
      <c r="Q407" s="4">
        <f>IFERROR(INDEX(_怪物基线!$D$2:$D$501,MATCH(INT($L407),_怪物基线!$A$2:$A$501,0)),"")</f>
        <v>33468</v>
      </c>
      <c r="R407" s="4">
        <f>参数!$B$10</f>
        <v>4</v>
      </c>
      <c r="S407" s="4">
        <f>参数!$C$10</f>
        <v>1.2</v>
      </c>
      <c r="T407" s="4">
        <f>参数!$D$10</f>
        <v>1</v>
      </c>
      <c r="U407" s="4">
        <f t="shared" si="42"/>
        <v>2340132</v>
      </c>
      <c r="V407" s="4">
        <f t="shared" si="43"/>
        <v>39478.8</v>
      </c>
      <c r="W407" s="4">
        <f t="shared" si="44"/>
        <v>33468</v>
      </c>
      <c r="X407" s="4">
        <f>IFERROR(INDEX(参数!$B$5:$B$7,MATCH($N407,参数!$A$5:$A$7,0)),"")</f>
        <v>1</v>
      </c>
      <c r="Y407" s="4">
        <f>IFERROR(INDEX(参数!$C$5:$C$7,MATCH($N407,参数!$A$5:$A$7,0)),"")</f>
        <v>1.2</v>
      </c>
      <c r="Z407" s="4">
        <f>IFERROR(INDEX(参数!$D$5:$D$7,MATCH($N407,参数!$A$5:$A$7,0)),"")</f>
        <v>1</v>
      </c>
      <c r="AA407" s="4">
        <f>IFERROR(INDEX(楼层配置!$E$5:$E$104,MATCH($K407,楼层配置!$B$5:$B$104,0)),1)</f>
        <v>1</v>
      </c>
      <c r="AB407" s="4">
        <f>IFERROR(INDEX(楼层配置!$F$5:$F$104,MATCH($K407,楼层配置!$B$5:$B$104,0)),1)</f>
        <v>1</v>
      </c>
      <c r="AC407" s="4">
        <f>IFERROR(INDEX(楼层配置!$G$5:$G$104,MATCH($K407,楼层配置!$B$5:$B$104,0)),1)</f>
        <v>1</v>
      </c>
      <c r="AD407" s="6">
        <f t="shared" si="45"/>
        <v>-0.118002697854945</v>
      </c>
      <c r="AE407" s="6">
        <f t="shared" si="46"/>
        <v>0.0459211833535711</v>
      </c>
      <c r="AF407" s="6">
        <f t="shared" si="47"/>
        <v>0.286241352805534</v>
      </c>
      <c r="AG407" s="4" t="str">
        <f t="shared" si="48"/>
        <v>有效</v>
      </c>
    </row>
    <row r="408" ht="14.25" customHeight="1" spans="1:33">
      <c r="A408" s="4">
        <v>404</v>
      </c>
      <c r="B408" s="4">
        <v>1007</v>
      </c>
      <c r="C408" s="4">
        <v>50</v>
      </c>
      <c r="D408" s="5">
        <f>IFERROR(ROUND($U408*$X408*$AA408*参数!$B$13,0),"")</f>
        <v>2925165</v>
      </c>
      <c r="E408" s="5">
        <f>IFERROR(ROUND($V408*$Y408*$AB408*参数!$C$13,0),"")</f>
        <v>39479</v>
      </c>
      <c r="F408" s="5">
        <f>IFERROR(ROUND($W408*$Z408*$AC408*参数!$D$13,0),"")</f>
        <v>41835</v>
      </c>
      <c r="G408" s="4">
        <v>3316524</v>
      </c>
      <c r="H408" s="4">
        <v>37746</v>
      </c>
      <c r="I408" s="4">
        <v>32526</v>
      </c>
      <c r="J408" s="4">
        <v>81</v>
      </c>
      <c r="K408" s="4">
        <v>81</v>
      </c>
      <c r="L408" s="4">
        <f>IFERROR(INDEX(楼层配置!$D$5:$D$104,MATCH($K408,楼层配置!$B$5:$B$104,0)),"")</f>
        <v>350</v>
      </c>
      <c r="M408" s="4" t="str">
        <f>IFERROR(INDEX(_角色基线!$B$2:$B$100,MATCH($B408,_角色基线!$A$2:$A$100,0)),"")</f>
        <v>萨萨莉安</v>
      </c>
      <c r="N408" s="4" t="str">
        <f>IFERROR(INDEX(_角色基线!$C$2:$C$100,MATCH($B408,_角色基线!$A$2:$A$100,0)),"")</f>
        <v>Support</v>
      </c>
      <c r="O408" s="4">
        <f>IFERROR(INDEX(_怪物基线!$B$2:$B$501,MATCH(INT($L408),_怪物基线!$A$2:$A$501,0)),"")</f>
        <v>585033</v>
      </c>
      <c r="P408" s="4">
        <f>IFERROR(INDEX(_怪物基线!$C$2:$C$501,MATCH(INT($L408),_怪物基线!$A$2:$A$501,0)),"")</f>
        <v>32899</v>
      </c>
      <c r="Q408" s="4">
        <f>IFERROR(INDEX(_怪物基线!$D$2:$D$501,MATCH(INT($L408),_怪物基线!$A$2:$A$501,0)),"")</f>
        <v>33468</v>
      </c>
      <c r="R408" s="4">
        <f>参数!$B$10</f>
        <v>4</v>
      </c>
      <c r="S408" s="4">
        <f>参数!$C$10</f>
        <v>1.2</v>
      </c>
      <c r="T408" s="4">
        <f>参数!$D$10</f>
        <v>1</v>
      </c>
      <c r="U408" s="4">
        <f t="shared" si="42"/>
        <v>2340132</v>
      </c>
      <c r="V408" s="4">
        <f t="shared" si="43"/>
        <v>39478.8</v>
      </c>
      <c r="W408" s="4">
        <f t="shared" si="44"/>
        <v>33468</v>
      </c>
      <c r="X408" s="4">
        <f>IFERROR(INDEX(参数!$B$5:$B$7,MATCH($N408,参数!$A$5:$A$7,0)),"")</f>
        <v>1.25</v>
      </c>
      <c r="Y408" s="4">
        <f>IFERROR(INDEX(参数!$C$5:$C$7,MATCH($N408,参数!$A$5:$A$7,0)),"")</f>
        <v>1</v>
      </c>
      <c r="Z408" s="4">
        <f>IFERROR(INDEX(参数!$D$5:$D$7,MATCH($N408,参数!$A$5:$A$7,0)),"")</f>
        <v>1.25</v>
      </c>
      <c r="AA408" s="4">
        <f>IFERROR(INDEX(楼层配置!$E$5:$E$104,MATCH($K408,楼层配置!$B$5:$B$104,0)),1)</f>
        <v>1</v>
      </c>
      <c r="AB408" s="4">
        <f>IFERROR(INDEX(楼层配置!$F$5:$F$104,MATCH($K408,楼层配置!$B$5:$B$104,0)),1)</f>
        <v>1</v>
      </c>
      <c r="AC408" s="4">
        <f>IFERROR(INDEX(楼层配置!$G$5:$G$104,MATCH($K408,楼层配置!$B$5:$B$104,0)),1)</f>
        <v>1</v>
      </c>
      <c r="AD408" s="6">
        <f t="shared" si="45"/>
        <v>-0.118002764340014</v>
      </c>
      <c r="AE408" s="6">
        <f t="shared" si="46"/>
        <v>0.0459121496317492</v>
      </c>
      <c r="AF408" s="6">
        <f t="shared" si="47"/>
        <v>0.286201807784542</v>
      </c>
      <c r="AG408" s="4" t="str">
        <f t="shared" si="48"/>
        <v>有效</v>
      </c>
    </row>
    <row r="409" ht="14.25" customHeight="1" spans="1:33">
      <c r="A409" s="4">
        <v>405</v>
      </c>
      <c r="B409" s="4">
        <v>1008</v>
      </c>
      <c r="C409" s="4">
        <v>50</v>
      </c>
      <c r="D409" s="5">
        <f>IFERROR(ROUND($U409*$X409*$AA409*参数!$B$13,0),"")</f>
        <v>2340132</v>
      </c>
      <c r="E409" s="5">
        <f>IFERROR(ROUND($V409*$Y409*$AB409*参数!$C$13,0),"")</f>
        <v>47375</v>
      </c>
      <c r="F409" s="5">
        <f>IFERROR(ROUND($W409*$Z409*$AC409*参数!$D$13,0),"")</f>
        <v>33468</v>
      </c>
      <c r="G409" s="4">
        <v>2653219</v>
      </c>
      <c r="H409" s="4">
        <v>45295</v>
      </c>
      <c r="I409" s="4">
        <v>26020</v>
      </c>
      <c r="J409" s="4">
        <v>81</v>
      </c>
      <c r="K409" s="4">
        <v>81</v>
      </c>
      <c r="L409" s="4">
        <f>IFERROR(INDEX(楼层配置!$D$5:$D$104,MATCH($K409,楼层配置!$B$5:$B$104,0)),"")</f>
        <v>350</v>
      </c>
      <c r="M409" s="4" t="str">
        <f>IFERROR(INDEX(_角色基线!$B$2:$B$100,MATCH($B409,_角色基线!$A$2:$A$100,0)),"")</f>
        <v>薇</v>
      </c>
      <c r="N409" s="4" t="str">
        <f>IFERROR(INDEX(_角色基线!$C$2:$C$100,MATCH($B409,_角色基线!$A$2:$A$100,0)),"")</f>
        <v>DPS</v>
      </c>
      <c r="O409" s="4">
        <f>IFERROR(INDEX(_怪物基线!$B$2:$B$501,MATCH(INT($L409),_怪物基线!$A$2:$A$501,0)),"")</f>
        <v>585033</v>
      </c>
      <c r="P409" s="4">
        <f>IFERROR(INDEX(_怪物基线!$C$2:$C$501,MATCH(INT($L409),_怪物基线!$A$2:$A$501,0)),"")</f>
        <v>32899</v>
      </c>
      <c r="Q409" s="4">
        <f>IFERROR(INDEX(_怪物基线!$D$2:$D$501,MATCH(INT($L409),_怪物基线!$A$2:$A$501,0)),"")</f>
        <v>33468</v>
      </c>
      <c r="R409" s="4">
        <f>参数!$B$10</f>
        <v>4</v>
      </c>
      <c r="S409" s="4">
        <f>参数!$C$10</f>
        <v>1.2</v>
      </c>
      <c r="T409" s="4">
        <f>参数!$D$10</f>
        <v>1</v>
      </c>
      <c r="U409" s="4">
        <f t="shared" si="42"/>
        <v>2340132</v>
      </c>
      <c r="V409" s="4">
        <f t="shared" si="43"/>
        <v>39478.8</v>
      </c>
      <c r="W409" s="4">
        <f t="shared" si="44"/>
        <v>33468</v>
      </c>
      <c r="X409" s="4">
        <f>IFERROR(INDEX(参数!$B$5:$B$7,MATCH($N409,参数!$A$5:$A$7,0)),"")</f>
        <v>1</v>
      </c>
      <c r="Y409" s="4">
        <f>IFERROR(INDEX(参数!$C$5:$C$7,MATCH($N409,参数!$A$5:$A$7,0)),"")</f>
        <v>1.2</v>
      </c>
      <c r="Z409" s="4">
        <f>IFERROR(INDEX(参数!$D$5:$D$7,MATCH($N409,参数!$A$5:$A$7,0)),"")</f>
        <v>1</v>
      </c>
      <c r="AA409" s="4">
        <f>IFERROR(INDEX(楼层配置!$E$5:$E$104,MATCH($K409,楼层配置!$B$5:$B$104,0)),1)</f>
        <v>1</v>
      </c>
      <c r="AB409" s="4">
        <f>IFERROR(INDEX(楼层配置!$F$5:$F$104,MATCH($K409,楼层配置!$B$5:$B$104,0)),1)</f>
        <v>1</v>
      </c>
      <c r="AC409" s="4">
        <f>IFERROR(INDEX(楼层配置!$G$5:$G$104,MATCH($K409,楼层配置!$B$5:$B$104,0)),1)</f>
        <v>1</v>
      </c>
      <c r="AD409" s="6">
        <f t="shared" si="45"/>
        <v>-0.118002697854945</v>
      </c>
      <c r="AE409" s="6">
        <f t="shared" si="46"/>
        <v>0.0459211833535711</v>
      </c>
      <c r="AF409" s="6">
        <f t="shared" si="47"/>
        <v>0.286241352805534</v>
      </c>
      <c r="AG409" s="4" t="str">
        <f t="shared" si="48"/>
        <v>有效</v>
      </c>
    </row>
    <row r="410" ht="14.25" customHeight="1" spans="1:33">
      <c r="A410" s="4">
        <v>406</v>
      </c>
      <c r="B410" s="4">
        <v>1003</v>
      </c>
      <c r="C410" s="4">
        <v>51</v>
      </c>
      <c r="D410" s="5">
        <f>IFERROR(ROUND($U410*$X410*$AA410*参数!$B$13,0),"")</f>
        <v>3538542</v>
      </c>
      <c r="E410" s="5">
        <f>IFERROR(ROUND($V410*$Y410*$AB410*参数!$C$13,0),"")</f>
        <v>39733</v>
      </c>
      <c r="F410" s="5">
        <f>IFERROR(ROUND($W410*$Z410*$AC410*参数!$D$13,0),"")</f>
        <v>50406</v>
      </c>
      <c r="G410" s="4">
        <v>4111423</v>
      </c>
      <c r="H410" s="4">
        <v>38728</v>
      </c>
      <c r="I410" s="4">
        <v>39675</v>
      </c>
      <c r="J410" s="4">
        <v>82</v>
      </c>
      <c r="K410" s="4">
        <v>82</v>
      </c>
      <c r="L410" s="4">
        <f>IFERROR(INDEX(楼层配置!$D$5:$D$104,MATCH($K410,楼层配置!$B$5:$B$104,0)),"")</f>
        <v>351</v>
      </c>
      <c r="M410" s="4" t="str">
        <f>IFERROR(INDEX(_角色基线!$B$2:$B$100,MATCH($B410,_角色基线!$A$2:$A$100,0)),"")</f>
        <v>塔拉夏</v>
      </c>
      <c r="N410" s="4" t="str">
        <f>IFERROR(INDEX(_角色基线!$C$2:$C$100,MATCH($B410,_角色基线!$A$2:$A$100,0)),"")</f>
        <v>Tank</v>
      </c>
      <c r="O410" s="4">
        <f>IFERROR(INDEX(_怪物基线!$B$2:$B$501,MATCH(INT($L410),_怪物基线!$A$2:$A$501,0)),"")</f>
        <v>589757</v>
      </c>
      <c r="P410" s="4">
        <f>IFERROR(INDEX(_怪物基线!$C$2:$C$501,MATCH(INT($L410),_怪物基线!$A$2:$A$501,0)),"")</f>
        <v>33111</v>
      </c>
      <c r="Q410" s="4">
        <f>IFERROR(INDEX(_怪物基线!$D$2:$D$501,MATCH(INT($L410),_怪物基线!$A$2:$A$501,0)),"")</f>
        <v>33604</v>
      </c>
      <c r="R410" s="4">
        <f>参数!$B$10</f>
        <v>4</v>
      </c>
      <c r="S410" s="4">
        <f>参数!$C$10</f>
        <v>1.2</v>
      </c>
      <c r="T410" s="4">
        <f>参数!$D$10</f>
        <v>1</v>
      </c>
      <c r="U410" s="4">
        <f t="shared" si="42"/>
        <v>2359028</v>
      </c>
      <c r="V410" s="4">
        <f t="shared" si="43"/>
        <v>39733.2</v>
      </c>
      <c r="W410" s="4">
        <f t="shared" si="44"/>
        <v>33604</v>
      </c>
      <c r="X410" s="4">
        <f>IFERROR(INDEX(参数!$B$5:$B$7,MATCH($N410,参数!$A$5:$A$7,0)),"")</f>
        <v>1.5</v>
      </c>
      <c r="Y410" s="4">
        <f>IFERROR(INDEX(参数!$C$5:$C$7,MATCH($N410,参数!$A$5:$A$7,0)),"")</f>
        <v>1</v>
      </c>
      <c r="Z410" s="4">
        <f>IFERROR(INDEX(参数!$D$5:$D$7,MATCH($N410,参数!$A$5:$A$7,0)),"")</f>
        <v>1.5</v>
      </c>
      <c r="AA410" s="4">
        <f>IFERROR(INDEX(楼层配置!$E$5:$E$104,MATCH($K410,楼层配置!$B$5:$B$104,0)),1)</f>
        <v>1</v>
      </c>
      <c r="AB410" s="4">
        <f>IFERROR(INDEX(楼层配置!$F$5:$F$104,MATCH($K410,楼层配置!$B$5:$B$104,0)),1)</f>
        <v>1</v>
      </c>
      <c r="AC410" s="4">
        <f>IFERROR(INDEX(楼层配置!$G$5:$G$104,MATCH($K410,楼层配置!$B$5:$B$104,0)),1)</f>
        <v>1</v>
      </c>
      <c r="AD410" s="6">
        <f t="shared" si="45"/>
        <v>-0.139338861508534</v>
      </c>
      <c r="AE410" s="6">
        <f t="shared" si="46"/>
        <v>0.0259502168973353</v>
      </c>
      <c r="AF410" s="6">
        <f t="shared" si="47"/>
        <v>0.270472589792061</v>
      </c>
      <c r="AG410" s="4" t="str">
        <f t="shared" si="48"/>
        <v>有效</v>
      </c>
    </row>
    <row r="411" ht="14.25" customHeight="1" spans="1:33">
      <c r="A411" s="4">
        <v>407</v>
      </c>
      <c r="B411" s="4">
        <v>1011</v>
      </c>
      <c r="C411" s="4">
        <v>51</v>
      </c>
      <c r="D411" s="5">
        <f>IFERROR(ROUND($U411*$X411*$AA411*参数!$B$13,0),"")</f>
        <v>2948785</v>
      </c>
      <c r="E411" s="5">
        <f>IFERROR(ROUND($V411*$Y411*$AB411*参数!$C$13,0),"")</f>
        <v>39733</v>
      </c>
      <c r="F411" s="5">
        <f>IFERROR(ROUND($W411*$Z411*$AC411*参数!$D$13,0),"")</f>
        <v>42005</v>
      </c>
      <c r="G411" s="4">
        <v>3426186</v>
      </c>
      <c r="H411" s="4">
        <v>38728</v>
      </c>
      <c r="I411" s="4">
        <v>33063</v>
      </c>
      <c r="J411" s="4">
        <v>82</v>
      </c>
      <c r="K411" s="4">
        <v>82</v>
      </c>
      <c r="L411" s="4">
        <f>IFERROR(INDEX(楼层配置!$D$5:$D$104,MATCH($K411,楼层配置!$B$5:$B$104,0)),"")</f>
        <v>351</v>
      </c>
      <c r="M411" s="4" t="str">
        <f>IFERROR(INDEX(_角色基线!$B$2:$B$100,MATCH($B411,_角色基线!$A$2:$A$100,0)),"")</f>
        <v>陈双双</v>
      </c>
      <c r="N411" s="4" t="str">
        <f>IFERROR(INDEX(_角色基线!$C$2:$C$100,MATCH($B411,_角色基线!$A$2:$A$100,0)),"")</f>
        <v>Support</v>
      </c>
      <c r="O411" s="4">
        <f>IFERROR(INDEX(_怪物基线!$B$2:$B$501,MATCH(INT($L411),_怪物基线!$A$2:$A$501,0)),"")</f>
        <v>589757</v>
      </c>
      <c r="P411" s="4">
        <f>IFERROR(INDEX(_怪物基线!$C$2:$C$501,MATCH(INT($L411),_怪物基线!$A$2:$A$501,0)),"")</f>
        <v>33111</v>
      </c>
      <c r="Q411" s="4">
        <f>IFERROR(INDEX(_怪物基线!$D$2:$D$501,MATCH(INT($L411),_怪物基线!$A$2:$A$501,0)),"")</f>
        <v>33604</v>
      </c>
      <c r="R411" s="4">
        <f>参数!$B$10</f>
        <v>4</v>
      </c>
      <c r="S411" s="4">
        <f>参数!$C$10</f>
        <v>1.2</v>
      </c>
      <c r="T411" s="4">
        <f>参数!$D$10</f>
        <v>1</v>
      </c>
      <c r="U411" s="4">
        <f t="shared" si="42"/>
        <v>2359028</v>
      </c>
      <c r="V411" s="4">
        <f t="shared" si="43"/>
        <v>39733.2</v>
      </c>
      <c r="W411" s="4">
        <f t="shared" si="44"/>
        <v>33604</v>
      </c>
      <c r="X411" s="4">
        <f>IFERROR(INDEX(参数!$B$5:$B$7,MATCH($N411,参数!$A$5:$A$7,0)),"")</f>
        <v>1.25</v>
      </c>
      <c r="Y411" s="4">
        <f>IFERROR(INDEX(参数!$C$5:$C$7,MATCH($N411,参数!$A$5:$A$7,0)),"")</f>
        <v>1</v>
      </c>
      <c r="Z411" s="4">
        <f>IFERROR(INDEX(参数!$D$5:$D$7,MATCH($N411,参数!$A$5:$A$7,0)),"")</f>
        <v>1.25</v>
      </c>
      <c r="AA411" s="4">
        <f>IFERROR(INDEX(楼层配置!$E$5:$E$104,MATCH($K411,楼层配置!$B$5:$B$104,0)),1)</f>
        <v>1</v>
      </c>
      <c r="AB411" s="4">
        <f>IFERROR(INDEX(楼层配置!$F$5:$F$104,MATCH($K411,楼层配置!$B$5:$B$104,0)),1)</f>
        <v>1</v>
      </c>
      <c r="AC411" s="4">
        <f>IFERROR(INDEX(楼层配置!$G$5:$G$104,MATCH($K411,楼层配置!$B$5:$B$104,0)),1)</f>
        <v>1</v>
      </c>
      <c r="AD411" s="6">
        <f t="shared" si="45"/>
        <v>-0.139338903375357</v>
      </c>
      <c r="AE411" s="6">
        <f t="shared" si="46"/>
        <v>0.0259502168973353</v>
      </c>
      <c r="AF411" s="6">
        <f t="shared" si="47"/>
        <v>0.27045337688655</v>
      </c>
      <c r="AG411" s="4" t="str">
        <f t="shared" si="48"/>
        <v>有效</v>
      </c>
    </row>
    <row r="412" ht="14.25" customHeight="1" spans="1:33">
      <c r="A412" s="4">
        <v>408</v>
      </c>
      <c r="B412" s="4">
        <v>1013</v>
      </c>
      <c r="C412" s="4">
        <v>51</v>
      </c>
      <c r="D412" s="5">
        <f>IFERROR(ROUND($U412*$X412*$AA412*参数!$B$13,0),"")</f>
        <v>2359028</v>
      </c>
      <c r="E412" s="5">
        <f>IFERROR(ROUND($V412*$Y412*$AB412*参数!$C$13,0),"")</f>
        <v>47680</v>
      </c>
      <c r="F412" s="5">
        <f>IFERROR(ROUND($W412*$Z412*$AC412*参数!$D$13,0),"")</f>
        <v>33604</v>
      </c>
      <c r="G412" s="4">
        <v>2740948</v>
      </c>
      <c r="H412" s="4">
        <v>46473</v>
      </c>
      <c r="I412" s="4">
        <v>26450</v>
      </c>
      <c r="J412" s="4">
        <v>82</v>
      </c>
      <c r="K412" s="4">
        <v>82</v>
      </c>
      <c r="L412" s="4">
        <f>IFERROR(INDEX(楼层配置!$D$5:$D$104,MATCH($K412,楼层配置!$B$5:$B$104,0)),"")</f>
        <v>351</v>
      </c>
      <c r="M412" s="4" t="str">
        <f>IFERROR(INDEX(_角色基线!$B$2:$B$100,MATCH($B412,_角色基线!$A$2:$A$100,0)),"")</f>
        <v>夏缇拉</v>
      </c>
      <c r="N412" s="4" t="str">
        <f>IFERROR(INDEX(_角色基线!$C$2:$C$100,MATCH($B412,_角色基线!$A$2:$A$100,0)),"")</f>
        <v>DPS</v>
      </c>
      <c r="O412" s="4">
        <f>IFERROR(INDEX(_怪物基线!$B$2:$B$501,MATCH(INT($L412),_怪物基线!$A$2:$A$501,0)),"")</f>
        <v>589757</v>
      </c>
      <c r="P412" s="4">
        <f>IFERROR(INDEX(_怪物基线!$C$2:$C$501,MATCH(INT($L412),_怪物基线!$A$2:$A$501,0)),"")</f>
        <v>33111</v>
      </c>
      <c r="Q412" s="4">
        <f>IFERROR(INDEX(_怪物基线!$D$2:$D$501,MATCH(INT($L412),_怪物基线!$A$2:$A$501,0)),"")</f>
        <v>33604</v>
      </c>
      <c r="R412" s="4">
        <f>参数!$B$10</f>
        <v>4</v>
      </c>
      <c r="S412" s="4">
        <f>参数!$C$10</f>
        <v>1.2</v>
      </c>
      <c r="T412" s="4">
        <f>参数!$D$10</f>
        <v>1</v>
      </c>
      <c r="U412" s="4">
        <f t="shared" si="42"/>
        <v>2359028</v>
      </c>
      <c r="V412" s="4">
        <f t="shared" si="43"/>
        <v>39733.2</v>
      </c>
      <c r="W412" s="4">
        <f t="shared" si="44"/>
        <v>33604</v>
      </c>
      <c r="X412" s="4">
        <f>IFERROR(INDEX(参数!$B$5:$B$7,MATCH($N412,参数!$A$5:$A$7,0)),"")</f>
        <v>1</v>
      </c>
      <c r="Y412" s="4">
        <f>IFERROR(INDEX(参数!$C$5:$C$7,MATCH($N412,参数!$A$5:$A$7,0)),"")</f>
        <v>1.2</v>
      </c>
      <c r="Z412" s="4">
        <f>IFERROR(INDEX(参数!$D$5:$D$7,MATCH($N412,参数!$A$5:$A$7,0)),"")</f>
        <v>1</v>
      </c>
      <c r="AA412" s="4">
        <f>IFERROR(INDEX(楼层配置!$E$5:$E$104,MATCH($K412,楼层配置!$B$5:$B$104,0)),1)</f>
        <v>1</v>
      </c>
      <c r="AB412" s="4">
        <f>IFERROR(INDEX(楼层配置!$F$5:$F$104,MATCH($K412,楼层配置!$B$5:$B$104,0)),1)</f>
        <v>1</v>
      </c>
      <c r="AC412" s="4">
        <f>IFERROR(INDEX(楼层配置!$G$5:$G$104,MATCH($K412,楼层配置!$B$5:$B$104,0)),1)</f>
        <v>1</v>
      </c>
      <c r="AD412" s="6">
        <f t="shared" si="45"/>
        <v>-0.139338652174357</v>
      </c>
      <c r="AE412" s="6">
        <f t="shared" si="46"/>
        <v>0.0259720698039723</v>
      </c>
      <c r="AF412" s="6">
        <f t="shared" si="47"/>
        <v>0.270472589792061</v>
      </c>
      <c r="AG412" s="4" t="str">
        <f t="shared" si="48"/>
        <v>有效</v>
      </c>
    </row>
    <row r="413" ht="14.25" customHeight="1" spans="1:33">
      <c r="A413" s="4">
        <v>409</v>
      </c>
      <c r="B413" s="4">
        <v>1017</v>
      </c>
      <c r="C413" s="4">
        <v>51</v>
      </c>
      <c r="D413" s="5">
        <f>IFERROR(ROUND($U413*$X413*$AA413*参数!$B$13,0),"")</f>
        <v>2359028</v>
      </c>
      <c r="E413" s="5">
        <f>IFERROR(ROUND($V413*$Y413*$AB413*参数!$C$13,0),"")</f>
        <v>47680</v>
      </c>
      <c r="F413" s="5">
        <f>IFERROR(ROUND($W413*$Z413*$AC413*参数!$D$13,0),"")</f>
        <v>33604</v>
      </c>
      <c r="G413" s="4">
        <v>2740948</v>
      </c>
      <c r="H413" s="4">
        <v>46473</v>
      </c>
      <c r="I413" s="4">
        <v>26450</v>
      </c>
      <c r="J413" s="4">
        <v>82</v>
      </c>
      <c r="K413" s="4">
        <v>82</v>
      </c>
      <c r="L413" s="4">
        <f>IFERROR(INDEX(楼层配置!$D$5:$D$104,MATCH($K413,楼层配置!$B$5:$B$104,0)),"")</f>
        <v>351</v>
      </c>
      <c r="M413" s="4" t="str">
        <f>IFERROR(INDEX(_角色基线!$B$2:$B$100,MATCH($B413,_角色基线!$A$2:$A$100,0)),"")</f>
        <v>伊戈尔</v>
      </c>
      <c r="N413" s="4" t="str">
        <f>IFERROR(INDEX(_角色基线!$C$2:$C$100,MATCH($B413,_角色基线!$A$2:$A$100,0)),"")</f>
        <v>DPS</v>
      </c>
      <c r="O413" s="4">
        <f>IFERROR(INDEX(_怪物基线!$B$2:$B$501,MATCH(INT($L413),_怪物基线!$A$2:$A$501,0)),"")</f>
        <v>589757</v>
      </c>
      <c r="P413" s="4">
        <f>IFERROR(INDEX(_怪物基线!$C$2:$C$501,MATCH(INT($L413),_怪物基线!$A$2:$A$501,0)),"")</f>
        <v>33111</v>
      </c>
      <c r="Q413" s="4">
        <f>IFERROR(INDEX(_怪物基线!$D$2:$D$501,MATCH(INT($L413),_怪物基线!$A$2:$A$501,0)),"")</f>
        <v>33604</v>
      </c>
      <c r="R413" s="4">
        <f>参数!$B$10</f>
        <v>4</v>
      </c>
      <c r="S413" s="4">
        <f>参数!$C$10</f>
        <v>1.2</v>
      </c>
      <c r="T413" s="4">
        <f>参数!$D$10</f>
        <v>1</v>
      </c>
      <c r="U413" s="4">
        <f t="shared" si="42"/>
        <v>2359028</v>
      </c>
      <c r="V413" s="4">
        <f t="shared" si="43"/>
        <v>39733.2</v>
      </c>
      <c r="W413" s="4">
        <f t="shared" si="44"/>
        <v>33604</v>
      </c>
      <c r="X413" s="4">
        <f>IFERROR(INDEX(参数!$B$5:$B$7,MATCH($N413,参数!$A$5:$A$7,0)),"")</f>
        <v>1</v>
      </c>
      <c r="Y413" s="4">
        <f>IFERROR(INDEX(参数!$C$5:$C$7,MATCH($N413,参数!$A$5:$A$7,0)),"")</f>
        <v>1.2</v>
      </c>
      <c r="Z413" s="4">
        <f>IFERROR(INDEX(参数!$D$5:$D$7,MATCH($N413,参数!$A$5:$A$7,0)),"")</f>
        <v>1</v>
      </c>
      <c r="AA413" s="4">
        <f>IFERROR(INDEX(楼层配置!$E$5:$E$104,MATCH($K413,楼层配置!$B$5:$B$104,0)),1)</f>
        <v>1</v>
      </c>
      <c r="AB413" s="4">
        <f>IFERROR(INDEX(楼层配置!$F$5:$F$104,MATCH($K413,楼层配置!$B$5:$B$104,0)),1)</f>
        <v>1</v>
      </c>
      <c r="AC413" s="4">
        <f>IFERROR(INDEX(楼层配置!$G$5:$G$104,MATCH($K413,楼层配置!$B$5:$B$104,0)),1)</f>
        <v>1</v>
      </c>
      <c r="AD413" s="6">
        <f t="shared" si="45"/>
        <v>-0.139338652174357</v>
      </c>
      <c r="AE413" s="6">
        <f t="shared" si="46"/>
        <v>0.0259720698039723</v>
      </c>
      <c r="AF413" s="6">
        <f t="shared" si="47"/>
        <v>0.270472589792061</v>
      </c>
      <c r="AG413" s="4" t="str">
        <f t="shared" si="48"/>
        <v>有效</v>
      </c>
    </row>
    <row r="414" ht="14.25" customHeight="1" spans="1:33">
      <c r="A414" s="4">
        <v>410</v>
      </c>
      <c r="B414" s="4">
        <v>1006</v>
      </c>
      <c r="C414" s="4">
        <v>51</v>
      </c>
      <c r="D414" s="5">
        <f>IFERROR(ROUND($U414*$X414*$AA414*参数!$B$13,0),"")</f>
        <v>2359028</v>
      </c>
      <c r="E414" s="5">
        <f>IFERROR(ROUND($V414*$Y414*$AB414*参数!$C$13,0),"")</f>
        <v>47680</v>
      </c>
      <c r="F414" s="5">
        <f>IFERROR(ROUND($W414*$Z414*$AC414*参数!$D$13,0),"")</f>
        <v>33604</v>
      </c>
      <c r="G414" s="4">
        <v>2740948</v>
      </c>
      <c r="H414" s="4">
        <v>46473</v>
      </c>
      <c r="I414" s="4">
        <v>26450</v>
      </c>
      <c r="J414" s="4">
        <v>82</v>
      </c>
      <c r="K414" s="4">
        <v>82</v>
      </c>
      <c r="L414" s="4">
        <f>IFERROR(INDEX(楼层配置!$D$5:$D$104,MATCH($K414,楼层配置!$B$5:$B$104,0)),"")</f>
        <v>351</v>
      </c>
      <c r="M414" s="4" t="str">
        <f>IFERROR(INDEX(_角色基线!$B$2:$B$100,MATCH($B414,_角色基线!$A$2:$A$100,0)),"")</f>
        <v>莉莉娅</v>
      </c>
      <c r="N414" s="4" t="str">
        <f>IFERROR(INDEX(_角色基线!$C$2:$C$100,MATCH($B414,_角色基线!$A$2:$A$100,0)),"")</f>
        <v>DPS</v>
      </c>
      <c r="O414" s="4">
        <f>IFERROR(INDEX(_怪物基线!$B$2:$B$501,MATCH(INT($L414),_怪物基线!$A$2:$A$501,0)),"")</f>
        <v>589757</v>
      </c>
      <c r="P414" s="4">
        <f>IFERROR(INDEX(_怪物基线!$C$2:$C$501,MATCH(INT($L414),_怪物基线!$A$2:$A$501,0)),"")</f>
        <v>33111</v>
      </c>
      <c r="Q414" s="4">
        <f>IFERROR(INDEX(_怪物基线!$D$2:$D$501,MATCH(INT($L414),_怪物基线!$A$2:$A$501,0)),"")</f>
        <v>33604</v>
      </c>
      <c r="R414" s="4">
        <f>参数!$B$10</f>
        <v>4</v>
      </c>
      <c r="S414" s="4">
        <f>参数!$C$10</f>
        <v>1.2</v>
      </c>
      <c r="T414" s="4">
        <f>参数!$D$10</f>
        <v>1</v>
      </c>
      <c r="U414" s="4">
        <f t="shared" si="42"/>
        <v>2359028</v>
      </c>
      <c r="V414" s="4">
        <f t="shared" si="43"/>
        <v>39733.2</v>
      </c>
      <c r="W414" s="4">
        <f t="shared" si="44"/>
        <v>33604</v>
      </c>
      <c r="X414" s="4">
        <f>IFERROR(INDEX(参数!$B$5:$B$7,MATCH($N414,参数!$A$5:$A$7,0)),"")</f>
        <v>1</v>
      </c>
      <c r="Y414" s="4">
        <f>IFERROR(INDEX(参数!$C$5:$C$7,MATCH($N414,参数!$A$5:$A$7,0)),"")</f>
        <v>1.2</v>
      </c>
      <c r="Z414" s="4">
        <f>IFERROR(INDEX(参数!$D$5:$D$7,MATCH($N414,参数!$A$5:$A$7,0)),"")</f>
        <v>1</v>
      </c>
      <c r="AA414" s="4">
        <f>IFERROR(INDEX(楼层配置!$E$5:$E$104,MATCH($K414,楼层配置!$B$5:$B$104,0)),1)</f>
        <v>1</v>
      </c>
      <c r="AB414" s="4">
        <f>IFERROR(INDEX(楼层配置!$F$5:$F$104,MATCH($K414,楼层配置!$B$5:$B$104,0)),1)</f>
        <v>1</v>
      </c>
      <c r="AC414" s="4">
        <f>IFERROR(INDEX(楼层配置!$G$5:$G$104,MATCH($K414,楼层配置!$B$5:$B$104,0)),1)</f>
        <v>1</v>
      </c>
      <c r="AD414" s="6">
        <f t="shared" si="45"/>
        <v>-0.139338652174357</v>
      </c>
      <c r="AE414" s="6">
        <f t="shared" si="46"/>
        <v>0.0259720698039723</v>
      </c>
      <c r="AF414" s="6">
        <f t="shared" si="47"/>
        <v>0.270472589792061</v>
      </c>
      <c r="AG414" s="4" t="str">
        <f t="shared" si="48"/>
        <v>有效</v>
      </c>
    </row>
    <row r="415" ht="14.25" customHeight="1" spans="1:33">
      <c r="A415" s="4">
        <v>411</v>
      </c>
      <c r="B415" s="4">
        <v>1004</v>
      </c>
      <c r="C415" s="4">
        <v>51</v>
      </c>
      <c r="D415" s="5">
        <f>IFERROR(ROUND($U415*$X415*$AA415*参数!$B$13,0),"")</f>
        <v>3567060</v>
      </c>
      <c r="E415" s="5">
        <f>IFERROR(ROUND($V415*$Y415*$AB415*参数!$C$13,0),"")</f>
        <v>39988</v>
      </c>
      <c r="F415" s="5">
        <f>IFERROR(ROUND($W415*$Z415*$AC415*参数!$D$13,0),"")</f>
        <v>50609</v>
      </c>
      <c r="G415" s="4">
        <v>4246250</v>
      </c>
      <c r="H415" s="4">
        <v>39733</v>
      </c>
      <c r="I415" s="4">
        <v>40324</v>
      </c>
      <c r="J415" s="4">
        <v>83</v>
      </c>
      <c r="K415" s="4">
        <v>83</v>
      </c>
      <c r="L415" s="4">
        <f>IFERROR(INDEX(楼层配置!$D$5:$D$104,MATCH($K415,楼层配置!$B$5:$B$104,0)),"")</f>
        <v>352</v>
      </c>
      <c r="M415" s="4" t="str">
        <f>IFERROR(INDEX(_角色基线!$B$2:$B$100,MATCH($B415,_角色基线!$A$2:$A$100,0)),"")</f>
        <v>阿芭</v>
      </c>
      <c r="N415" s="4" t="str">
        <f>IFERROR(INDEX(_角色基线!$C$2:$C$100,MATCH($B415,_角色基线!$A$2:$A$100,0)),"")</f>
        <v>Tank</v>
      </c>
      <c r="O415" s="4">
        <f>IFERROR(INDEX(_怪物基线!$B$2:$B$501,MATCH(INT($L415),_怪物基线!$A$2:$A$501,0)),"")</f>
        <v>594510</v>
      </c>
      <c r="P415" s="4">
        <f>IFERROR(INDEX(_怪物基线!$C$2:$C$501,MATCH(INT($L415),_怪物基线!$A$2:$A$501,0)),"")</f>
        <v>33323</v>
      </c>
      <c r="Q415" s="4">
        <f>IFERROR(INDEX(_怪物基线!$D$2:$D$501,MATCH(INT($L415),_怪物基线!$A$2:$A$501,0)),"")</f>
        <v>33739</v>
      </c>
      <c r="R415" s="4">
        <f>参数!$B$10</f>
        <v>4</v>
      </c>
      <c r="S415" s="4">
        <f>参数!$C$10</f>
        <v>1.2</v>
      </c>
      <c r="T415" s="4">
        <f>参数!$D$10</f>
        <v>1</v>
      </c>
      <c r="U415" s="4">
        <f t="shared" si="42"/>
        <v>2378040</v>
      </c>
      <c r="V415" s="4">
        <f t="shared" si="43"/>
        <v>39987.6</v>
      </c>
      <c r="W415" s="4">
        <f t="shared" si="44"/>
        <v>33739</v>
      </c>
      <c r="X415" s="4">
        <f>IFERROR(INDEX(参数!$B$5:$B$7,MATCH($N415,参数!$A$5:$A$7,0)),"")</f>
        <v>1.5</v>
      </c>
      <c r="Y415" s="4">
        <f>IFERROR(INDEX(参数!$C$5:$C$7,MATCH($N415,参数!$A$5:$A$7,0)),"")</f>
        <v>1</v>
      </c>
      <c r="Z415" s="4">
        <f>IFERROR(INDEX(参数!$D$5:$D$7,MATCH($N415,参数!$A$5:$A$7,0)),"")</f>
        <v>1.5</v>
      </c>
      <c r="AA415" s="4">
        <f>IFERROR(INDEX(楼层配置!$E$5:$E$104,MATCH($K415,楼层配置!$B$5:$B$104,0)),1)</f>
        <v>1</v>
      </c>
      <c r="AB415" s="4">
        <f>IFERROR(INDEX(楼层配置!$F$5:$F$104,MATCH($K415,楼层配置!$B$5:$B$104,0)),1)</f>
        <v>1</v>
      </c>
      <c r="AC415" s="4">
        <f>IFERROR(INDEX(楼层配置!$G$5:$G$104,MATCH($K415,楼层配置!$B$5:$B$104,0)),1)</f>
        <v>1</v>
      </c>
      <c r="AD415" s="6">
        <f t="shared" si="45"/>
        <v>-0.159950544598175</v>
      </c>
      <c r="AE415" s="6">
        <f t="shared" si="46"/>
        <v>0.00641783907583116</v>
      </c>
      <c r="AF415" s="6">
        <f t="shared" si="47"/>
        <v>0.255059021922428</v>
      </c>
      <c r="AG415" s="4" t="str">
        <f t="shared" si="48"/>
        <v>有效</v>
      </c>
    </row>
    <row r="416" ht="14.25" customHeight="1" spans="1:33">
      <c r="A416" s="4">
        <v>412</v>
      </c>
      <c r="B416" s="4">
        <v>1017</v>
      </c>
      <c r="C416" s="4">
        <v>51</v>
      </c>
      <c r="D416" s="5">
        <f>IFERROR(ROUND($U416*$X416*$AA416*参数!$B$13,0),"")</f>
        <v>2378040</v>
      </c>
      <c r="E416" s="5">
        <f>IFERROR(ROUND($V416*$Y416*$AB416*参数!$C$13,0),"")</f>
        <v>47985</v>
      </c>
      <c r="F416" s="5">
        <f>IFERROR(ROUND($W416*$Z416*$AC416*参数!$D$13,0),"")</f>
        <v>33739</v>
      </c>
      <c r="G416" s="4">
        <v>2830833</v>
      </c>
      <c r="H416" s="4">
        <v>47679</v>
      </c>
      <c r="I416" s="4">
        <v>26883</v>
      </c>
      <c r="J416" s="4">
        <v>83</v>
      </c>
      <c r="K416" s="4">
        <v>83</v>
      </c>
      <c r="L416" s="4">
        <f>IFERROR(INDEX(楼层配置!$D$5:$D$104,MATCH($K416,楼层配置!$B$5:$B$104,0)),"")</f>
        <v>352</v>
      </c>
      <c r="M416" s="4" t="str">
        <f>IFERROR(INDEX(_角色基线!$B$2:$B$100,MATCH($B416,_角色基线!$A$2:$A$100,0)),"")</f>
        <v>伊戈尔</v>
      </c>
      <c r="N416" s="4" t="str">
        <f>IFERROR(INDEX(_角色基线!$C$2:$C$100,MATCH($B416,_角色基线!$A$2:$A$100,0)),"")</f>
        <v>DPS</v>
      </c>
      <c r="O416" s="4">
        <f>IFERROR(INDEX(_怪物基线!$B$2:$B$501,MATCH(INT($L416),_怪物基线!$A$2:$A$501,0)),"")</f>
        <v>594510</v>
      </c>
      <c r="P416" s="4">
        <f>IFERROR(INDEX(_怪物基线!$C$2:$C$501,MATCH(INT($L416),_怪物基线!$A$2:$A$501,0)),"")</f>
        <v>33323</v>
      </c>
      <c r="Q416" s="4">
        <f>IFERROR(INDEX(_怪物基线!$D$2:$D$501,MATCH(INT($L416),_怪物基线!$A$2:$A$501,0)),"")</f>
        <v>33739</v>
      </c>
      <c r="R416" s="4">
        <f>参数!$B$10</f>
        <v>4</v>
      </c>
      <c r="S416" s="4">
        <f>参数!$C$10</f>
        <v>1.2</v>
      </c>
      <c r="T416" s="4">
        <f>参数!$D$10</f>
        <v>1</v>
      </c>
      <c r="U416" s="4">
        <f t="shared" si="42"/>
        <v>2378040</v>
      </c>
      <c r="V416" s="4">
        <f t="shared" si="43"/>
        <v>39987.6</v>
      </c>
      <c r="W416" s="4">
        <f t="shared" si="44"/>
        <v>33739</v>
      </c>
      <c r="X416" s="4">
        <f>IFERROR(INDEX(参数!$B$5:$B$7,MATCH($N416,参数!$A$5:$A$7,0)),"")</f>
        <v>1</v>
      </c>
      <c r="Y416" s="4">
        <f>IFERROR(INDEX(参数!$C$5:$C$7,MATCH($N416,参数!$A$5:$A$7,0)),"")</f>
        <v>1.2</v>
      </c>
      <c r="Z416" s="4">
        <f>IFERROR(INDEX(参数!$D$5:$D$7,MATCH($N416,参数!$A$5:$A$7,0)),"")</f>
        <v>1</v>
      </c>
      <c r="AA416" s="4">
        <f>IFERROR(INDEX(楼层配置!$E$5:$E$104,MATCH($K416,楼层配置!$B$5:$B$104,0)),1)</f>
        <v>1</v>
      </c>
      <c r="AB416" s="4">
        <f>IFERROR(INDEX(楼层配置!$F$5:$F$104,MATCH($K416,楼层配置!$B$5:$B$104,0)),1)</f>
        <v>1</v>
      </c>
      <c r="AC416" s="4">
        <f>IFERROR(INDEX(楼层配置!$G$5:$G$104,MATCH($K416,楼层配置!$B$5:$B$104,0)),1)</f>
        <v>1</v>
      </c>
      <c r="AD416" s="6">
        <f t="shared" si="45"/>
        <v>-0.159950445681536</v>
      </c>
      <c r="AE416" s="6">
        <f t="shared" si="46"/>
        <v>0.0064179198389227</v>
      </c>
      <c r="AF416" s="6">
        <f t="shared" si="47"/>
        <v>0.255031060521519</v>
      </c>
      <c r="AG416" s="4" t="str">
        <f t="shared" si="48"/>
        <v>有效</v>
      </c>
    </row>
    <row r="417" ht="14.25" customHeight="1" spans="1:33">
      <c r="A417" s="4">
        <v>413</v>
      </c>
      <c r="B417" s="4">
        <v>1008</v>
      </c>
      <c r="C417" s="4">
        <v>51</v>
      </c>
      <c r="D417" s="5">
        <f>IFERROR(ROUND($U417*$X417*$AA417*参数!$B$13,0),"")</f>
        <v>2378040</v>
      </c>
      <c r="E417" s="5">
        <f>IFERROR(ROUND($V417*$Y417*$AB417*参数!$C$13,0),"")</f>
        <v>47985</v>
      </c>
      <c r="F417" s="5">
        <f>IFERROR(ROUND($W417*$Z417*$AC417*参数!$D$13,0),"")</f>
        <v>33739</v>
      </c>
      <c r="G417" s="4">
        <v>2830833</v>
      </c>
      <c r="H417" s="4">
        <v>47679</v>
      </c>
      <c r="I417" s="4">
        <v>26883</v>
      </c>
      <c r="J417" s="4">
        <v>83</v>
      </c>
      <c r="K417" s="4">
        <v>83</v>
      </c>
      <c r="L417" s="4">
        <f>IFERROR(INDEX(楼层配置!$D$5:$D$104,MATCH($K417,楼层配置!$B$5:$B$104,0)),"")</f>
        <v>352</v>
      </c>
      <c r="M417" s="4" t="str">
        <f>IFERROR(INDEX(_角色基线!$B$2:$B$100,MATCH($B417,_角色基线!$A$2:$A$100,0)),"")</f>
        <v>薇</v>
      </c>
      <c r="N417" s="4" t="str">
        <f>IFERROR(INDEX(_角色基线!$C$2:$C$100,MATCH($B417,_角色基线!$A$2:$A$100,0)),"")</f>
        <v>DPS</v>
      </c>
      <c r="O417" s="4">
        <f>IFERROR(INDEX(_怪物基线!$B$2:$B$501,MATCH(INT($L417),_怪物基线!$A$2:$A$501,0)),"")</f>
        <v>594510</v>
      </c>
      <c r="P417" s="4">
        <f>IFERROR(INDEX(_怪物基线!$C$2:$C$501,MATCH(INT($L417),_怪物基线!$A$2:$A$501,0)),"")</f>
        <v>33323</v>
      </c>
      <c r="Q417" s="4">
        <f>IFERROR(INDEX(_怪物基线!$D$2:$D$501,MATCH(INT($L417),_怪物基线!$A$2:$A$501,0)),"")</f>
        <v>33739</v>
      </c>
      <c r="R417" s="4">
        <f>参数!$B$10</f>
        <v>4</v>
      </c>
      <c r="S417" s="4">
        <f>参数!$C$10</f>
        <v>1.2</v>
      </c>
      <c r="T417" s="4">
        <f>参数!$D$10</f>
        <v>1</v>
      </c>
      <c r="U417" s="4">
        <f t="shared" si="42"/>
        <v>2378040</v>
      </c>
      <c r="V417" s="4">
        <f t="shared" si="43"/>
        <v>39987.6</v>
      </c>
      <c r="W417" s="4">
        <f t="shared" si="44"/>
        <v>33739</v>
      </c>
      <c r="X417" s="4">
        <f>IFERROR(INDEX(参数!$B$5:$B$7,MATCH($N417,参数!$A$5:$A$7,0)),"")</f>
        <v>1</v>
      </c>
      <c r="Y417" s="4">
        <f>IFERROR(INDEX(参数!$C$5:$C$7,MATCH($N417,参数!$A$5:$A$7,0)),"")</f>
        <v>1.2</v>
      </c>
      <c r="Z417" s="4">
        <f>IFERROR(INDEX(参数!$D$5:$D$7,MATCH($N417,参数!$A$5:$A$7,0)),"")</f>
        <v>1</v>
      </c>
      <c r="AA417" s="4">
        <f>IFERROR(INDEX(楼层配置!$E$5:$E$104,MATCH($K417,楼层配置!$B$5:$B$104,0)),1)</f>
        <v>1</v>
      </c>
      <c r="AB417" s="4">
        <f>IFERROR(INDEX(楼层配置!$F$5:$F$104,MATCH($K417,楼层配置!$B$5:$B$104,0)),1)</f>
        <v>1</v>
      </c>
      <c r="AC417" s="4">
        <f>IFERROR(INDEX(楼层配置!$G$5:$G$104,MATCH($K417,楼层配置!$B$5:$B$104,0)),1)</f>
        <v>1</v>
      </c>
      <c r="AD417" s="6">
        <f t="shared" si="45"/>
        <v>-0.159950445681536</v>
      </c>
      <c r="AE417" s="6">
        <f t="shared" si="46"/>
        <v>0.0064179198389227</v>
      </c>
      <c r="AF417" s="6">
        <f t="shared" si="47"/>
        <v>0.255031060521519</v>
      </c>
      <c r="AG417" s="4" t="str">
        <f t="shared" si="48"/>
        <v>有效</v>
      </c>
    </row>
    <row r="418" ht="14.25" customHeight="1" spans="1:33">
      <c r="A418" s="4">
        <v>414</v>
      </c>
      <c r="B418" s="4">
        <v>1011</v>
      </c>
      <c r="C418" s="4">
        <v>51</v>
      </c>
      <c r="D418" s="5">
        <f>IFERROR(ROUND($U418*$X418*$AA418*参数!$B$13,0),"")</f>
        <v>2972550</v>
      </c>
      <c r="E418" s="5">
        <f>IFERROR(ROUND($V418*$Y418*$AB418*参数!$C$13,0),"")</f>
        <v>39988</v>
      </c>
      <c r="F418" s="5">
        <f>IFERROR(ROUND($W418*$Z418*$AC418*参数!$D$13,0),"")</f>
        <v>42174</v>
      </c>
      <c r="G418" s="4">
        <v>3538542</v>
      </c>
      <c r="H418" s="4">
        <v>39733</v>
      </c>
      <c r="I418" s="4">
        <v>33604</v>
      </c>
      <c r="J418" s="4">
        <v>83</v>
      </c>
      <c r="K418" s="4">
        <v>83</v>
      </c>
      <c r="L418" s="4">
        <f>IFERROR(INDEX(楼层配置!$D$5:$D$104,MATCH($K418,楼层配置!$B$5:$B$104,0)),"")</f>
        <v>352</v>
      </c>
      <c r="M418" s="4" t="str">
        <f>IFERROR(INDEX(_角色基线!$B$2:$B$100,MATCH($B418,_角色基线!$A$2:$A$100,0)),"")</f>
        <v>陈双双</v>
      </c>
      <c r="N418" s="4" t="str">
        <f>IFERROR(INDEX(_角色基线!$C$2:$C$100,MATCH($B418,_角色基线!$A$2:$A$100,0)),"")</f>
        <v>Support</v>
      </c>
      <c r="O418" s="4">
        <f>IFERROR(INDEX(_怪物基线!$B$2:$B$501,MATCH(INT($L418),_怪物基线!$A$2:$A$501,0)),"")</f>
        <v>594510</v>
      </c>
      <c r="P418" s="4">
        <f>IFERROR(INDEX(_怪物基线!$C$2:$C$501,MATCH(INT($L418),_怪物基线!$A$2:$A$501,0)),"")</f>
        <v>33323</v>
      </c>
      <c r="Q418" s="4">
        <f>IFERROR(INDEX(_怪物基线!$D$2:$D$501,MATCH(INT($L418),_怪物基线!$A$2:$A$501,0)),"")</f>
        <v>33739</v>
      </c>
      <c r="R418" s="4">
        <f>参数!$B$10</f>
        <v>4</v>
      </c>
      <c r="S418" s="4">
        <f>参数!$C$10</f>
        <v>1.2</v>
      </c>
      <c r="T418" s="4">
        <f>参数!$D$10</f>
        <v>1</v>
      </c>
      <c r="U418" s="4">
        <f t="shared" si="42"/>
        <v>2378040</v>
      </c>
      <c r="V418" s="4">
        <f t="shared" si="43"/>
        <v>39987.6</v>
      </c>
      <c r="W418" s="4">
        <f t="shared" si="44"/>
        <v>33739</v>
      </c>
      <c r="X418" s="4">
        <f>IFERROR(INDEX(参数!$B$5:$B$7,MATCH($N418,参数!$A$5:$A$7,0)),"")</f>
        <v>1.25</v>
      </c>
      <c r="Y418" s="4">
        <f>IFERROR(INDEX(参数!$C$5:$C$7,MATCH($N418,参数!$A$5:$A$7,0)),"")</f>
        <v>1</v>
      </c>
      <c r="Z418" s="4">
        <f>IFERROR(INDEX(参数!$D$5:$D$7,MATCH($N418,参数!$A$5:$A$7,0)),"")</f>
        <v>1.25</v>
      </c>
      <c r="AA418" s="4">
        <f>IFERROR(INDEX(楼层配置!$E$5:$E$104,MATCH($K418,楼层配置!$B$5:$B$104,0)),1)</f>
        <v>1</v>
      </c>
      <c r="AB418" s="4">
        <f>IFERROR(INDEX(楼层配置!$F$5:$F$104,MATCH($K418,楼层配置!$B$5:$B$104,0)),1)</f>
        <v>1</v>
      </c>
      <c r="AC418" s="4">
        <f>IFERROR(INDEX(楼层配置!$G$5:$G$104,MATCH($K418,楼层配置!$B$5:$B$104,0)),1)</f>
        <v>1</v>
      </c>
      <c r="AD418" s="6">
        <f t="shared" si="45"/>
        <v>-0.159950623731469</v>
      </c>
      <c r="AE418" s="6">
        <f t="shared" si="46"/>
        <v>0.00641783907583116</v>
      </c>
      <c r="AF418" s="6">
        <f t="shared" si="47"/>
        <v>0.255029163194858</v>
      </c>
      <c r="AG418" s="4" t="str">
        <f t="shared" si="48"/>
        <v>有效</v>
      </c>
    </row>
    <row r="419" ht="14.25" customHeight="1" spans="1:33">
      <c r="A419" s="4">
        <v>415</v>
      </c>
      <c r="B419" s="4">
        <v>1006</v>
      </c>
      <c r="C419" s="4">
        <v>51</v>
      </c>
      <c r="D419" s="5">
        <f>IFERROR(ROUND($U419*$X419*$AA419*参数!$B$13,0),"")</f>
        <v>2378040</v>
      </c>
      <c r="E419" s="5">
        <f>IFERROR(ROUND($V419*$Y419*$AB419*参数!$C$13,0),"")</f>
        <v>47985</v>
      </c>
      <c r="F419" s="5">
        <f>IFERROR(ROUND($W419*$Z419*$AC419*参数!$D$13,0),"")</f>
        <v>33739</v>
      </c>
      <c r="G419" s="4">
        <v>2830833</v>
      </c>
      <c r="H419" s="4">
        <v>47679</v>
      </c>
      <c r="I419" s="4">
        <v>26883</v>
      </c>
      <c r="J419" s="4">
        <v>83</v>
      </c>
      <c r="K419" s="4">
        <v>83</v>
      </c>
      <c r="L419" s="4">
        <f>IFERROR(INDEX(楼层配置!$D$5:$D$104,MATCH($K419,楼层配置!$B$5:$B$104,0)),"")</f>
        <v>352</v>
      </c>
      <c r="M419" s="4" t="str">
        <f>IFERROR(INDEX(_角色基线!$B$2:$B$100,MATCH($B419,_角色基线!$A$2:$A$100,0)),"")</f>
        <v>莉莉娅</v>
      </c>
      <c r="N419" s="4" t="str">
        <f>IFERROR(INDEX(_角色基线!$C$2:$C$100,MATCH($B419,_角色基线!$A$2:$A$100,0)),"")</f>
        <v>DPS</v>
      </c>
      <c r="O419" s="4">
        <f>IFERROR(INDEX(_怪物基线!$B$2:$B$501,MATCH(INT($L419),_怪物基线!$A$2:$A$501,0)),"")</f>
        <v>594510</v>
      </c>
      <c r="P419" s="4">
        <f>IFERROR(INDEX(_怪物基线!$C$2:$C$501,MATCH(INT($L419),_怪物基线!$A$2:$A$501,0)),"")</f>
        <v>33323</v>
      </c>
      <c r="Q419" s="4">
        <f>IFERROR(INDEX(_怪物基线!$D$2:$D$501,MATCH(INT($L419),_怪物基线!$A$2:$A$501,0)),"")</f>
        <v>33739</v>
      </c>
      <c r="R419" s="4">
        <f>参数!$B$10</f>
        <v>4</v>
      </c>
      <c r="S419" s="4">
        <f>参数!$C$10</f>
        <v>1.2</v>
      </c>
      <c r="T419" s="4">
        <f>参数!$D$10</f>
        <v>1</v>
      </c>
      <c r="U419" s="4">
        <f t="shared" si="42"/>
        <v>2378040</v>
      </c>
      <c r="V419" s="4">
        <f t="shared" si="43"/>
        <v>39987.6</v>
      </c>
      <c r="W419" s="4">
        <f t="shared" si="44"/>
        <v>33739</v>
      </c>
      <c r="X419" s="4">
        <f>IFERROR(INDEX(参数!$B$5:$B$7,MATCH($N419,参数!$A$5:$A$7,0)),"")</f>
        <v>1</v>
      </c>
      <c r="Y419" s="4">
        <f>IFERROR(INDEX(参数!$C$5:$C$7,MATCH($N419,参数!$A$5:$A$7,0)),"")</f>
        <v>1.2</v>
      </c>
      <c r="Z419" s="4">
        <f>IFERROR(INDEX(参数!$D$5:$D$7,MATCH($N419,参数!$A$5:$A$7,0)),"")</f>
        <v>1</v>
      </c>
      <c r="AA419" s="4">
        <f>IFERROR(INDEX(楼层配置!$E$5:$E$104,MATCH($K419,楼层配置!$B$5:$B$104,0)),1)</f>
        <v>1</v>
      </c>
      <c r="AB419" s="4">
        <f>IFERROR(INDEX(楼层配置!$F$5:$F$104,MATCH($K419,楼层配置!$B$5:$B$104,0)),1)</f>
        <v>1</v>
      </c>
      <c r="AC419" s="4">
        <f>IFERROR(INDEX(楼层配置!$G$5:$G$104,MATCH($K419,楼层配置!$B$5:$B$104,0)),1)</f>
        <v>1</v>
      </c>
      <c r="AD419" s="6">
        <f t="shared" si="45"/>
        <v>-0.159950445681536</v>
      </c>
      <c r="AE419" s="6">
        <f t="shared" si="46"/>
        <v>0.0064179198389227</v>
      </c>
      <c r="AF419" s="6">
        <f t="shared" si="47"/>
        <v>0.255031060521519</v>
      </c>
      <c r="AG419" s="4" t="str">
        <f t="shared" si="48"/>
        <v>有效</v>
      </c>
    </row>
    <row r="420" ht="14.25" customHeight="1" spans="1:33">
      <c r="A420" s="4">
        <v>416</v>
      </c>
      <c r="B420" s="4">
        <v>1003</v>
      </c>
      <c r="C420" s="4">
        <v>52</v>
      </c>
      <c r="D420" s="5">
        <f>IFERROR(ROUND($U420*$X420*$AA420*参数!$B$13,0),"")</f>
        <v>3595746</v>
      </c>
      <c r="E420" s="5">
        <f>IFERROR(ROUND($V420*$Y420*$AB420*参数!$C$13,0),"")</f>
        <v>40244</v>
      </c>
      <c r="F420" s="5">
        <f>IFERROR(ROUND($W420*$Z420*$AC420*参数!$D$13,0),"")</f>
        <v>50813</v>
      </c>
      <c r="G420" s="4">
        <v>4384360</v>
      </c>
      <c r="H420" s="4">
        <v>40762</v>
      </c>
      <c r="I420" s="4">
        <v>40977</v>
      </c>
      <c r="J420" s="4">
        <v>84</v>
      </c>
      <c r="K420" s="4">
        <v>84</v>
      </c>
      <c r="L420" s="4">
        <f>IFERROR(INDEX(楼层配置!$D$5:$D$104,MATCH($K420,楼层配置!$B$5:$B$104,0)),"")</f>
        <v>353</v>
      </c>
      <c r="M420" s="4" t="str">
        <f>IFERROR(INDEX(_角色基线!$B$2:$B$100,MATCH($B420,_角色基线!$A$2:$A$100,0)),"")</f>
        <v>塔拉夏</v>
      </c>
      <c r="N420" s="4" t="str">
        <f>IFERROR(INDEX(_角色基线!$C$2:$C$100,MATCH($B420,_角色基线!$A$2:$A$100,0)),"")</f>
        <v>Tank</v>
      </c>
      <c r="O420" s="4">
        <f>IFERROR(INDEX(_怪物基线!$B$2:$B$501,MATCH(INT($L420),_怪物基线!$A$2:$A$501,0)),"")</f>
        <v>599291</v>
      </c>
      <c r="P420" s="4">
        <f>IFERROR(INDEX(_怪物基线!$C$2:$C$501,MATCH(INT($L420),_怪物基线!$A$2:$A$501,0)),"")</f>
        <v>33537</v>
      </c>
      <c r="Q420" s="4">
        <f>IFERROR(INDEX(_怪物基线!$D$2:$D$501,MATCH(INT($L420),_怪物基线!$A$2:$A$501,0)),"")</f>
        <v>33875</v>
      </c>
      <c r="R420" s="4">
        <f>参数!$B$10</f>
        <v>4</v>
      </c>
      <c r="S420" s="4">
        <f>参数!$C$10</f>
        <v>1.2</v>
      </c>
      <c r="T420" s="4">
        <f>参数!$D$10</f>
        <v>1</v>
      </c>
      <c r="U420" s="4">
        <f t="shared" si="42"/>
        <v>2397164</v>
      </c>
      <c r="V420" s="4">
        <f t="shared" si="43"/>
        <v>40244.4</v>
      </c>
      <c r="W420" s="4">
        <f t="shared" si="44"/>
        <v>33875</v>
      </c>
      <c r="X420" s="4">
        <f>IFERROR(INDEX(参数!$B$5:$B$7,MATCH($N420,参数!$A$5:$A$7,0)),"")</f>
        <v>1.5</v>
      </c>
      <c r="Y420" s="4">
        <f>IFERROR(INDEX(参数!$C$5:$C$7,MATCH($N420,参数!$A$5:$A$7,0)),"")</f>
        <v>1</v>
      </c>
      <c r="Z420" s="4">
        <f>IFERROR(INDEX(参数!$D$5:$D$7,MATCH($N420,参数!$A$5:$A$7,0)),"")</f>
        <v>1.5</v>
      </c>
      <c r="AA420" s="4">
        <f>IFERROR(INDEX(楼层配置!$E$5:$E$104,MATCH($K420,楼层配置!$B$5:$B$104,0)),1)</f>
        <v>1</v>
      </c>
      <c r="AB420" s="4">
        <f>IFERROR(INDEX(楼层配置!$F$5:$F$104,MATCH($K420,楼层配置!$B$5:$B$104,0)),1)</f>
        <v>1</v>
      </c>
      <c r="AC420" s="4">
        <f>IFERROR(INDEX(楼层配置!$G$5:$G$104,MATCH($K420,楼层配置!$B$5:$B$104,0)),1)</f>
        <v>1</v>
      </c>
      <c r="AD420" s="6">
        <f t="shared" si="45"/>
        <v>-0.179869809960861</v>
      </c>
      <c r="AE420" s="6">
        <f t="shared" si="46"/>
        <v>-0.0127079142338452</v>
      </c>
      <c r="AF420" s="6">
        <f t="shared" si="47"/>
        <v>0.24003709397955</v>
      </c>
      <c r="AG420" s="4" t="str">
        <f t="shared" si="48"/>
        <v>有效</v>
      </c>
    </row>
    <row r="421" ht="14.25" customHeight="1" spans="1:33">
      <c r="A421" s="4">
        <v>417</v>
      </c>
      <c r="B421" s="4">
        <v>1008</v>
      </c>
      <c r="C421" s="4">
        <v>52</v>
      </c>
      <c r="D421" s="5">
        <f>IFERROR(ROUND($U421*$X421*$AA421*参数!$B$13,0),"")</f>
        <v>2397164</v>
      </c>
      <c r="E421" s="5">
        <f>IFERROR(ROUND($V421*$Y421*$AB421*参数!$C$13,0),"")</f>
        <v>48293</v>
      </c>
      <c r="F421" s="5">
        <f>IFERROR(ROUND($W421*$Z421*$AC421*参数!$D$13,0),"")</f>
        <v>33875</v>
      </c>
      <c r="G421" s="4">
        <v>2922907</v>
      </c>
      <c r="H421" s="4">
        <v>48914</v>
      </c>
      <c r="I421" s="4">
        <v>27318</v>
      </c>
      <c r="J421" s="4">
        <v>84</v>
      </c>
      <c r="K421" s="4">
        <v>84</v>
      </c>
      <c r="L421" s="4">
        <f>IFERROR(INDEX(楼层配置!$D$5:$D$104,MATCH($K421,楼层配置!$B$5:$B$104,0)),"")</f>
        <v>353</v>
      </c>
      <c r="M421" s="4" t="str">
        <f>IFERROR(INDEX(_角色基线!$B$2:$B$100,MATCH($B421,_角色基线!$A$2:$A$100,0)),"")</f>
        <v>薇</v>
      </c>
      <c r="N421" s="4" t="str">
        <f>IFERROR(INDEX(_角色基线!$C$2:$C$100,MATCH($B421,_角色基线!$A$2:$A$100,0)),"")</f>
        <v>DPS</v>
      </c>
      <c r="O421" s="4">
        <f>IFERROR(INDEX(_怪物基线!$B$2:$B$501,MATCH(INT($L421),_怪物基线!$A$2:$A$501,0)),"")</f>
        <v>599291</v>
      </c>
      <c r="P421" s="4">
        <f>IFERROR(INDEX(_怪物基线!$C$2:$C$501,MATCH(INT($L421),_怪物基线!$A$2:$A$501,0)),"")</f>
        <v>33537</v>
      </c>
      <c r="Q421" s="4">
        <f>IFERROR(INDEX(_怪物基线!$D$2:$D$501,MATCH(INT($L421),_怪物基线!$A$2:$A$501,0)),"")</f>
        <v>33875</v>
      </c>
      <c r="R421" s="4">
        <f>参数!$B$10</f>
        <v>4</v>
      </c>
      <c r="S421" s="4">
        <f>参数!$C$10</f>
        <v>1.2</v>
      </c>
      <c r="T421" s="4">
        <f>参数!$D$10</f>
        <v>1</v>
      </c>
      <c r="U421" s="4">
        <f t="shared" si="42"/>
        <v>2397164</v>
      </c>
      <c r="V421" s="4">
        <f t="shared" si="43"/>
        <v>40244.4</v>
      </c>
      <c r="W421" s="4">
        <f t="shared" si="44"/>
        <v>33875</v>
      </c>
      <c r="X421" s="4">
        <f>IFERROR(INDEX(参数!$B$5:$B$7,MATCH($N421,参数!$A$5:$A$7,0)),"")</f>
        <v>1</v>
      </c>
      <c r="Y421" s="4">
        <f>IFERROR(INDEX(参数!$C$5:$C$7,MATCH($N421,参数!$A$5:$A$7,0)),"")</f>
        <v>1.2</v>
      </c>
      <c r="Z421" s="4">
        <f>IFERROR(INDEX(参数!$D$5:$D$7,MATCH($N421,参数!$A$5:$A$7,0)),"")</f>
        <v>1</v>
      </c>
      <c r="AA421" s="4">
        <f>IFERROR(INDEX(楼层配置!$E$5:$E$104,MATCH($K421,楼层配置!$B$5:$B$104,0)),1)</f>
        <v>1</v>
      </c>
      <c r="AB421" s="4">
        <f>IFERROR(INDEX(楼层配置!$F$5:$F$104,MATCH($K421,楼层配置!$B$5:$B$104,0)),1)</f>
        <v>1</v>
      </c>
      <c r="AC421" s="4">
        <f>IFERROR(INDEX(楼层配置!$G$5:$G$104,MATCH($K421,楼层配置!$B$5:$B$104,0)),1)</f>
        <v>1</v>
      </c>
      <c r="AD421" s="6">
        <f t="shared" si="45"/>
        <v>-0.179869903489916</v>
      </c>
      <c r="AE421" s="6">
        <f t="shared" si="46"/>
        <v>-0.0126957517275218</v>
      </c>
      <c r="AF421" s="6">
        <f t="shared" si="47"/>
        <v>0.240024892012592</v>
      </c>
      <c r="AG421" s="4" t="str">
        <f t="shared" si="48"/>
        <v>有效</v>
      </c>
    </row>
    <row r="422" ht="14.25" customHeight="1" spans="1:33">
      <c r="A422" s="4">
        <v>418</v>
      </c>
      <c r="B422" s="4">
        <v>1008</v>
      </c>
      <c r="C422" s="4">
        <v>52</v>
      </c>
      <c r="D422" s="5">
        <f>IFERROR(ROUND($U422*$X422*$AA422*参数!$B$13,0),"")</f>
        <v>2397164</v>
      </c>
      <c r="E422" s="5">
        <f>IFERROR(ROUND($V422*$Y422*$AB422*参数!$C$13,0),"")</f>
        <v>48293</v>
      </c>
      <c r="F422" s="5">
        <f>IFERROR(ROUND($W422*$Z422*$AC422*参数!$D$13,0),"")</f>
        <v>33875</v>
      </c>
      <c r="G422" s="4">
        <v>2922907</v>
      </c>
      <c r="H422" s="4">
        <v>48914</v>
      </c>
      <c r="I422" s="4">
        <v>27318</v>
      </c>
      <c r="J422" s="4">
        <v>84</v>
      </c>
      <c r="K422" s="4">
        <v>84</v>
      </c>
      <c r="L422" s="4">
        <f>IFERROR(INDEX(楼层配置!$D$5:$D$104,MATCH($K422,楼层配置!$B$5:$B$104,0)),"")</f>
        <v>353</v>
      </c>
      <c r="M422" s="4" t="str">
        <f>IFERROR(INDEX(_角色基线!$B$2:$B$100,MATCH($B422,_角色基线!$A$2:$A$100,0)),"")</f>
        <v>薇</v>
      </c>
      <c r="N422" s="4" t="str">
        <f>IFERROR(INDEX(_角色基线!$C$2:$C$100,MATCH($B422,_角色基线!$A$2:$A$100,0)),"")</f>
        <v>DPS</v>
      </c>
      <c r="O422" s="4">
        <f>IFERROR(INDEX(_怪物基线!$B$2:$B$501,MATCH(INT($L422),_怪物基线!$A$2:$A$501,0)),"")</f>
        <v>599291</v>
      </c>
      <c r="P422" s="4">
        <f>IFERROR(INDEX(_怪物基线!$C$2:$C$501,MATCH(INT($L422),_怪物基线!$A$2:$A$501,0)),"")</f>
        <v>33537</v>
      </c>
      <c r="Q422" s="4">
        <f>IFERROR(INDEX(_怪物基线!$D$2:$D$501,MATCH(INT($L422),_怪物基线!$A$2:$A$501,0)),"")</f>
        <v>33875</v>
      </c>
      <c r="R422" s="4">
        <f>参数!$B$10</f>
        <v>4</v>
      </c>
      <c r="S422" s="4">
        <f>参数!$C$10</f>
        <v>1.2</v>
      </c>
      <c r="T422" s="4">
        <f>参数!$D$10</f>
        <v>1</v>
      </c>
      <c r="U422" s="4">
        <f t="shared" si="42"/>
        <v>2397164</v>
      </c>
      <c r="V422" s="4">
        <f t="shared" si="43"/>
        <v>40244.4</v>
      </c>
      <c r="W422" s="4">
        <f t="shared" si="44"/>
        <v>33875</v>
      </c>
      <c r="X422" s="4">
        <f>IFERROR(INDEX(参数!$B$5:$B$7,MATCH($N422,参数!$A$5:$A$7,0)),"")</f>
        <v>1</v>
      </c>
      <c r="Y422" s="4">
        <f>IFERROR(INDEX(参数!$C$5:$C$7,MATCH($N422,参数!$A$5:$A$7,0)),"")</f>
        <v>1.2</v>
      </c>
      <c r="Z422" s="4">
        <f>IFERROR(INDEX(参数!$D$5:$D$7,MATCH($N422,参数!$A$5:$A$7,0)),"")</f>
        <v>1</v>
      </c>
      <c r="AA422" s="4">
        <f>IFERROR(INDEX(楼层配置!$E$5:$E$104,MATCH($K422,楼层配置!$B$5:$B$104,0)),1)</f>
        <v>1</v>
      </c>
      <c r="AB422" s="4">
        <f>IFERROR(INDEX(楼层配置!$F$5:$F$104,MATCH($K422,楼层配置!$B$5:$B$104,0)),1)</f>
        <v>1</v>
      </c>
      <c r="AC422" s="4">
        <f>IFERROR(INDEX(楼层配置!$G$5:$G$104,MATCH($K422,楼层配置!$B$5:$B$104,0)),1)</f>
        <v>1</v>
      </c>
      <c r="AD422" s="6">
        <f t="shared" si="45"/>
        <v>-0.179869903489916</v>
      </c>
      <c r="AE422" s="6">
        <f t="shared" si="46"/>
        <v>-0.0126957517275218</v>
      </c>
      <c r="AF422" s="6">
        <f t="shared" si="47"/>
        <v>0.240024892012592</v>
      </c>
      <c r="AG422" s="4" t="str">
        <f t="shared" si="48"/>
        <v>有效</v>
      </c>
    </row>
    <row r="423" ht="14.25" customHeight="1" spans="1:33">
      <c r="A423" s="4">
        <v>419</v>
      </c>
      <c r="B423" s="4">
        <v>1007</v>
      </c>
      <c r="C423" s="4">
        <v>52</v>
      </c>
      <c r="D423" s="5">
        <f>IFERROR(ROUND($U423*$X423*$AA423*参数!$B$13,0),"")</f>
        <v>2996455</v>
      </c>
      <c r="E423" s="5">
        <f>IFERROR(ROUND($V423*$Y423*$AB423*参数!$C$13,0),"")</f>
        <v>40244</v>
      </c>
      <c r="F423" s="5">
        <f>IFERROR(ROUND($W423*$Z423*$AC423*参数!$D$13,0),"")</f>
        <v>42344</v>
      </c>
      <c r="G423" s="4">
        <v>3653634</v>
      </c>
      <c r="H423" s="4">
        <v>40762</v>
      </c>
      <c r="I423" s="4">
        <v>34148</v>
      </c>
      <c r="J423" s="4">
        <v>84</v>
      </c>
      <c r="K423" s="4">
        <v>84</v>
      </c>
      <c r="L423" s="4">
        <f>IFERROR(INDEX(楼层配置!$D$5:$D$104,MATCH($K423,楼层配置!$B$5:$B$104,0)),"")</f>
        <v>353</v>
      </c>
      <c r="M423" s="4" t="str">
        <f>IFERROR(INDEX(_角色基线!$B$2:$B$100,MATCH($B423,_角色基线!$A$2:$A$100,0)),"")</f>
        <v>萨萨莉安</v>
      </c>
      <c r="N423" s="4" t="str">
        <f>IFERROR(INDEX(_角色基线!$C$2:$C$100,MATCH($B423,_角色基线!$A$2:$A$100,0)),"")</f>
        <v>Support</v>
      </c>
      <c r="O423" s="4">
        <f>IFERROR(INDEX(_怪物基线!$B$2:$B$501,MATCH(INT($L423),_怪物基线!$A$2:$A$501,0)),"")</f>
        <v>599291</v>
      </c>
      <c r="P423" s="4">
        <f>IFERROR(INDEX(_怪物基线!$C$2:$C$501,MATCH(INT($L423),_怪物基线!$A$2:$A$501,0)),"")</f>
        <v>33537</v>
      </c>
      <c r="Q423" s="4">
        <f>IFERROR(INDEX(_怪物基线!$D$2:$D$501,MATCH(INT($L423),_怪物基线!$A$2:$A$501,0)),"")</f>
        <v>33875</v>
      </c>
      <c r="R423" s="4">
        <f>参数!$B$10</f>
        <v>4</v>
      </c>
      <c r="S423" s="4">
        <f>参数!$C$10</f>
        <v>1.2</v>
      </c>
      <c r="T423" s="4">
        <f>参数!$D$10</f>
        <v>1</v>
      </c>
      <c r="U423" s="4">
        <f t="shared" si="42"/>
        <v>2397164</v>
      </c>
      <c r="V423" s="4">
        <f t="shared" si="43"/>
        <v>40244.4</v>
      </c>
      <c r="W423" s="4">
        <f t="shared" si="44"/>
        <v>33875</v>
      </c>
      <c r="X423" s="4">
        <f>IFERROR(INDEX(参数!$B$5:$B$7,MATCH($N423,参数!$A$5:$A$7,0)),"")</f>
        <v>1.25</v>
      </c>
      <c r="Y423" s="4">
        <f>IFERROR(INDEX(参数!$C$5:$C$7,MATCH($N423,参数!$A$5:$A$7,0)),"")</f>
        <v>1</v>
      </c>
      <c r="Z423" s="4">
        <f>IFERROR(INDEX(参数!$D$5:$D$7,MATCH($N423,参数!$A$5:$A$7,0)),"")</f>
        <v>1.25</v>
      </c>
      <c r="AA423" s="4">
        <f>IFERROR(INDEX(楼层配置!$E$5:$E$104,MATCH($K423,楼层配置!$B$5:$B$104,0)),1)</f>
        <v>1</v>
      </c>
      <c r="AB423" s="4">
        <f>IFERROR(INDEX(楼层配置!$F$5:$F$104,MATCH($K423,楼层配置!$B$5:$B$104,0)),1)</f>
        <v>1</v>
      </c>
      <c r="AC423" s="4">
        <f>IFERROR(INDEX(楼层配置!$G$5:$G$104,MATCH($K423,楼层配置!$B$5:$B$104,0)),1)</f>
        <v>1</v>
      </c>
      <c r="AD423" s="6">
        <f t="shared" si="45"/>
        <v>-0.179869959607339</v>
      </c>
      <c r="AE423" s="6">
        <f t="shared" si="46"/>
        <v>-0.0127079142338452</v>
      </c>
      <c r="AF423" s="6">
        <f t="shared" si="47"/>
        <v>0.240014056460115</v>
      </c>
      <c r="AG423" s="4" t="str">
        <f t="shared" si="48"/>
        <v>有效</v>
      </c>
    </row>
    <row r="424" ht="14.25" customHeight="1" spans="1:33">
      <c r="A424" s="4">
        <v>420</v>
      </c>
      <c r="B424" s="4">
        <v>1017</v>
      </c>
      <c r="C424" s="4">
        <v>52</v>
      </c>
      <c r="D424" s="5">
        <f>IFERROR(ROUND($U424*$X424*$AA424*参数!$B$13,0),"")</f>
        <v>2397164</v>
      </c>
      <c r="E424" s="5">
        <f>IFERROR(ROUND($V424*$Y424*$AB424*参数!$C$13,0),"")</f>
        <v>48293</v>
      </c>
      <c r="F424" s="5">
        <f>IFERROR(ROUND($W424*$Z424*$AC424*参数!$D$13,0),"")</f>
        <v>33875</v>
      </c>
      <c r="G424" s="4">
        <v>2922907</v>
      </c>
      <c r="H424" s="4">
        <v>48914</v>
      </c>
      <c r="I424" s="4">
        <v>27318</v>
      </c>
      <c r="J424" s="4">
        <v>84</v>
      </c>
      <c r="K424" s="4">
        <v>84</v>
      </c>
      <c r="L424" s="4">
        <f>IFERROR(INDEX(楼层配置!$D$5:$D$104,MATCH($K424,楼层配置!$B$5:$B$104,0)),"")</f>
        <v>353</v>
      </c>
      <c r="M424" s="4" t="str">
        <f>IFERROR(INDEX(_角色基线!$B$2:$B$100,MATCH($B424,_角色基线!$A$2:$A$100,0)),"")</f>
        <v>伊戈尔</v>
      </c>
      <c r="N424" s="4" t="str">
        <f>IFERROR(INDEX(_角色基线!$C$2:$C$100,MATCH($B424,_角色基线!$A$2:$A$100,0)),"")</f>
        <v>DPS</v>
      </c>
      <c r="O424" s="4">
        <f>IFERROR(INDEX(_怪物基线!$B$2:$B$501,MATCH(INT($L424),_怪物基线!$A$2:$A$501,0)),"")</f>
        <v>599291</v>
      </c>
      <c r="P424" s="4">
        <f>IFERROR(INDEX(_怪物基线!$C$2:$C$501,MATCH(INT($L424),_怪物基线!$A$2:$A$501,0)),"")</f>
        <v>33537</v>
      </c>
      <c r="Q424" s="4">
        <f>IFERROR(INDEX(_怪物基线!$D$2:$D$501,MATCH(INT($L424),_怪物基线!$A$2:$A$501,0)),"")</f>
        <v>33875</v>
      </c>
      <c r="R424" s="4">
        <f>参数!$B$10</f>
        <v>4</v>
      </c>
      <c r="S424" s="4">
        <f>参数!$C$10</f>
        <v>1.2</v>
      </c>
      <c r="T424" s="4">
        <f>参数!$D$10</f>
        <v>1</v>
      </c>
      <c r="U424" s="4">
        <f t="shared" si="42"/>
        <v>2397164</v>
      </c>
      <c r="V424" s="4">
        <f t="shared" si="43"/>
        <v>40244.4</v>
      </c>
      <c r="W424" s="4">
        <f t="shared" si="44"/>
        <v>33875</v>
      </c>
      <c r="X424" s="4">
        <f>IFERROR(INDEX(参数!$B$5:$B$7,MATCH($N424,参数!$A$5:$A$7,0)),"")</f>
        <v>1</v>
      </c>
      <c r="Y424" s="4">
        <f>IFERROR(INDEX(参数!$C$5:$C$7,MATCH($N424,参数!$A$5:$A$7,0)),"")</f>
        <v>1.2</v>
      </c>
      <c r="Z424" s="4">
        <f>IFERROR(INDEX(参数!$D$5:$D$7,MATCH($N424,参数!$A$5:$A$7,0)),"")</f>
        <v>1</v>
      </c>
      <c r="AA424" s="4">
        <f>IFERROR(INDEX(楼层配置!$E$5:$E$104,MATCH($K424,楼层配置!$B$5:$B$104,0)),1)</f>
        <v>1</v>
      </c>
      <c r="AB424" s="4">
        <f>IFERROR(INDEX(楼层配置!$F$5:$F$104,MATCH($K424,楼层配置!$B$5:$B$104,0)),1)</f>
        <v>1</v>
      </c>
      <c r="AC424" s="4">
        <f>IFERROR(INDEX(楼层配置!$G$5:$G$104,MATCH($K424,楼层配置!$B$5:$B$104,0)),1)</f>
        <v>1</v>
      </c>
      <c r="AD424" s="6">
        <f t="shared" si="45"/>
        <v>-0.179869903489916</v>
      </c>
      <c r="AE424" s="6">
        <f t="shared" si="46"/>
        <v>-0.0126957517275218</v>
      </c>
      <c r="AF424" s="6">
        <f t="shared" si="47"/>
        <v>0.240024892012592</v>
      </c>
      <c r="AG424" s="4" t="str">
        <f t="shared" si="48"/>
        <v>有效</v>
      </c>
    </row>
    <row r="425" ht="14.25" customHeight="1" spans="1:33">
      <c r="A425" s="4">
        <v>421</v>
      </c>
      <c r="B425" s="4">
        <v>1004</v>
      </c>
      <c r="C425" s="4">
        <v>52</v>
      </c>
      <c r="D425" s="5">
        <f>IFERROR(ROUND($U425*$X425*$AA425*参数!$B$13,0),"")</f>
        <v>3624600</v>
      </c>
      <c r="E425" s="5">
        <f>IFERROR(ROUND($V425*$Y425*$AB425*参数!$C$13,0),"")</f>
        <v>40502</v>
      </c>
      <c r="F425" s="5">
        <f>IFERROR(ROUND($W425*$Z425*$AC425*参数!$D$13,0),"")</f>
        <v>51018</v>
      </c>
      <c r="G425" s="4">
        <v>4525812</v>
      </c>
      <c r="H425" s="4">
        <v>41816</v>
      </c>
      <c r="I425" s="4">
        <v>41635</v>
      </c>
      <c r="J425" s="4">
        <v>85</v>
      </c>
      <c r="K425" s="4">
        <v>85</v>
      </c>
      <c r="L425" s="4">
        <f>IFERROR(INDEX(楼层配置!$D$5:$D$104,MATCH($K425,楼层配置!$B$5:$B$104,0)),"")</f>
        <v>354</v>
      </c>
      <c r="M425" s="4" t="str">
        <f>IFERROR(INDEX(_角色基线!$B$2:$B$100,MATCH($B425,_角色基线!$A$2:$A$100,0)),"")</f>
        <v>阿芭</v>
      </c>
      <c r="N425" s="4" t="str">
        <f>IFERROR(INDEX(_角色基线!$C$2:$C$100,MATCH($B425,_角色基线!$A$2:$A$100,0)),"")</f>
        <v>Tank</v>
      </c>
      <c r="O425" s="4">
        <f>IFERROR(INDEX(_怪物基线!$B$2:$B$501,MATCH(INT($L425),_怪物基线!$A$2:$A$501,0)),"")</f>
        <v>604100</v>
      </c>
      <c r="P425" s="4">
        <f>IFERROR(INDEX(_怪物基线!$C$2:$C$501,MATCH(INT($L425),_怪物基线!$A$2:$A$501,0)),"")</f>
        <v>33752</v>
      </c>
      <c r="Q425" s="4">
        <f>IFERROR(INDEX(_怪物基线!$D$2:$D$501,MATCH(INT($L425),_怪物基线!$A$2:$A$501,0)),"")</f>
        <v>34012</v>
      </c>
      <c r="R425" s="4">
        <f>参数!$B$10</f>
        <v>4</v>
      </c>
      <c r="S425" s="4">
        <f>参数!$C$10</f>
        <v>1.2</v>
      </c>
      <c r="T425" s="4">
        <f>参数!$D$10</f>
        <v>1</v>
      </c>
      <c r="U425" s="4">
        <f t="shared" si="42"/>
        <v>2416400</v>
      </c>
      <c r="V425" s="4">
        <f t="shared" si="43"/>
        <v>40502.4</v>
      </c>
      <c r="W425" s="4">
        <f t="shared" si="44"/>
        <v>34012</v>
      </c>
      <c r="X425" s="4">
        <f>IFERROR(INDEX(参数!$B$5:$B$7,MATCH($N425,参数!$A$5:$A$7,0)),"")</f>
        <v>1.5</v>
      </c>
      <c r="Y425" s="4">
        <f>IFERROR(INDEX(参数!$C$5:$C$7,MATCH($N425,参数!$A$5:$A$7,0)),"")</f>
        <v>1</v>
      </c>
      <c r="Z425" s="4">
        <f>IFERROR(INDEX(参数!$D$5:$D$7,MATCH($N425,参数!$A$5:$A$7,0)),"")</f>
        <v>1.5</v>
      </c>
      <c r="AA425" s="4">
        <f>IFERROR(INDEX(楼层配置!$E$5:$E$104,MATCH($K425,楼层配置!$B$5:$B$104,0)),1)</f>
        <v>1</v>
      </c>
      <c r="AB425" s="4">
        <f>IFERROR(INDEX(楼层配置!$F$5:$F$104,MATCH($K425,楼层配置!$B$5:$B$104,0)),1)</f>
        <v>1</v>
      </c>
      <c r="AC425" s="4">
        <f>IFERROR(INDEX(楼层配置!$G$5:$G$104,MATCH($K425,楼层配置!$B$5:$B$104,0)),1)</f>
        <v>1</v>
      </c>
      <c r="AD425" s="6">
        <f t="shared" si="45"/>
        <v>-0.199127140057961</v>
      </c>
      <c r="AE425" s="6">
        <f t="shared" si="46"/>
        <v>-0.0314233786110579</v>
      </c>
      <c r="AF425" s="6">
        <f t="shared" si="47"/>
        <v>0.225363276089828</v>
      </c>
      <c r="AG425" s="4" t="str">
        <f t="shared" si="48"/>
        <v>有效</v>
      </c>
    </row>
    <row r="426" ht="14.25" customHeight="1" spans="1:33">
      <c r="A426" s="4">
        <v>422</v>
      </c>
      <c r="B426" s="4">
        <v>1005</v>
      </c>
      <c r="C426" s="4">
        <v>52</v>
      </c>
      <c r="D426" s="5">
        <f>IFERROR(ROUND($U426*$X426*$AA426*参数!$B$13,0),"")</f>
        <v>2416400</v>
      </c>
      <c r="E426" s="5">
        <f>IFERROR(ROUND($V426*$Y426*$AB426*参数!$C$13,0),"")</f>
        <v>48603</v>
      </c>
      <c r="F426" s="5">
        <f>IFERROR(ROUND($W426*$Z426*$AC426*参数!$D$13,0),"")</f>
        <v>34012</v>
      </c>
      <c r="G426" s="4">
        <v>3017208</v>
      </c>
      <c r="H426" s="4">
        <v>50179</v>
      </c>
      <c r="I426" s="4">
        <v>27756</v>
      </c>
      <c r="J426" s="4">
        <v>85</v>
      </c>
      <c r="K426" s="4">
        <v>85</v>
      </c>
      <c r="L426" s="4">
        <f>IFERROR(INDEX(楼层配置!$D$5:$D$104,MATCH($K426,楼层配置!$B$5:$B$104,0)),"")</f>
        <v>354</v>
      </c>
      <c r="M426" s="4" t="str">
        <f>IFERROR(INDEX(_角色基线!$B$2:$B$100,MATCH($B426,_角色基线!$A$2:$A$100,0)),"")</f>
        <v>陈单单</v>
      </c>
      <c r="N426" s="4" t="str">
        <f>IFERROR(INDEX(_角色基线!$C$2:$C$100,MATCH($B426,_角色基线!$A$2:$A$100,0)),"")</f>
        <v>DPS</v>
      </c>
      <c r="O426" s="4">
        <f>IFERROR(INDEX(_怪物基线!$B$2:$B$501,MATCH(INT($L426),_怪物基线!$A$2:$A$501,0)),"")</f>
        <v>604100</v>
      </c>
      <c r="P426" s="4">
        <f>IFERROR(INDEX(_怪物基线!$C$2:$C$501,MATCH(INT($L426),_怪物基线!$A$2:$A$501,0)),"")</f>
        <v>33752</v>
      </c>
      <c r="Q426" s="4">
        <f>IFERROR(INDEX(_怪物基线!$D$2:$D$501,MATCH(INT($L426),_怪物基线!$A$2:$A$501,0)),"")</f>
        <v>34012</v>
      </c>
      <c r="R426" s="4">
        <f>参数!$B$10</f>
        <v>4</v>
      </c>
      <c r="S426" s="4">
        <f>参数!$C$10</f>
        <v>1.2</v>
      </c>
      <c r="T426" s="4">
        <f>参数!$D$10</f>
        <v>1</v>
      </c>
      <c r="U426" s="4">
        <f t="shared" si="42"/>
        <v>2416400</v>
      </c>
      <c r="V426" s="4">
        <f t="shared" si="43"/>
        <v>40502.4</v>
      </c>
      <c r="W426" s="4">
        <f t="shared" si="44"/>
        <v>34012</v>
      </c>
      <c r="X426" s="4">
        <f>IFERROR(INDEX(参数!$B$5:$B$7,MATCH($N426,参数!$A$5:$A$7,0)),"")</f>
        <v>1</v>
      </c>
      <c r="Y426" s="4">
        <f>IFERROR(INDEX(参数!$C$5:$C$7,MATCH($N426,参数!$A$5:$A$7,0)),"")</f>
        <v>1.2</v>
      </c>
      <c r="Z426" s="4">
        <f>IFERROR(INDEX(参数!$D$5:$D$7,MATCH($N426,参数!$A$5:$A$7,0)),"")</f>
        <v>1</v>
      </c>
      <c r="AA426" s="4">
        <f>IFERROR(INDEX(楼层配置!$E$5:$E$104,MATCH($K426,楼层配置!$B$5:$B$104,0)),1)</f>
        <v>1</v>
      </c>
      <c r="AB426" s="4">
        <f>IFERROR(INDEX(楼层配置!$F$5:$F$104,MATCH($K426,楼层配置!$B$5:$B$104,0)),1)</f>
        <v>1</v>
      </c>
      <c r="AC426" s="4">
        <f>IFERROR(INDEX(楼层配置!$G$5:$G$104,MATCH($K426,楼层配置!$B$5:$B$104,0)),1)</f>
        <v>1</v>
      </c>
      <c r="AD426" s="6">
        <f t="shared" si="45"/>
        <v>-0.199127140057961</v>
      </c>
      <c r="AE426" s="6">
        <f t="shared" si="46"/>
        <v>-0.0314075609318639</v>
      </c>
      <c r="AF426" s="6">
        <f t="shared" si="47"/>
        <v>0.22539270788298</v>
      </c>
      <c r="AG426" s="4" t="str">
        <f t="shared" si="48"/>
        <v>有效</v>
      </c>
    </row>
    <row r="427" ht="14.25" customHeight="1" spans="1:33">
      <c r="A427" s="4">
        <v>423</v>
      </c>
      <c r="B427" s="4">
        <v>1005</v>
      </c>
      <c r="C427" s="4">
        <v>52</v>
      </c>
      <c r="D427" s="5">
        <f>IFERROR(ROUND($U427*$X427*$AA427*参数!$B$13,0),"")</f>
        <v>2416400</v>
      </c>
      <c r="E427" s="5">
        <f>IFERROR(ROUND($V427*$Y427*$AB427*参数!$C$13,0),"")</f>
        <v>48603</v>
      </c>
      <c r="F427" s="5">
        <f>IFERROR(ROUND($W427*$Z427*$AC427*参数!$D$13,0),"")</f>
        <v>34012</v>
      </c>
      <c r="G427" s="4">
        <v>3017208</v>
      </c>
      <c r="H427" s="4">
        <v>50179</v>
      </c>
      <c r="I427" s="4">
        <v>27756</v>
      </c>
      <c r="J427" s="4">
        <v>85</v>
      </c>
      <c r="K427" s="4">
        <v>85</v>
      </c>
      <c r="L427" s="4">
        <f>IFERROR(INDEX(楼层配置!$D$5:$D$104,MATCH($K427,楼层配置!$B$5:$B$104,0)),"")</f>
        <v>354</v>
      </c>
      <c r="M427" s="4" t="str">
        <f>IFERROR(INDEX(_角色基线!$B$2:$B$100,MATCH($B427,_角色基线!$A$2:$A$100,0)),"")</f>
        <v>陈单单</v>
      </c>
      <c r="N427" s="4" t="str">
        <f>IFERROR(INDEX(_角色基线!$C$2:$C$100,MATCH($B427,_角色基线!$A$2:$A$100,0)),"")</f>
        <v>DPS</v>
      </c>
      <c r="O427" s="4">
        <f>IFERROR(INDEX(_怪物基线!$B$2:$B$501,MATCH(INT($L427),_怪物基线!$A$2:$A$501,0)),"")</f>
        <v>604100</v>
      </c>
      <c r="P427" s="4">
        <f>IFERROR(INDEX(_怪物基线!$C$2:$C$501,MATCH(INT($L427),_怪物基线!$A$2:$A$501,0)),"")</f>
        <v>33752</v>
      </c>
      <c r="Q427" s="4">
        <f>IFERROR(INDEX(_怪物基线!$D$2:$D$501,MATCH(INT($L427),_怪物基线!$A$2:$A$501,0)),"")</f>
        <v>34012</v>
      </c>
      <c r="R427" s="4">
        <f>参数!$B$10</f>
        <v>4</v>
      </c>
      <c r="S427" s="4">
        <f>参数!$C$10</f>
        <v>1.2</v>
      </c>
      <c r="T427" s="4">
        <f>参数!$D$10</f>
        <v>1</v>
      </c>
      <c r="U427" s="4">
        <f t="shared" si="42"/>
        <v>2416400</v>
      </c>
      <c r="V427" s="4">
        <f t="shared" si="43"/>
        <v>40502.4</v>
      </c>
      <c r="W427" s="4">
        <f t="shared" si="44"/>
        <v>34012</v>
      </c>
      <c r="X427" s="4">
        <f>IFERROR(INDEX(参数!$B$5:$B$7,MATCH($N427,参数!$A$5:$A$7,0)),"")</f>
        <v>1</v>
      </c>
      <c r="Y427" s="4">
        <f>IFERROR(INDEX(参数!$C$5:$C$7,MATCH($N427,参数!$A$5:$A$7,0)),"")</f>
        <v>1.2</v>
      </c>
      <c r="Z427" s="4">
        <f>IFERROR(INDEX(参数!$D$5:$D$7,MATCH($N427,参数!$A$5:$A$7,0)),"")</f>
        <v>1</v>
      </c>
      <c r="AA427" s="4">
        <f>IFERROR(INDEX(楼层配置!$E$5:$E$104,MATCH($K427,楼层配置!$B$5:$B$104,0)),1)</f>
        <v>1</v>
      </c>
      <c r="AB427" s="4">
        <f>IFERROR(INDEX(楼层配置!$F$5:$F$104,MATCH($K427,楼层配置!$B$5:$B$104,0)),1)</f>
        <v>1</v>
      </c>
      <c r="AC427" s="4">
        <f>IFERROR(INDEX(楼层配置!$G$5:$G$104,MATCH($K427,楼层配置!$B$5:$B$104,0)),1)</f>
        <v>1</v>
      </c>
      <c r="AD427" s="6">
        <f t="shared" si="45"/>
        <v>-0.199127140057961</v>
      </c>
      <c r="AE427" s="6">
        <f t="shared" si="46"/>
        <v>-0.0314075609318639</v>
      </c>
      <c r="AF427" s="6">
        <f t="shared" si="47"/>
        <v>0.22539270788298</v>
      </c>
      <c r="AG427" s="4" t="str">
        <f t="shared" si="48"/>
        <v>有效</v>
      </c>
    </row>
    <row r="428" ht="14.25" customHeight="1" spans="1:33">
      <c r="A428" s="4">
        <v>424</v>
      </c>
      <c r="B428" s="4">
        <v>1007</v>
      </c>
      <c r="C428" s="4">
        <v>52</v>
      </c>
      <c r="D428" s="5">
        <f>IFERROR(ROUND($U428*$X428*$AA428*参数!$B$13,0),"")</f>
        <v>3020500</v>
      </c>
      <c r="E428" s="5">
        <f>IFERROR(ROUND($V428*$Y428*$AB428*参数!$C$13,0),"")</f>
        <v>40502</v>
      </c>
      <c r="F428" s="5">
        <f>IFERROR(ROUND($W428*$Z428*$AC428*参数!$D$13,0),"")</f>
        <v>42515</v>
      </c>
      <c r="G428" s="4">
        <v>3771510</v>
      </c>
      <c r="H428" s="4">
        <v>41816</v>
      </c>
      <c r="I428" s="4">
        <v>34696</v>
      </c>
      <c r="J428" s="4">
        <v>85</v>
      </c>
      <c r="K428" s="4">
        <v>85</v>
      </c>
      <c r="L428" s="4">
        <f>IFERROR(INDEX(楼层配置!$D$5:$D$104,MATCH($K428,楼层配置!$B$5:$B$104,0)),"")</f>
        <v>354</v>
      </c>
      <c r="M428" s="4" t="str">
        <f>IFERROR(INDEX(_角色基线!$B$2:$B$100,MATCH($B428,_角色基线!$A$2:$A$100,0)),"")</f>
        <v>萨萨莉安</v>
      </c>
      <c r="N428" s="4" t="str">
        <f>IFERROR(INDEX(_角色基线!$C$2:$C$100,MATCH($B428,_角色基线!$A$2:$A$100,0)),"")</f>
        <v>Support</v>
      </c>
      <c r="O428" s="4">
        <f>IFERROR(INDEX(_怪物基线!$B$2:$B$501,MATCH(INT($L428),_怪物基线!$A$2:$A$501,0)),"")</f>
        <v>604100</v>
      </c>
      <c r="P428" s="4">
        <f>IFERROR(INDEX(_怪物基线!$C$2:$C$501,MATCH(INT($L428),_怪物基线!$A$2:$A$501,0)),"")</f>
        <v>33752</v>
      </c>
      <c r="Q428" s="4">
        <f>IFERROR(INDEX(_怪物基线!$D$2:$D$501,MATCH(INT($L428),_怪物基线!$A$2:$A$501,0)),"")</f>
        <v>34012</v>
      </c>
      <c r="R428" s="4">
        <f>参数!$B$10</f>
        <v>4</v>
      </c>
      <c r="S428" s="4">
        <f>参数!$C$10</f>
        <v>1.2</v>
      </c>
      <c r="T428" s="4">
        <f>参数!$D$10</f>
        <v>1</v>
      </c>
      <c r="U428" s="4">
        <f t="shared" si="42"/>
        <v>2416400</v>
      </c>
      <c r="V428" s="4">
        <f t="shared" si="43"/>
        <v>40502.4</v>
      </c>
      <c r="W428" s="4">
        <f t="shared" si="44"/>
        <v>34012</v>
      </c>
      <c r="X428" s="4">
        <f>IFERROR(INDEX(参数!$B$5:$B$7,MATCH($N428,参数!$A$5:$A$7,0)),"")</f>
        <v>1.25</v>
      </c>
      <c r="Y428" s="4">
        <f>IFERROR(INDEX(参数!$C$5:$C$7,MATCH($N428,参数!$A$5:$A$7,0)),"")</f>
        <v>1</v>
      </c>
      <c r="Z428" s="4">
        <f>IFERROR(INDEX(参数!$D$5:$D$7,MATCH($N428,参数!$A$5:$A$7,0)),"")</f>
        <v>1.25</v>
      </c>
      <c r="AA428" s="4">
        <f>IFERROR(INDEX(楼层配置!$E$5:$E$104,MATCH($K428,楼层配置!$B$5:$B$104,0)),1)</f>
        <v>1</v>
      </c>
      <c r="AB428" s="4">
        <f>IFERROR(INDEX(楼层配置!$F$5:$F$104,MATCH($K428,楼层配置!$B$5:$B$104,0)),1)</f>
        <v>1</v>
      </c>
      <c r="AC428" s="4">
        <f>IFERROR(INDEX(楼层配置!$G$5:$G$104,MATCH($K428,楼层配置!$B$5:$B$104,0)),1)</f>
        <v>1</v>
      </c>
      <c r="AD428" s="6">
        <f t="shared" si="45"/>
        <v>-0.199127140057961</v>
      </c>
      <c r="AE428" s="6">
        <f t="shared" si="46"/>
        <v>-0.0314233786110579</v>
      </c>
      <c r="AF428" s="6">
        <f t="shared" si="47"/>
        <v>0.225357389900853</v>
      </c>
      <c r="AG428" s="4" t="str">
        <f t="shared" si="48"/>
        <v>有效</v>
      </c>
    </row>
    <row r="429" ht="14.25" customHeight="1" spans="1:33">
      <c r="A429" s="4">
        <v>425</v>
      </c>
      <c r="B429" s="4">
        <v>1040</v>
      </c>
      <c r="C429" s="4">
        <v>52</v>
      </c>
      <c r="D429" s="5">
        <f>IFERROR(ROUND($U429*$X429*$AA429*参数!$B$13,0),"")</f>
        <v>3020500</v>
      </c>
      <c r="E429" s="5">
        <f>IFERROR(ROUND($V429*$Y429*$AB429*参数!$C$13,0),"")</f>
        <v>40502</v>
      </c>
      <c r="F429" s="5">
        <f>IFERROR(ROUND($W429*$Z429*$AC429*参数!$D$13,0),"")</f>
        <v>42515</v>
      </c>
      <c r="G429" s="4">
        <v>3771510</v>
      </c>
      <c r="H429" s="4">
        <v>41816</v>
      </c>
      <c r="I429" s="4">
        <v>34696</v>
      </c>
      <c r="J429" s="4">
        <v>85</v>
      </c>
      <c r="K429" s="4">
        <v>85</v>
      </c>
      <c r="L429" s="4">
        <f>IFERROR(INDEX(楼层配置!$D$5:$D$104,MATCH($K429,楼层配置!$B$5:$B$104,0)),"")</f>
        <v>354</v>
      </c>
      <c r="M429" s="4" t="str">
        <f>IFERROR(INDEX(_角色基线!$B$2:$B$100,MATCH($B429,_角色基线!$A$2:$A$100,0)),"")</f>
        <v>小寒</v>
      </c>
      <c r="N429" s="4" t="str">
        <f>IFERROR(INDEX(_角色基线!$C$2:$C$100,MATCH($B429,_角色基线!$A$2:$A$100,0)),"")</f>
        <v>Support</v>
      </c>
      <c r="O429" s="4">
        <f>IFERROR(INDEX(_怪物基线!$B$2:$B$501,MATCH(INT($L429),_怪物基线!$A$2:$A$501,0)),"")</f>
        <v>604100</v>
      </c>
      <c r="P429" s="4">
        <f>IFERROR(INDEX(_怪物基线!$C$2:$C$501,MATCH(INT($L429),_怪物基线!$A$2:$A$501,0)),"")</f>
        <v>33752</v>
      </c>
      <c r="Q429" s="4">
        <f>IFERROR(INDEX(_怪物基线!$D$2:$D$501,MATCH(INT($L429),_怪物基线!$A$2:$A$501,0)),"")</f>
        <v>34012</v>
      </c>
      <c r="R429" s="4">
        <f>参数!$B$10</f>
        <v>4</v>
      </c>
      <c r="S429" s="4">
        <f>参数!$C$10</f>
        <v>1.2</v>
      </c>
      <c r="T429" s="4">
        <f>参数!$D$10</f>
        <v>1</v>
      </c>
      <c r="U429" s="4">
        <f t="shared" si="42"/>
        <v>2416400</v>
      </c>
      <c r="V429" s="4">
        <f t="shared" si="43"/>
        <v>40502.4</v>
      </c>
      <c r="W429" s="4">
        <f t="shared" si="44"/>
        <v>34012</v>
      </c>
      <c r="X429" s="4">
        <f>IFERROR(INDEX(参数!$B$5:$B$7,MATCH($N429,参数!$A$5:$A$7,0)),"")</f>
        <v>1.25</v>
      </c>
      <c r="Y429" s="4">
        <f>IFERROR(INDEX(参数!$C$5:$C$7,MATCH($N429,参数!$A$5:$A$7,0)),"")</f>
        <v>1</v>
      </c>
      <c r="Z429" s="4">
        <f>IFERROR(INDEX(参数!$D$5:$D$7,MATCH($N429,参数!$A$5:$A$7,0)),"")</f>
        <v>1.25</v>
      </c>
      <c r="AA429" s="4">
        <f>IFERROR(INDEX(楼层配置!$E$5:$E$104,MATCH($K429,楼层配置!$B$5:$B$104,0)),1)</f>
        <v>1</v>
      </c>
      <c r="AB429" s="4">
        <f>IFERROR(INDEX(楼层配置!$F$5:$F$104,MATCH($K429,楼层配置!$B$5:$B$104,0)),1)</f>
        <v>1</v>
      </c>
      <c r="AC429" s="4">
        <f>IFERROR(INDEX(楼层配置!$G$5:$G$104,MATCH($K429,楼层配置!$B$5:$B$104,0)),1)</f>
        <v>1</v>
      </c>
      <c r="AD429" s="6">
        <f t="shared" si="45"/>
        <v>-0.199127140057961</v>
      </c>
      <c r="AE429" s="6">
        <f t="shared" si="46"/>
        <v>-0.0314233786110579</v>
      </c>
      <c r="AF429" s="6">
        <f t="shared" si="47"/>
        <v>0.225357389900853</v>
      </c>
      <c r="AG429" s="4" t="str">
        <f t="shared" si="48"/>
        <v>有效</v>
      </c>
    </row>
    <row r="430" ht="14.25" customHeight="1" spans="1:33">
      <c r="A430" s="4">
        <v>426</v>
      </c>
      <c r="B430" s="4">
        <v>1003</v>
      </c>
      <c r="C430" s="4">
        <v>53</v>
      </c>
      <c r="D430" s="5">
        <f>IFERROR(ROUND($U430*$X430*$AA430*参数!$B$13,0),"")</f>
        <v>3653634</v>
      </c>
      <c r="E430" s="5">
        <f>IFERROR(ROUND($V430*$Y430*$AB430*参数!$C$13,0),"")</f>
        <v>40762</v>
      </c>
      <c r="F430" s="5">
        <f>IFERROR(ROUND($W430*$Z430*$AC430*参数!$D$13,0),"")</f>
        <v>51222</v>
      </c>
      <c r="G430" s="4">
        <v>4670668</v>
      </c>
      <c r="H430" s="4">
        <v>42895</v>
      </c>
      <c r="I430" s="4">
        <v>42297</v>
      </c>
      <c r="J430" s="4">
        <v>86</v>
      </c>
      <c r="K430" s="4">
        <v>86</v>
      </c>
      <c r="L430" s="4">
        <f>IFERROR(INDEX(楼层配置!$D$5:$D$104,MATCH($K430,楼层配置!$B$5:$B$104,0)),"")</f>
        <v>355</v>
      </c>
      <c r="M430" s="4" t="str">
        <f>IFERROR(INDEX(_角色基线!$B$2:$B$100,MATCH($B430,_角色基线!$A$2:$A$100,0)),"")</f>
        <v>塔拉夏</v>
      </c>
      <c r="N430" s="4" t="str">
        <f>IFERROR(INDEX(_角色基线!$C$2:$C$100,MATCH($B430,_角色基线!$A$2:$A$100,0)),"")</f>
        <v>Tank</v>
      </c>
      <c r="O430" s="4">
        <f>IFERROR(INDEX(_怪物基线!$B$2:$B$501,MATCH(INT($L430),_怪物基线!$A$2:$A$501,0)),"")</f>
        <v>608939</v>
      </c>
      <c r="P430" s="4">
        <f>IFERROR(INDEX(_怪物基线!$C$2:$C$501,MATCH(INT($L430),_怪物基线!$A$2:$A$501,0)),"")</f>
        <v>33968</v>
      </c>
      <c r="Q430" s="4">
        <f>IFERROR(INDEX(_怪物基线!$D$2:$D$501,MATCH(INT($L430),_怪物基线!$A$2:$A$501,0)),"")</f>
        <v>34148</v>
      </c>
      <c r="R430" s="4">
        <f>参数!$B$10</f>
        <v>4</v>
      </c>
      <c r="S430" s="4">
        <f>参数!$C$10</f>
        <v>1.2</v>
      </c>
      <c r="T430" s="4">
        <f>参数!$D$10</f>
        <v>1</v>
      </c>
      <c r="U430" s="4">
        <f t="shared" si="42"/>
        <v>2435756</v>
      </c>
      <c r="V430" s="4">
        <f t="shared" si="43"/>
        <v>40761.6</v>
      </c>
      <c r="W430" s="4">
        <f t="shared" si="44"/>
        <v>34148</v>
      </c>
      <c r="X430" s="4">
        <f>IFERROR(INDEX(参数!$B$5:$B$7,MATCH($N430,参数!$A$5:$A$7,0)),"")</f>
        <v>1.5</v>
      </c>
      <c r="Y430" s="4">
        <f>IFERROR(INDEX(参数!$C$5:$C$7,MATCH($N430,参数!$A$5:$A$7,0)),"")</f>
        <v>1</v>
      </c>
      <c r="Z430" s="4">
        <f>IFERROR(INDEX(参数!$D$5:$D$7,MATCH($N430,参数!$A$5:$A$7,0)),"")</f>
        <v>1.5</v>
      </c>
      <c r="AA430" s="4">
        <f>IFERROR(INDEX(楼层配置!$E$5:$E$104,MATCH($K430,楼层配置!$B$5:$B$104,0)),1)</f>
        <v>1</v>
      </c>
      <c r="AB430" s="4">
        <f>IFERROR(INDEX(楼层配置!$F$5:$F$104,MATCH($K430,楼层配置!$B$5:$B$104,0)),1)</f>
        <v>1</v>
      </c>
      <c r="AC430" s="4">
        <f>IFERROR(INDEX(楼层配置!$G$5:$G$104,MATCH($K430,楼层配置!$B$5:$B$104,0)),1)</f>
        <v>1</v>
      </c>
      <c r="AD430" s="6">
        <f t="shared" si="45"/>
        <v>-0.217749152797844</v>
      </c>
      <c r="AE430" s="6">
        <f t="shared" si="46"/>
        <v>-0.0497260753001515</v>
      </c>
      <c r="AF430" s="6">
        <f t="shared" si="47"/>
        <v>0.211007872898787</v>
      </c>
      <c r="AG430" s="4" t="str">
        <f t="shared" si="48"/>
        <v>有效</v>
      </c>
    </row>
    <row r="431" ht="14.25" customHeight="1" spans="1:33">
      <c r="A431" s="4">
        <v>427</v>
      </c>
      <c r="B431" s="4">
        <v>1001</v>
      </c>
      <c r="C431" s="4">
        <v>53</v>
      </c>
      <c r="D431" s="5">
        <f>IFERROR(ROUND($U431*$X431*$AA431*参数!$B$13,0),"")</f>
        <v>2435756</v>
      </c>
      <c r="E431" s="5">
        <f>IFERROR(ROUND($V431*$Y431*$AB431*参数!$C$13,0),"")</f>
        <v>48914</v>
      </c>
      <c r="F431" s="5">
        <f>IFERROR(ROUND($W431*$Z431*$AC431*参数!$D$13,0),"")</f>
        <v>34148</v>
      </c>
      <c r="G431" s="4">
        <v>3113779</v>
      </c>
      <c r="H431" s="4">
        <v>51474</v>
      </c>
      <c r="I431" s="4">
        <v>28198</v>
      </c>
      <c r="J431" s="4">
        <v>86</v>
      </c>
      <c r="K431" s="4">
        <v>86</v>
      </c>
      <c r="L431" s="4">
        <f>IFERROR(INDEX(楼层配置!$D$5:$D$104,MATCH($K431,楼层配置!$B$5:$B$104,0)),"")</f>
        <v>355</v>
      </c>
      <c r="M431" s="4" t="str">
        <f>IFERROR(INDEX(_角色基线!$B$2:$B$100,MATCH($B431,_角色基线!$A$2:$A$100,0)),"")</f>
        <v>星海</v>
      </c>
      <c r="N431" s="4" t="str">
        <f>IFERROR(INDEX(_角色基线!$C$2:$C$100,MATCH($B431,_角色基线!$A$2:$A$100,0)),"")</f>
        <v>DPS</v>
      </c>
      <c r="O431" s="4">
        <f>IFERROR(INDEX(_怪物基线!$B$2:$B$501,MATCH(INT($L431),_怪物基线!$A$2:$A$501,0)),"")</f>
        <v>608939</v>
      </c>
      <c r="P431" s="4">
        <f>IFERROR(INDEX(_怪物基线!$C$2:$C$501,MATCH(INT($L431),_怪物基线!$A$2:$A$501,0)),"")</f>
        <v>33968</v>
      </c>
      <c r="Q431" s="4">
        <f>IFERROR(INDEX(_怪物基线!$D$2:$D$501,MATCH(INT($L431),_怪物基线!$A$2:$A$501,0)),"")</f>
        <v>34148</v>
      </c>
      <c r="R431" s="4">
        <f>参数!$B$10</f>
        <v>4</v>
      </c>
      <c r="S431" s="4">
        <f>参数!$C$10</f>
        <v>1.2</v>
      </c>
      <c r="T431" s="4">
        <f>参数!$D$10</f>
        <v>1</v>
      </c>
      <c r="U431" s="4">
        <f t="shared" si="42"/>
        <v>2435756</v>
      </c>
      <c r="V431" s="4">
        <f t="shared" si="43"/>
        <v>40761.6</v>
      </c>
      <c r="W431" s="4">
        <f t="shared" si="44"/>
        <v>34148</v>
      </c>
      <c r="X431" s="4">
        <f>IFERROR(INDEX(参数!$B$5:$B$7,MATCH($N431,参数!$A$5:$A$7,0)),"")</f>
        <v>1</v>
      </c>
      <c r="Y431" s="4">
        <f>IFERROR(INDEX(参数!$C$5:$C$7,MATCH($N431,参数!$A$5:$A$7,0)),"")</f>
        <v>1.2</v>
      </c>
      <c r="Z431" s="4">
        <f>IFERROR(INDEX(参数!$D$5:$D$7,MATCH($N431,参数!$A$5:$A$7,0)),"")</f>
        <v>1</v>
      </c>
      <c r="AA431" s="4">
        <f>IFERROR(INDEX(楼层配置!$E$5:$E$104,MATCH($K431,楼层配置!$B$5:$B$104,0)),1)</f>
        <v>1</v>
      </c>
      <c r="AB431" s="4">
        <f>IFERROR(INDEX(楼层配置!$F$5:$F$104,MATCH($K431,楼层配置!$B$5:$B$104,0)),1)</f>
        <v>1</v>
      </c>
      <c r="AC431" s="4">
        <f>IFERROR(INDEX(楼层配置!$G$5:$G$104,MATCH($K431,楼层配置!$B$5:$B$104,0)),1)</f>
        <v>1</v>
      </c>
      <c r="AD431" s="6">
        <f t="shared" si="45"/>
        <v>-0.217749236538624</v>
      </c>
      <c r="AE431" s="6">
        <f t="shared" si="46"/>
        <v>-0.0497338462136224</v>
      </c>
      <c r="AF431" s="6">
        <f t="shared" si="47"/>
        <v>0.211007872898787</v>
      </c>
      <c r="AG431" s="4" t="str">
        <f t="shared" si="48"/>
        <v>有效</v>
      </c>
    </row>
    <row r="432" ht="14.25" customHeight="1" spans="1:33">
      <c r="A432" s="4">
        <v>428</v>
      </c>
      <c r="B432" s="4">
        <v>1011</v>
      </c>
      <c r="C432" s="4">
        <v>53</v>
      </c>
      <c r="D432" s="5">
        <f>IFERROR(ROUND($U432*$X432*$AA432*参数!$B$13,0),"")</f>
        <v>3044695</v>
      </c>
      <c r="E432" s="5">
        <f>IFERROR(ROUND($V432*$Y432*$AB432*参数!$C$13,0),"")</f>
        <v>40762</v>
      </c>
      <c r="F432" s="5">
        <f>IFERROR(ROUND($W432*$Z432*$AC432*参数!$D$13,0),"")</f>
        <v>42685</v>
      </c>
      <c r="G432" s="4">
        <v>3892224</v>
      </c>
      <c r="H432" s="4">
        <v>42895</v>
      </c>
      <c r="I432" s="4">
        <v>35248</v>
      </c>
      <c r="J432" s="4">
        <v>86</v>
      </c>
      <c r="K432" s="4">
        <v>86</v>
      </c>
      <c r="L432" s="4">
        <f>IFERROR(INDEX(楼层配置!$D$5:$D$104,MATCH($K432,楼层配置!$B$5:$B$104,0)),"")</f>
        <v>355</v>
      </c>
      <c r="M432" s="4" t="str">
        <f>IFERROR(INDEX(_角色基线!$B$2:$B$100,MATCH($B432,_角色基线!$A$2:$A$100,0)),"")</f>
        <v>陈双双</v>
      </c>
      <c r="N432" s="4" t="str">
        <f>IFERROR(INDEX(_角色基线!$C$2:$C$100,MATCH($B432,_角色基线!$A$2:$A$100,0)),"")</f>
        <v>Support</v>
      </c>
      <c r="O432" s="4">
        <f>IFERROR(INDEX(_怪物基线!$B$2:$B$501,MATCH(INT($L432),_怪物基线!$A$2:$A$501,0)),"")</f>
        <v>608939</v>
      </c>
      <c r="P432" s="4">
        <f>IFERROR(INDEX(_怪物基线!$C$2:$C$501,MATCH(INT($L432),_怪物基线!$A$2:$A$501,0)),"")</f>
        <v>33968</v>
      </c>
      <c r="Q432" s="4">
        <f>IFERROR(INDEX(_怪物基线!$D$2:$D$501,MATCH(INT($L432),_怪物基线!$A$2:$A$501,0)),"")</f>
        <v>34148</v>
      </c>
      <c r="R432" s="4">
        <f>参数!$B$10</f>
        <v>4</v>
      </c>
      <c r="S432" s="4">
        <f>参数!$C$10</f>
        <v>1.2</v>
      </c>
      <c r="T432" s="4">
        <f>参数!$D$10</f>
        <v>1</v>
      </c>
      <c r="U432" s="4">
        <f t="shared" si="42"/>
        <v>2435756</v>
      </c>
      <c r="V432" s="4">
        <f t="shared" si="43"/>
        <v>40761.6</v>
      </c>
      <c r="W432" s="4">
        <f t="shared" si="44"/>
        <v>34148</v>
      </c>
      <c r="X432" s="4">
        <f>IFERROR(INDEX(参数!$B$5:$B$7,MATCH($N432,参数!$A$5:$A$7,0)),"")</f>
        <v>1.25</v>
      </c>
      <c r="Y432" s="4">
        <f>IFERROR(INDEX(参数!$C$5:$C$7,MATCH($N432,参数!$A$5:$A$7,0)),"")</f>
        <v>1</v>
      </c>
      <c r="Z432" s="4">
        <f>IFERROR(INDEX(参数!$D$5:$D$7,MATCH($N432,参数!$A$5:$A$7,0)),"")</f>
        <v>1.25</v>
      </c>
      <c r="AA432" s="4">
        <f>IFERROR(INDEX(楼层配置!$E$5:$E$104,MATCH($K432,楼层配置!$B$5:$B$104,0)),1)</f>
        <v>1</v>
      </c>
      <c r="AB432" s="4">
        <f>IFERROR(INDEX(楼层配置!$F$5:$F$104,MATCH($K432,楼层配置!$B$5:$B$104,0)),1)</f>
        <v>1</v>
      </c>
      <c r="AC432" s="4">
        <f>IFERROR(INDEX(楼层配置!$G$5:$G$104,MATCH($K432,楼层配置!$B$5:$B$104,0)),1)</f>
        <v>1</v>
      </c>
      <c r="AD432" s="6">
        <f t="shared" si="45"/>
        <v>-0.217749286783083</v>
      </c>
      <c r="AE432" s="6">
        <f t="shared" si="46"/>
        <v>-0.0497260753001515</v>
      </c>
      <c r="AF432" s="6">
        <f t="shared" si="47"/>
        <v>0.21099069450749</v>
      </c>
      <c r="AG432" s="4" t="str">
        <f t="shared" si="48"/>
        <v>有效</v>
      </c>
    </row>
    <row r="433" ht="14.25" customHeight="1" spans="1:33">
      <c r="A433" s="4">
        <v>429</v>
      </c>
      <c r="B433" s="4">
        <v>1013</v>
      </c>
      <c r="C433" s="4">
        <v>53</v>
      </c>
      <c r="D433" s="5">
        <f>IFERROR(ROUND($U433*$X433*$AA433*参数!$B$13,0),"")</f>
        <v>2435756</v>
      </c>
      <c r="E433" s="5">
        <f>IFERROR(ROUND($V433*$Y433*$AB433*参数!$C$13,0),"")</f>
        <v>48914</v>
      </c>
      <c r="F433" s="5">
        <f>IFERROR(ROUND($W433*$Z433*$AC433*参数!$D$13,0),"")</f>
        <v>34148</v>
      </c>
      <c r="G433" s="4">
        <v>3113779</v>
      </c>
      <c r="H433" s="4">
        <v>51474</v>
      </c>
      <c r="I433" s="4">
        <v>28198</v>
      </c>
      <c r="J433" s="4">
        <v>86</v>
      </c>
      <c r="K433" s="4">
        <v>86</v>
      </c>
      <c r="L433" s="4">
        <f>IFERROR(INDEX(楼层配置!$D$5:$D$104,MATCH($K433,楼层配置!$B$5:$B$104,0)),"")</f>
        <v>355</v>
      </c>
      <c r="M433" s="4" t="str">
        <f>IFERROR(INDEX(_角色基线!$B$2:$B$100,MATCH($B433,_角色基线!$A$2:$A$100,0)),"")</f>
        <v>夏缇拉</v>
      </c>
      <c r="N433" s="4" t="str">
        <f>IFERROR(INDEX(_角色基线!$C$2:$C$100,MATCH($B433,_角色基线!$A$2:$A$100,0)),"")</f>
        <v>DPS</v>
      </c>
      <c r="O433" s="4">
        <f>IFERROR(INDEX(_怪物基线!$B$2:$B$501,MATCH(INT($L433),_怪物基线!$A$2:$A$501,0)),"")</f>
        <v>608939</v>
      </c>
      <c r="P433" s="4">
        <f>IFERROR(INDEX(_怪物基线!$C$2:$C$501,MATCH(INT($L433),_怪物基线!$A$2:$A$501,0)),"")</f>
        <v>33968</v>
      </c>
      <c r="Q433" s="4">
        <f>IFERROR(INDEX(_怪物基线!$D$2:$D$501,MATCH(INT($L433),_怪物基线!$A$2:$A$501,0)),"")</f>
        <v>34148</v>
      </c>
      <c r="R433" s="4">
        <f>参数!$B$10</f>
        <v>4</v>
      </c>
      <c r="S433" s="4">
        <f>参数!$C$10</f>
        <v>1.2</v>
      </c>
      <c r="T433" s="4">
        <f>参数!$D$10</f>
        <v>1</v>
      </c>
      <c r="U433" s="4">
        <f t="shared" si="42"/>
        <v>2435756</v>
      </c>
      <c r="V433" s="4">
        <f t="shared" si="43"/>
        <v>40761.6</v>
      </c>
      <c r="W433" s="4">
        <f t="shared" si="44"/>
        <v>34148</v>
      </c>
      <c r="X433" s="4">
        <f>IFERROR(INDEX(参数!$B$5:$B$7,MATCH($N433,参数!$A$5:$A$7,0)),"")</f>
        <v>1</v>
      </c>
      <c r="Y433" s="4">
        <f>IFERROR(INDEX(参数!$C$5:$C$7,MATCH($N433,参数!$A$5:$A$7,0)),"")</f>
        <v>1.2</v>
      </c>
      <c r="Z433" s="4">
        <f>IFERROR(INDEX(参数!$D$5:$D$7,MATCH($N433,参数!$A$5:$A$7,0)),"")</f>
        <v>1</v>
      </c>
      <c r="AA433" s="4">
        <f>IFERROR(INDEX(楼层配置!$E$5:$E$104,MATCH($K433,楼层配置!$B$5:$B$104,0)),1)</f>
        <v>1</v>
      </c>
      <c r="AB433" s="4">
        <f>IFERROR(INDEX(楼层配置!$F$5:$F$104,MATCH($K433,楼层配置!$B$5:$B$104,0)),1)</f>
        <v>1</v>
      </c>
      <c r="AC433" s="4">
        <f>IFERROR(INDEX(楼层配置!$G$5:$G$104,MATCH($K433,楼层配置!$B$5:$B$104,0)),1)</f>
        <v>1</v>
      </c>
      <c r="AD433" s="6">
        <f t="shared" si="45"/>
        <v>-0.217749236538624</v>
      </c>
      <c r="AE433" s="6">
        <f t="shared" si="46"/>
        <v>-0.0497338462136224</v>
      </c>
      <c r="AF433" s="6">
        <f t="shared" si="47"/>
        <v>0.211007872898787</v>
      </c>
      <c r="AG433" s="4" t="str">
        <f t="shared" si="48"/>
        <v>有效</v>
      </c>
    </row>
    <row r="434" ht="14.25" customHeight="1" spans="1:33">
      <c r="A434" s="4">
        <v>430</v>
      </c>
      <c r="B434" s="4">
        <v>1005</v>
      </c>
      <c r="C434" s="4">
        <v>53</v>
      </c>
      <c r="D434" s="5">
        <f>IFERROR(ROUND($U434*$X434*$AA434*参数!$B$13,0),"")</f>
        <v>2435756</v>
      </c>
      <c r="E434" s="5">
        <f>IFERROR(ROUND($V434*$Y434*$AB434*参数!$C$13,0),"")</f>
        <v>48914</v>
      </c>
      <c r="F434" s="5">
        <f>IFERROR(ROUND($W434*$Z434*$AC434*参数!$D$13,0),"")</f>
        <v>34148</v>
      </c>
      <c r="G434" s="4">
        <v>3113779</v>
      </c>
      <c r="H434" s="4">
        <v>51474</v>
      </c>
      <c r="I434" s="4">
        <v>28198</v>
      </c>
      <c r="J434" s="4">
        <v>86</v>
      </c>
      <c r="K434" s="4">
        <v>86</v>
      </c>
      <c r="L434" s="4">
        <f>IFERROR(INDEX(楼层配置!$D$5:$D$104,MATCH($K434,楼层配置!$B$5:$B$104,0)),"")</f>
        <v>355</v>
      </c>
      <c r="M434" s="4" t="str">
        <f>IFERROR(INDEX(_角色基线!$B$2:$B$100,MATCH($B434,_角色基线!$A$2:$A$100,0)),"")</f>
        <v>陈单单</v>
      </c>
      <c r="N434" s="4" t="str">
        <f>IFERROR(INDEX(_角色基线!$C$2:$C$100,MATCH($B434,_角色基线!$A$2:$A$100,0)),"")</f>
        <v>DPS</v>
      </c>
      <c r="O434" s="4">
        <f>IFERROR(INDEX(_怪物基线!$B$2:$B$501,MATCH(INT($L434),_怪物基线!$A$2:$A$501,0)),"")</f>
        <v>608939</v>
      </c>
      <c r="P434" s="4">
        <f>IFERROR(INDEX(_怪物基线!$C$2:$C$501,MATCH(INT($L434),_怪物基线!$A$2:$A$501,0)),"")</f>
        <v>33968</v>
      </c>
      <c r="Q434" s="4">
        <f>IFERROR(INDEX(_怪物基线!$D$2:$D$501,MATCH(INT($L434),_怪物基线!$A$2:$A$501,0)),"")</f>
        <v>34148</v>
      </c>
      <c r="R434" s="4">
        <f>参数!$B$10</f>
        <v>4</v>
      </c>
      <c r="S434" s="4">
        <f>参数!$C$10</f>
        <v>1.2</v>
      </c>
      <c r="T434" s="4">
        <f>参数!$D$10</f>
        <v>1</v>
      </c>
      <c r="U434" s="4">
        <f t="shared" si="42"/>
        <v>2435756</v>
      </c>
      <c r="V434" s="4">
        <f t="shared" si="43"/>
        <v>40761.6</v>
      </c>
      <c r="W434" s="4">
        <f t="shared" si="44"/>
        <v>34148</v>
      </c>
      <c r="X434" s="4">
        <f>IFERROR(INDEX(参数!$B$5:$B$7,MATCH($N434,参数!$A$5:$A$7,0)),"")</f>
        <v>1</v>
      </c>
      <c r="Y434" s="4">
        <f>IFERROR(INDEX(参数!$C$5:$C$7,MATCH($N434,参数!$A$5:$A$7,0)),"")</f>
        <v>1.2</v>
      </c>
      <c r="Z434" s="4">
        <f>IFERROR(INDEX(参数!$D$5:$D$7,MATCH($N434,参数!$A$5:$A$7,0)),"")</f>
        <v>1</v>
      </c>
      <c r="AA434" s="4">
        <f>IFERROR(INDEX(楼层配置!$E$5:$E$104,MATCH($K434,楼层配置!$B$5:$B$104,0)),1)</f>
        <v>1</v>
      </c>
      <c r="AB434" s="4">
        <f>IFERROR(INDEX(楼层配置!$F$5:$F$104,MATCH($K434,楼层配置!$B$5:$B$104,0)),1)</f>
        <v>1</v>
      </c>
      <c r="AC434" s="4">
        <f>IFERROR(INDEX(楼层配置!$G$5:$G$104,MATCH($K434,楼层配置!$B$5:$B$104,0)),1)</f>
        <v>1</v>
      </c>
      <c r="AD434" s="6">
        <f t="shared" si="45"/>
        <v>-0.217749236538624</v>
      </c>
      <c r="AE434" s="6">
        <f t="shared" si="46"/>
        <v>-0.0497338462136224</v>
      </c>
      <c r="AF434" s="6">
        <f t="shared" si="47"/>
        <v>0.211007872898787</v>
      </c>
      <c r="AG434" s="4" t="str">
        <f t="shared" si="48"/>
        <v>有效</v>
      </c>
    </row>
    <row r="435" ht="14.25" customHeight="1" spans="1:33">
      <c r="A435" s="4">
        <v>431</v>
      </c>
      <c r="B435" s="4">
        <v>1004</v>
      </c>
      <c r="C435" s="4">
        <v>53</v>
      </c>
      <c r="D435" s="5">
        <f>IFERROR(ROUND($U435*$X435*$AA435*参数!$B$13,0),"")</f>
        <v>3682842</v>
      </c>
      <c r="E435" s="5">
        <f>IFERROR(ROUND($V435*$Y435*$AB435*参数!$C$13,0),"")</f>
        <v>41023</v>
      </c>
      <c r="F435" s="5">
        <f>IFERROR(ROUND($W435*$Z435*$AC435*参数!$D$13,0),"")</f>
        <v>51428</v>
      </c>
      <c r="G435" s="4">
        <v>4818981</v>
      </c>
      <c r="H435" s="4">
        <v>43999</v>
      </c>
      <c r="I435" s="4">
        <v>42963</v>
      </c>
      <c r="J435" s="4">
        <v>87</v>
      </c>
      <c r="K435" s="4">
        <v>87</v>
      </c>
      <c r="L435" s="4">
        <f>IFERROR(INDEX(楼层配置!$D$5:$D$104,MATCH($K435,楼层配置!$B$5:$B$104,0)),"")</f>
        <v>356</v>
      </c>
      <c r="M435" s="4" t="str">
        <f>IFERROR(INDEX(_角色基线!$B$2:$B$100,MATCH($B435,_角色基线!$A$2:$A$100,0)),"")</f>
        <v>阿芭</v>
      </c>
      <c r="N435" s="4" t="str">
        <f>IFERROR(INDEX(_角色基线!$C$2:$C$100,MATCH($B435,_角色基线!$A$2:$A$100,0)),"")</f>
        <v>Tank</v>
      </c>
      <c r="O435" s="4">
        <f>IFERROR(INDEX(_怪物基线!$B$2:$B$501,MATCH(INT($L435),_怪物基线!$A$2:$A$501,0)),"")</f>
        <v>613807</v>
      </c>
      <c r="P435" s="4">
        <f>IFERROR(INDEX(_怪物基线!$C$2:$C$501,MATCH(INT($L435),_怪物基线!$A$2:$A$501,0)),"")</f>
        <v>34186</v>
      </c>
      <c r="Q435" s="4">
        <f>IFERROR(INDEX(_怪物基线!$D$2:$D$501,MATCH(INT($L435),_怪物基线!$A$2:$A$501,0)),"")</f>
        <v>34285</v>
      </c>
      <c r="R435" s="4">
        <f>参数!$B$10</f>
        <v>4</v>
      </c>
      <c r="S435" s="4">
        <f>参数!$C$10</f>
        <v>1.2</v>
      </c>
      <c r="T435" s="4">
        <f>参数!$D$10</f>
        <v>1</v>
      </c>
      <c r="U435" s="4">
        <f t="shared" si="42"/>
        <v>2455228</v>
      </c>
      <c r="V435" s="4">
        <f t="shared" si="43"/>
        <v>41023.2</v>
      </c>
      <c r="W435" s="4">
        <f t="shared" si="44"/>
        <v>34285</v>
      </c>
      <c r="X435" s="4">
        <f>IFERROR(INDEX(参数!$B$5:$B$7,MATCH($N435,参数!$A$5:$A$7,0)),"")</f>
        <v>1.5</v>
      </c>
      <c r="Y435" s="4">
        <f>IFERROR(INDEX(参数!$C$5:$C$7,MATCH($N435,参数!$A$5:$A$7,0)),"")</f>
        <v>1</v>
      </c>
      <c r="Z435" s="4">
        <f>IFERROR(INDEX(参数!$D$5:$D$7,MATCH($N435,参数!$A$5:$A$7,0)),"")</f>
        <v>1.5</v>
      </c>
      <c r="AA435" s="4">
        <f>IFERROR(INDEX(楼层配置!$E$5:$E$104,MATCH($K435,楼层配置!$B$5:$B$104,0)),1)</f>
        <v>1</v>
      </c>
      <c r="AB435" s="4">
        <f>IFERROR(INDEX(楼层配置!$F$5:$F$104,MATCH($K435,楼层配置!$B$5:$B$104,0)),1)</f>
        <v>1</v>
      </c>
      <c r="AC435" s="4">
        <f>IFERROR(INDEX(楼层配置!$G$5:$G$104,MATCH($K435,楼层配置!$B$5:$B$104,0)),1)</f>
        <v>1</v>
      </c>
      <c r="AD435" s="6">
        <f t="shared" si="45"/>
        <v>-0.235763328388304</v>
      </c>
      <c r="AE435" s="6">
        <f t="shared" si="46"/>
        <v>-0.0676379008613832</v>
      </c>
      <c r="AF435" s="6">
        <f t="shared" si="47"/>
        <v>0.197030002560343</v>
      </c>
      <c r="AG435" s="4" t="str">
        <f t="shared" si="48"/>
        <v>有效</v>
      </c>
    </row>
    <row r="436" ht="14.25" customHeight="1" spans="1:33">
      <c r="A436" s="4">
        <v>432</v>
      </c>
      <c r="B436" s="4">
        <v>1011</v>
      </c>
      <c r="C436" s="4">
        <v>53</v>
      </c>
      <c r="D436" s="5">
        <f>IFERROR(ROUND($U436*$X436*$AA436*参数!$B$13,0),"")</f>
        <v>3069035</v>
      </c>
      <c r="E436" s="5">
        <f>IFERROR(ROUND($V436*$Y436*$AB436*参数!$C$13,0),"")</f>
        <v>41023</v>
      </c>
      <c r="F436" s="5">
        <f>IFERROR(ROUND($W436*$Z436*$AC436*参数!$D$13,0),"")</f>
        <v>42856</v>
      </c>
      <c r="G436" s="4">
        <v>4015818</v>
      </c>
      <c r="H436" s="4">
        <v>43999</v>
      </c>
      <c r="I436" s="4">
        <v>35803</v>
      </c>
      <c r="J436" s="4">
        <v>87</v>
      </c>
      <c r="K436" s="4">
        <v>87</v>
      </c>
      <c r="L436" s="4">
        <f>IFERROR(INDEX(楼层配置!$D$5:$D$104,MATCH($K436,楼层配置!$B$5:$B$104,0)),"")</f>
        <v>356</v>
      </c>
      <c r="M436" s="4" t="str">
        <f>IFERROR(INDEX(_角色基线!$B$2:$B$100,MATCH($B436,_角色基线!$A$2:$A$100,0)),"")</f>
        <v>陈双双</v>
      </c>
      <c r="N436" s="4" t="str">
        <f>IFERROR(INDEX(_角色基线!$C$2:$C$100,MATCH($B436,_角色基线!$A$2:$A$100,0)),"")</f>
        <v>Support</v>
      </c>
      <c r="O436" s="4">
        <f>IFERROR(INDEX(_怪物基线!$B$2:$B$501,MATCH(INT($L436),_怪物基线!$A$2:$A$501,0)),"")</f>
        <v>613807</v>
      </c>
      <c r="P436" s="4">
        <f>IFERROR(INDEX(_怪物基线!$C$2:$C$501,MATCH(INT($L436),_怪物基线!$A$2:$A$501,0)),"")</f>
        <v>34186</v>
      </c>
      <c r="Q436" s="4">
        <f>IFERROR(INDEX(_怪物基线!$D$2:$D$501,MATCH(INT($L436),_怪物基线!$A$2:$A$501,0)),"")</f>
        <v>34285</v>
      </c>
      <c r="R436" s="4">
        <f>参数!$B$10</f>
        <v>4</v>
      </c>
      <c r="S436" s="4">
        <f>参数!$C$10</f>
        <v>1.2</v>
      </c>
      <c r="T436" s="4">
        <f>参数!$D$10</f>
        <v>1</v>
      </c>
      <c r="U436" s="4">
        <f t="shared" si="42"/>
        <v>2455228</v>
      </c>
      <c r="V436" s="4">
        <f t="shared" si="43"/>
        <v>41023.2</v>
      </c>
      <c r="W436" s="4">
        <f t="shared" si="44"/>
        <v>34285</v>
      </c>
      <c r="X436" s="4">
        <f>IFERROR(INDEX(参数!$B$5:$B$7,MATCH($N436,参数!$A$5:$A$7,0)),"")</f>
        <v>1.25</v>
      </c>
      <c r="Y436" s="4">
        <f>IFERROR(INDEX(参数!$C$5:$C$7,MATCH($N436,参数!$A$5:$A$7,0)),"")</f>
        <v>1</v>
      </c>
      <c r="Z436" s="4">
        <f>IFERROR(INDEX(参数!$D$5:$D$7,MATCH($N436,参数!$A$5:$A$7,0)),"")</f>
        <v>1.25</v>
      </c>
      <c r="AA436" s="4">
        <f>IFERROR(INDEX(楼层配置!$E$5:$E$104,MATCH($K436,楼层配置!$B$5:$B$104,0)),1)</f>
        <v>1</v>
      </c>
      <c r="AB436" s="4">
        <f>IFERROR(INDEX(楼层配置!$F$5:$F$104,MATCH($K436,楼层配置!$B$5:$B$104,0)),1)</f>
        <v>1</v>
      </c>
      <c r="AC436" s="4">
        <f>IFERROR(INDEX(楼层配置!$G$5:$G$104,MATCH($K436,楼层配置!$B$5:$B$104,0)),1)</f>
        <v>1</v>
      </c>
      <c r="AD436" s="6">
        <f t="shared" si="45"/>
        <v>-0.235763423541605</v>
      </c>
      <c r="AE436" s="6">
        <f t="shared" si="46"/>
        <v>-0.0676379008613832</v>
      </c>
      <c r="AF436" s="6">
        <f t="shared" si="47"/>
        <v>0.196994665251515</v>
      </c>
      <c r="AG436" s="4" t="str">
        <f t="shared" si="48"/>
        <v>有效</v>
      </c>
    </row>
    <row r="437" ht="14.25" customHeight="1" spans="1:33">
      <c r="A437" s="4">
        <v>433</v>
      </c>
      <c r="B437" s="4">
        <v>1008</v>
      </c>
      <c r="C437" s="4">
        <v>53</v>
      </c>
      <c r="D437" s="5">
        <f>IFERROR(ROUND($U437*$X437*$AA437*参数!$B$13,0),"")</f>
        <v>2455228</v>
      </c>
      <c r="E437" s="5">
        <f>IFERROR(ROUND($V437*$Y437*$AB437*参数!$C$13,0),"")</f>
        <v>49228</v>
      </c>
      <c r="F437" s="5">
        <f>IFERROR(ROUND($W437*$Z437*$AC437*参数!$D$13,0),"")</f>
        <v>34285</v>
      </c>
      <c r="G437" s="4">
        <v>3212654</v>
      </c>
      <c r="H437" s="4">
        <v>52798</v>
      </c>
      <c r="I437" s="4">
        <v>28642</v>
      </c>
      <c r="J437" s="4">
        <v>87</v>
      </c>
      <c r="K437" s="4">
        <v>87</v>
      </c>
      <c r="L437" s="4">
        <f>IFERROR(INDEX(楼层配置!$D$5:$D$104,MATCH($K437,楼层配置!$B$5:$B$104,0)),"")</f>
        <v>356</v>
      </c>
      <c r="M437" s="4" t="str">
        <f>IFERROR(INDEX(_角色基线!$B$2:$B$100,MATCH($B437,_角色基线!$A$2:$A$100,0)),"")</f>
        <v>薇</v>
      </c>
      <c r="N437" s="4" t="str">
        <f>IFERROR(INDEX(_角色基线!$C$2:$C$100,MATCH($B437,_角色基线!$A$2:$A$100,0)),"")</f>
        <v>DPS</v>
      </c>
      <c r="O437" s="4">
        <f>IFERROR(INDEX(_怪物基线!$B$2:$B$501,MATCH(INT($L437),_怪物基线!$A$2:$A$501,0)),"")</f>
        <v>613807</v>
      </c>
      <c r="P437" s="4">
        <f>IFERROR(INDEX(_怪物基线!$C$2:$C$501,MATCH(INT($L437),_怪物基线!$A$2:$A$501,0)),"")</f>
        <v>34186</v>
      </c>
      <c r="Q437" s="4">
        <f>IFERROR(INDEX(_怪物基线!$D$2:$D$501,MATCH(INT($L437),_怪物基线!$A$2:$A$501,0)),"")</f>
        <v>34285</v>
      </c>
      <c r="R437" s="4">
        <f>参数!$B$10</f>
        <v>4</v>
      </c>
      <c r="S437" s="4">
        <f>参数!$C$10</f>
        <v>1.2</v>
      </c>
      <c r="T437" s="4">
        <f>参数!$D$10</f>
        <v>1</v>
      </c>
      <c r="U437" s="4">
        <f t="shared" si="42"/>
        <v>2455228</v>
      </c>
      <c r="V437" s="4">
        <f t="shared" si="43"/>
        <v>41023.2</v>
      </c>
      <c r="W437" s="4">
        <f t="shared" si="44"/>
        <v>34285</v>
      </c>
      <c r="X437" s="4">
        <f>IFERROR(INDEX(参数!$B$5:$B$7,MATCH($N437,参数!$A$5:$A$7,0)),"")</f>
        <v>1</v>
      </c>
      <c r="Y437" s="4">
        <f>IFERROR(INDEX(参数!$C$5:$C$7,MATCH($N437,参数!$A$5:$A$7,0)),"")</f>
        <v>1.2</v>
      </c>
      <c r="Z437" s="4">
        <f>IFERROR(INDEX(参数!$D$5:$D$7,MATCH($N437,参数!$A$5:$A$7,0)),"")</f>
        <v>1</v>
      </c>
      <c r="AA437" s="4">
        <f>IFERROR(INDEX(楼层配置!$E$5:$E$104,MATCH($K437,楼层配置!$B$5:$B$104,0)),1)</f>
        <v>1</v>
      </c>
      <c r="AB437" s="4">
        <f>IFERROR(INDEX(楼层配置!$F$5:$F$104,MATCH($K437,楼层配置!$B$5:$B$104,0)),1)</f>
        <v>1</v>
      </c>
      <c r="AC437" s="4">
        <f>IFERROR(INDEX(楼层配置!$G$5:$G$104,MATCH($K437,楼层配置!$B$5:$B$104,0)),1)</f>
        <v>1</v>
      </c>
      <c r="AD437" s="6">
        <f t="shared" si="45"/>
        <v>-0.235763328388304</v>
      </c>
      <c r="AE437" s="6">
        <f t="shared" si="46"/>
        <v>-0.0676161975832418</v>
      </c>
      <c r="AF437" s="6">
        <f t="shared" si="47"/>
        <v>0.197018364639341</v>
      </c>
      <c r="AG437" s="4" t="str">
        <f t="shared" si="48"/>
        <v>有效</v>
      </c>
    </row>
    <row r="438" ht="14.25" customHeight="1" spans="1:33">
      <c r="A438" s="4">
        <v>434</v>
      </c>
      <c r="B438" s="4">
        <v>1006</v>
      </c>
      <c r="C438" s="4">
        <v>53</v>
      </c>
      <c r="D438" s="5">
        <f>IFERROR(ROUND($U438*$X438*$AA438*参数!$B$13,0),"")</f>
        <v>2455228</v>
      </c>
      <c r="E438" s="5">
        <f>IFERROR(ROUND($V438*$Y438*$AB438*参数!$C$13,0),"")</f>
        <v>49228</v>
      </c>
      <c r="F438" s="5">
        <f>IFERROR(ROUND($W438*$Z438*$AC438*参数!$D$13,0),"")</f>
        <v>34285</v>
      </c>
      <c r="G438" s="4">
        <v>3212654</v>
      </c>
      <c r="H438" s="4">
        <v>52798</v>
      </c>
      <c r="I438" s="4">
        <v>28642</v>
      </c>
      <c r="J438" s="4">
        <v>87</v>
      </c>
      <c r="K438" s="4">
        <v>87</v>
      </c>
      <c r="L438" s="4">
        <f>IFERROR(INDEX(楼层配置!$D$5:$D$104,MATCH($K438,楼层配置!$B$5:$B$104,0)),"")</f>
        <v>356</v>
      </c>
      <c r="M438" s="4" t="str">
        <f>IFERROR(INDEX(_角色基线!$B$2:$B$100,MATCH($B438,_角色基线!$A$2:$A$100,0)),"")</f>
        <v>莉莉娅</v>
      </c>
      <c r="N438" s="4" t="str">
        <f>IFERROR(INDEX(_角色基线!$C$2:$C$100,MATCH($B438,_角色基线!$A$2:$A$100,0)),"")</f>
        <v>DPS</v>
      </c>
      <c r="O438" s="4">
        <f>IFERROR(INDEX(_怪物基线!$B$2:$B$501,MATCH(INT($L438),_怪物基线!$A$2:$A$501,0)),"")</f>
        <v>613807</v>
      </c>
      <c r="P438" s="4">
        <f>IFERROR(INDEX(_怪物基线!$C$2:$C$501,MATCH(INT($L438),_怪物基线!$A$2:$A$501,0)),"")</f>
        <v>34186</v>
      </c>
      <c r="Q438" s="4">
        <f>IFERROR(INDEX(_怪物基线!$D$2:$D$501,MATCH(INT($L438),_怪物基线!$A$2:$A$501,0)),"")</f>
        <v>34285</v>
      </c>
      <c r="R438" s="4">
        <f>参数!$B$10</f>
        <v>4</v>
      </c>
      <c r="S438" s="4">
        <f>参数!$C$10</f>
        <v>1.2</v>
      </c>
      <c r="T438" s="4">
        <f>参数!$D$10</f>
        <v>1</v>
      </c>
      <c r="U438" s="4">
        <f t="shared" si="42"/>
        <v>2455228</v>
      </c>
      <c r="V438" s="4">
        <f t="shared" si="43"/>
        <v>41023.2</v>
      </c>
      <c r="W438" s="4">
        <f t="shared" si="44"/>
        <v>34285</v>
      </c>
      <c r="X438" s="4">
        <f>IFERROR(INDEX(参数!$B$5:$B$7,MATCH($N438,参数!$A$5:$A$7,0)),"")</f>
        <v>1</v>
      </c>
      <c r="Y438" s="4">
        <f>IFERROR(INDEX(参数!$C$5:$C$7,MATCH($N438,参数!$A$5:$A$7,0)),"")</f>
        <v>1.2</v>
      </c>
      <c r="Z438" s="4">
        <f>IFERROR(INDEX(参数!$D$5:$D$7,MATCH($N438,参数!$A$5:$A$7,0)),"")</f>
        <v>1</v>
      </c>
      <c r="AA438" s="4">
        <f>IFERROR(INDEX(楼层配置!$E$5:$E$104,MATCH($K438,楼层配置!$B$5:$B$104,0)),1)</f>
        <v>1</v>
      </c>
      <c r="AB438" s="4">
        <f>IFERROR(INDEX(楼层配置!$F$5:$F$104,MATCH($K438,楼层配置!$B$5:$B$104,0)),1)</f>
        <v>1</v>
      </c>
      <c r="AC438" s="4">
        <f>IFERROR(INDEX(楼层配置!$G$5:$G$104,MATCH($K438,楼层配置!$B$5:$B$104,0)),1)</f>
        <v>1</v>
      </c>
      <c r="AD438" s="6">
        <f t="shared" si="45"/>
        <v>-0.235763328388304</v>
      </c>
      <c r="AE438" s="6">
        <f t="shared" si="46"/>
        <v>-0.0676161975832418</v>
      </c>
      <c r="AF438" s="6">
        <f t="shared" si="47"/>
        <v>0.197018364639341</v>
      </c>
      <c r="AG438" s="4" t="str">
        <f t="shared" si="48"/>
        <v>有效</v>
      </c>
    </row>
    <row r="439" ht="14.25" customHeight="1" spans="1:33">
      <c r="A439" s="4">
        <v>435</v>
      </c>
      <c r="B439" s="4">
        <v>1005</v>
      </c>
      <c r="C439" s="4">
        <v>53</v>
      </c>
      <c r="D439" s="5">
        <f>IFERROR(ROUND($U439*$X439*$AA439*参数!$B$13,0),"")</f>
        <v>2455228</v>
      </c>
      <c r="E439" s="5">
        <f>IFERROR(ROUND($V439*$Y439*$AB439*参数!$C$13,0),"")</f>
        <v>49228</v>
      </c>
      <c r="F439" s="5">
        <f>IFERROR(ROUND($W439*$Z439*$AC439*参数!$D$13,0),"")</f>
        <v>34285</v>
      </c>
      <c r="G439" s="4">
        <v>3212654</v>
      </c>
      <c r="H439" s="4">
        <v>52798</v>
      </c>
      <c r="I439" s="4">
        <v>28642</v>
      </c>
      <c r="J439" s="4">
        <v>87</v>
      </c>
      <c r="K439" s="4">
        <v>87</v>
      </c>
      <c r="L439" s="4">
        <f>IFERROR(INDEX(楼层配置!$D$5:$D$104,MATCH($K439,楼层配置!$B$5:$B$104,0)),"")</f>
        <v>356</v>
      </c>
      <c r="M439" s="4" t="str">
        <f>IFERROR(INDEX(_角色基线!$B$2:$B$100,MATCH($B439,_角色基线!$A$2:$A$100,0)),"")</f>
        <v>陈单单</v>
      </c>
      <c r="N439" s="4" t="str">
        <f>IFERROR(INDEX(_角色基线!$C$2:$C$100,MATCH($B439,_角色基线!$A$2:$A$100,0)),"")</f>
        <v>DPS</v>
      </c>
      <c r="O439" s="4">
        <f>IFERROR(INDEX(_怪物基线!$B$2:$B$501,MATCH(INT($L439),_怪物基线!$A$2:$A$501,0)),"")</f>
        <v>613807</v>
      </c>
      <c r="P439" s="4">
        <f>IFERROR(INDEX(_怪物基线!$C$2:$C$501,MATCH(INT($L439),_怪物基线!$A$2:$A$501,0)),"")</f>
        <v>34186</v>
      </c>
      <c r="Q439" s="4">
        <f>IFERROR(INDEX(_怪物基线!$D$2:$D$501,MATCH(INT($L439),_怪物基线!$A$2:$A$501,0)),"")</f>
        <v>34285</v>
      </c>
      <c r="R439" s="4">
        <f>参数!$B$10</f>
        <v>4</v>
      </c>
      <c r="S439" s="4">
        <f>参数!$C$10</f>
        <v>1.2</v>
      </c>
      <c r="T439" s="4">
        <f>参数!$D$10</f>
        <v>1</v>
      </c>
      <c r="U439" s="4">
        <f t="shared" si="42"/>
        <v>2455228</v>
      </c>
      <c r="V439" s="4">
        <f t="shared" si="43"/>
        <v>41023.2</v>
      </c>
      <c r="W439" s="4">
        <f t="shared" si="44"/>
        <v>34285</v>
      </c>
      <c r="X439" s="4">
        <f>IFERROR(INDEX(参数!$B$5:$B$7,MATCH($N439,参数!$A$5:$A$7,0)),"")</f>
        <v>1</v>
      </c>
      <c r="Y439" s="4">
        <f>IFERROR(INDEX(参数!$C$5:$C$7,MATCH($N439,参数!$A$5:$A$7,0)),"")</f>
        <v>1.2</v>
      </c>
      <c r="Z439" s="4">
        <f>IFERROR(INDEX(参数!$D$5:$D$7,MATCH($N439,参数!$A$5:$A$7,0)),"")</f>
        <v>1</v>
      </c>
      <c r="AA439" s="4">
        <f>IFERROR(INDEX(楼层配置!$E$5:$E$104,MATCH($K439,楼层配置!$B$5:$B$104,0)),1)</f>
        <v>1</v>
      </c>
      <c r="AB439" s="4">
        <f>IFERROR(INDEX(楼层配置!$F$5:$F$104,MATCH($K439,楼层配置!$B$5:$B$104,0)),1)</f>
        <v>1</v>
      </c>
      <c r="AC439" s="4">
        <f>IFERROR(INDEX(楼层配置!$G$5:$G$104,MATCH($K439,楼层配置!$B$5:$B$104,0)),1)</f>
        <v>1</v>
      </c>
      <c r="AD439" s="6">
        <f t="shared" si="45"/>
        <v>-0.235763328388304</v>
      </c>
      <c r="AE439" s="6">
        <f t="shared" si="46"/>
        <v>-0.0676161975832418</v>
      </c>
      <c r="AF439" s="6">
        <f t="shared" si="47"/>
        <v>0.197018364639341</v>
      </c>
      <c r="AG439" s="4" t="str">
        <f t="shared" si="48"/>
        <v>有效</v>
      </c>
    </row>
    <row r="440" ht="14.25" customHeight="1" spans="1:33">
      <c r="A440" s="4">
        <v>436</v>
      </c>
      <c r="B440" s="4">
        <v>1004</v>
      </c>
      <c r="C440" s="4">
        <v>54</v>
      </c>
      <c r="D440" s="5">
        <f>IFERROR(ROUND($U440*$X440*$AA440*参数!$B$13,0),"")</f>
        <v>3712224</v>
      </c>
      <c r="E440" s="5">
        <f>IFERROR(ROUND($V440*$Y440*$AB440*参数!$C$13,0),"")</f>
        <v>41286</v>
      </c>
      <c r="F440" s="5">
        <f>IFERROR(ROUND($W440*$Z440*$AC440*参数!$D$13,0),"")</f>
        <v>51633</v>
      </c>
      <c r="G440" s="4">
        <v>4970808</v>
      </c>
      <c r="H440" s="4">
        <v>45131</v>
      </c>
      <c r="I440" s="4">
        <v>43634</v>
      </c>
      <c r="J440" s="4">
        <v>88</v>
      </c>
      <c r="K440" s="4">
        <v>88</v>
      </c>
      <c r="L440" s="4">
        <f>IFERROR(INDEX(楼层配置!$D$5:$D$104,MATCH($K440,楼层配置!$B$5:$B$104,0)),"")</f>
        <v>357</v>
      </c>
      <c r="M440" s="4" t="str">
        <f>IFERROR(INDEX(_角色基线!$B$2:$B$100,MATCH($B440,_角色基线!$A$2:$A$100,0)),"")</f>
        <v>阿芭</v>
      </c>
      <c r="N440" s="4" t="str">
        <f>IFERROR(INDEX(_角色基线!$C$2:$C$100,MATCH($B440,_角色基线!$A$2:$A$100,0)),"")</f>
        <v>Tank</v>
      </c>
      <c r="O440" s="4">
        <f>IFERROR(INDEX(_怪物基线!$B$2:$B$501,MATCH(INT($L440),_怪物基线!$A$2:$A$501,0)),"")</f>
        <v>618704</v>
      </c>
      <c r="P440" s="4">
        <f>IFERROR(INDEX(_怪物基线!$C$2:$C$501,MATCH(INT($L440),_怪物基线!$A$2:$A$501,0)),"")</f>
        <v>34405</v>
      </c>
      <c r="Q440" s="4">
        <f>IFERROR(INDEX(_怪物基线!$D$2:$D$501,MATCH(INT($L440),_怪物基线!$A$2:$A$501,0)),"")</f>
        <v>34422</v>
      </c>
      <c r="R440" s="4">
        <f>参数!$B$10</f>
        <v>4</v>
      </c>
      <c r="S440" s="4">
        <f>参数!$C$10</f>
        <v>1.2</v>
      </c>
      <c r="T440" s="4">
        <f>参数!$D$10</f>
        <v>1</v>
      </c>
      <c r="U440" s="4">
        <f t="shared" si="42"/>
        <v>2474816</v>
      </c>
      <c r="V440" s="4">
        <f t="shared" si="43"/>
        <v>41286</v>
      </c>
      <c r="W440" s="4">
        <f t="shared" si="44"/>
        <v>34422</v>
      </c>
      <c r="X440" s="4">
        <f>IFERROR(INDEX(参数!$B$5:$B$7,MATCH($N440,参数!$A$5:$A$7,0)),"")</f>
        <v>1.5</v>
      </c>
      <c r="Y440" s="4">
        <f>IFERROR(INDEX(参数!$C$5:$C$7,MATCH($N440,参数!$A$5:$A$7,0)),"")</f>
        <v>1</v>
      </c>
      <c r="Z440" s="4">
        <f>IFERROR(INDEX(参数!$D$5:$D$7,MATCH($N440,参数!$A$5:$A$7,0)),"")</f>
        <v>1.5</v>
      </c>
      <c r="AA440" s="4">
        <f>IFERROR(INDEX(楼层配置!$E$5:$E$104,MATCH($K440,楼层配置!$B$5:$B$104,0)),1)</f>
        <v>1</v>
      </c>
      <c r="AB440" s="4">
        <f>IFERROR(INDEX(楼层配置!$F$5:$F$104,MATCH($K440,楼层配置!$B$5:$B$104,0)),1)</f>
        <v>1</v>
      </c>
      <c r="AC440" s="4">
        <f>IFERROR(INDEX(楼层配置!$G$5:$G$104,MATCH($K440,楼层配置!$B$5:$B$104,0)),1)</f>
        <v>1</v>
      </c>
      <c r="AD440" s="6">
        <f t="shared" si="45"/>
        <v>-0.253195054003293</v>
      </c>
      <c r="AE440" s="6">
        <f t="shared" si="46"/>
        <v>-0.085196428175755</v>
      </c>
      <c r="AF440" s="6">
        <f t="shared" si="47"/>
        <v>0.18332034651877</v>
      </c>
      <c r="AG440" s="4" t="str">
        <f t="shared" si="48"/>
        <v>有效</v>
      </c>
    </row>
    <row r="441" ht="14.25" customHeight="1" spans="1:33">
      <c r="A441" s="4">
        <v>437</v>
      </c>
      <c r="B441" s="4">
        <v>1001</v>
      </c>
      <c r="C441" s="4">
        <v>54</v>
      </c>
      <c r="D441" s="5">
        <f>IFERROR(ROUND($U441*$X441*$AA441*参数!$B$13,0),"")</f>
        <v>2474816</v>
      </c>
      <c r="E441" s="5">
        <f>IFERROR(ROUND($V441*$Y441*$AB441*参数!$C$13,0),"")</f>
        <v>49543</v>
      </c>
      <c r="F441" s="5">
        <f>IFERROR(ROUND($W441*$Z441*$AC441*参数!$D$13,0),"")</f>
        <v>34422</v>
      </c>
      <c r="G441" s="4">
        <v>3313872</v>
      </c>
      <c r="H441" s="4">
        <v>54157</v>
      </c>
      <c r="I441" s="4">
        <v>29089</v>
      </c>
      <c r="J441" s="4">
        <v>88</v>
      </c>
      <c r="K441" s="4">
        <v>88</v>
      </c>
      <c r="L441" s="4">
        <f>IFERROR(INDEX(楼层配置!$D$5:$D$104,MATCH($K441,楼层配置!$B$5:$B$104,0)),"")</f>
        <v>357</v>
      </c>
      <c r="M441" s="4" t="str">
        <f>IFERROR(INDEX(_角色基线!$B$2:$B$100,MATCH($B441,_角色基线!$A$2:$A$100,0)),"")</f>
        <v>星海</v>
      </c>
      <c r="N441" s="4" t="str">
        <f>IFERROR(INDEX(_角色基线!$C$2:$C$100,MATCH($B441,_角色基线!$A$2:$A$100,0)),"")</f>
        <v>DPS</v>
      </c>
      <c r="O441" s="4">
        <f>IFERROR(INDEX(_怪物基线!$B$2:$B$501,MATCH(INT($L441),_怪物基线!$A$2:$A$501,0)),"")</f>
        <v>618704</v>
      </c>
      <c r="P441" s="4">
        <f>IFERROR(INDEX(_怪物基线!$C$2:$C$501,MATCH(INT($L441),_怪物基线!$A$2:$A$501,0)),"")</f>
        <v>34405</v>
      </c>
      <c r="Q441" s="4">
        <f>IFERROR(INDEX(_怪物基线!$D$2:$D$501,MATCH(INT($L441),_怪物基线!$A$2:$A$501,0)),"")</f>
        <v>34422</v>
      </c>
      <c r="R441" s="4">
        <f>参数!$B$10</f>
        <v>4</v>
      </c>
      <c r="S441" s="4">
        <f>参数!$C$10</f>
        <v>1.2</v>
      </c>
      <c r="T441" s="4">
        <f>参数!$D$10</f>
        <v>1</v>
      </c>
      <c r="U441" s="4">
        <f t="shared" si="42"/>
        <v>2474816</v>
      </c>
      <c r="V441" s="4">
        <f t="shared" si="43"/>
        <v>41286</v>
      </c>
      <c r="W441" s="4">
        <f t="shared" si="44"/>
        <v>34422</v>
      </c>
      <c r="X441" s="4">
        <f>IFERROR(INDEX(参数!$B$5:$B$7,MATCH($N441,参数!$A$5:$A$7,0)),"")</f>
        <v>1</v>
      </c>
      <c r="Y441" s="4">
        <f>IFERROR(INDEX(参数!$C$5:$C$7,MATCH($N441,参数!$A$5:$A$7,0)),"")</f>
        <v>1.2</v>
      </c>
      <c r="Z441" s="4">
        <f>IFERROR(INDEX(参数!$D$5:$D$7,MATCH($N441,参数!$A$5:$A$7,0)),"")</f>
        <v>1</v>
      </c>
      <c r="AA441" s="4">
        <f>IFERROR(INDEX(楼层配置!$E$5:$E$104,MATCH($K441,楼层配置!$B$5:$B$104,0)),1)</f>
        <v>1</v>
      </c>
      <c r="AB441" s="4">
        <f>IFERROR(INDEX(楼层配置!$F$5:$F$104,MATCH($K441,楼层配置!$B$5:$B$104,0)),1)</f>
        <v>1</v>
      </c>
      <c r="AC441" s="4">
        <f>IFERROR(INDEX(楼层配置!$G$5:$G$104,MATCH($K441,楼层配置!$B$5:$B$104,0)),1)</f>
        <v>1</v>
      </c>
      <c r="AD441" s="6">
        <f t="shared" si="45"/>
        <v>-0.253195054003293</v>
      </c>
      <c r="AE441" s="6">
        <f t="shared" si="46"/>
        <v>-0.085196742803331</v>
      </c>
      <c r="AF441" s="6">
        <f t="shared" si="47"/>
        <v>0.1833339062876</v>
      </c>
      <c r="AG441" s="4" t="str">
        <f t="shared" si="48"/>
        <v>有效</v>
      </c>
    </row>
    <row r="442" ht="14.25" customHeight="1" spans="1:33">
      <c r="A442" s="4">
        <v>438</v>
      </c>
      <c r="B442" s="4">
        <v>1005</v>
      </c>
      <c r="C442" s="4">
        <v>54</v>
      </c>
      <c r="D442" s="5">
        <f>IFERROR(ROUND($U442*$X442*$AA442*参数!$B$13,0),"")</f>
        <v>2474816</v>
      </c>
      <c r="E442" s="5">
        <f>IFERROR(ROUND($V442*$Y442*$AB442*参数!$C$13,0),"")</f>
        <v>49543</v>
      </c>
      <c r="F442" s="5">
        <f>IFERROR(ROUND($W442*$Z442*$AC442*参数!$D$13,0),"")</f>
        <v>34422</v>
      </c>
      <c r="G442" s="4">
        <v>3313872</v>
      </c>
      <c r="H442" s="4">
        <v>54157</v>
      </c>
      <c r="I442" s="4">
        <v>29089</v>
      </c>
      <c r="J442" s="4">
        <v>88</v>
      </c>
      <c r="K442" s="4">
        <v>88</v>
      </c>
      <c r="L442" s="4">
        <f>IFERROR(INDEX(楼层配置!$D$5:$D$104,MATCH($K442,楼层配置!$B$5:$B$104,0)),"")</f>
        <v>357</v>
      </c>
      <c r="M442" s="4" t="str">
        <f>IFERROR(INDEX(_角色基线!$B$2:$B$100,MATCH($B442,_角色基线!$A$2:$A$100,0)),"")</f>
        <v>陈单单</v>
      </c>
      <c r="N442" s="4" t="str">
        <f>IFERROR(INDEX(_角色基线!$C$2:$C$100,MATCH($B442,_角色基线!$A$2:$A$100,0)),"")</f>
        <v>DPS</v>
      </c>
      <c r="O442" s="4">
        <f>IFERROR(INDEX(_怪物基线!$B$2:$B$501,MATCH(INT($L442),_怪物基线!$A$2:$A$501,0)),"")</f>
        <v>618704</v>
      </c>
      <c r="P442" s="4">
        <f>IFERROR(INDEX(_怪物基线!$C$2:$C$501,MATCH(INT($L442),_怪物基线!$A$2:$A$501,0)),"")</f>
        <v>34405</v>
      </c>
      <c r="Q442" s="4">
        <f>IFERROR(INDEX(_怪物基线!$D$2:$D$501,MATCH(INT($L442),_怪物基线!$A$2:$A$501,0)),"")</f>
        <v>34422</v>
      </c>
      <c r="R442" s="4">
        <f>参数!$B$10</f>
        <v>4</v>
      </c>
      <c r="S442" s="4">
        <f>参数!$C$10</f>
        <v>1.2</v>
      </c>
      <c r="T442" s="4">
        <f>参数!$D$10</f>
        <v>1</v>
      </c>
      <c r="U442" s="4">
        <f t="shared" si="42"/>
        <v>2474816</v>
      </c>
      <c r="V442" s="4">
        <f t="shared" si="43"/>
        <v>41286</v>
      </c>
      <c r="W442" s="4">
        <f t="shared" si="44"/>
        <v>34422</v>
      </c>
      <c r="X442" s="4">
        <f>IFERROR(INDEX(参数!$B$5:$B$7,MATCH($N442,参数!$A$5:$A$7,0)),"")</f>
        <v>1</v>
      </c>
      <c r="Y442" s="4">
        <f>IFERROR(INDEX(参数!$C$5:$C$7,MATCH($N442,参数!$A$5:$A$7,0)),"")</f>
        <v>1.2</v>
      </c>
      <c r="Z442" s="4">
        <f>IFERROR(INDEX(参数!$D$5:$D$7,MATCH($N442,参数!$A$5:$A$7,0)),"")</f>
        <v>1</v>
      </c>
      <c r="AA442" s="4">
        <f>IFERROR(INDEX(楼层配置!$E$5:$E$104,MATCH($K442,楼层配置!$B$5:$B$104,0)),1)</f>
        <v>1</v>
      </c>
      <c r="AB442" s="4">
        <f>IFERROR(INDEX(楼层配置!$F$5:$F$104,MATCH($K442,楼层配置!$B$5:$B$104,0)),1)</f>
        <v>1</v>
      </c>
      <c r="AC442" s="4">
        <f>IFERROR(INDEX(楼层配置!$G$5:$G$104,MATCH($K442,楼层配置!$B$5:$B$104,0)),1)</f>
        <v>1</v>
      </c>
      <c r="AD442" s="6">
        <f t="shared" si="45"/>
        <v>-0.253195054003293</v>
      </c>
      <c r="AE442" s="6">
        <f t="shared" si="46"/>
        <v>-0.085196742803331</v>
      </c>
      <c r="AF442" s="6">
        <f t="shared" si="47"/>
        <v>0.1833339062876</v>
      </c>
      <c r="AG442" s="4" t="str">
        <f t="shared" si="48"/>
        <v>有效</v>
      </c>
    </row>
    <row r="443" ht="14.25" customHeight="1" spans="1:33">
      <c r="A443" s="4">
        <v>439</v>
      </c>
      <c r="B443" s="4">
        <v>1008</v>
      </c>
      <c r="C443" s="4">
        <v>54</v>
      </c>
      <c r="D443" s="5">
        <f>IFERROR(ROUND($U443*$X443*$AA443*参数!$B$13,0),"")</f>
        <v>2474816</v>
      </c>
      <c r="E443" s="5">
        <f>IFERROR(ROUND($V443*$Y443*$AB443*参数!$C$13,0),"")</f>
        <v>49543</v>
      </c>
      <c r="F443" s="5">
        <f>IFERROR(ROUND($W443*$Z443*$AC443*参数!$D$13,0),"")</f>
        <v>34422</v>
      </c>
      <c r="G443" s="4">
        <v>3313872</v>
      </c>
      <c r="H443" s="4">
        <v>54157</v>
      </c>
      <c r="I443" s="4">
        <v>29089</v>
      </c>
      <c r="J443" s="4">
        <v>88</v>
      </c>
      <c r="K443" s="4">
        <v>88</v>
      </c>
      <c r="L443" s="4">
        <f>IFERROR(INDEX(楼层配置!$D$5:$D$104,MATCH($K443,楼层配置!$B$5:$B$104,0)),"")</f>
        <v>357</v>
      </c>
      <c r="M443" s="4" t="str">
        <f>IFERROR(INDEX(_角色基线!$B$2:$B$100,MATCH($B443,_角色基线!$A$2:$A$100,0)),"")</f>
        <v>薇</v>
      </c>
      <c r="N443" s="4" t="str">
        <f>IFERROR(INDEX(_角色基线!$C$2:$C$100,MATCH($B443,_角色基线!$A$2:$A$100,0)),"")</f>
        <v>DPS</v>
      </c>
      <c r="O443" s="4">
        <f>IFERROR(INDEX(_怪物基线!$B$2:$B$501,MATCH(INT($L443),_怪物基线!$A$2:$A$501,0)),"")</f>
        <v>618704</v>
      </c>
      <c r="P443" s="4">
        <f>IFERROR(INDEX(_怪物基线!$C$2:$C$501,MATCH(INT($L443),_怪物基线!$A$2:$A$501,0)),"")</f>
        <v>34405</v>
      </c>
      <c r="Q443" s="4">
        <f>IFERROR(INDEX(_怪物基线!$D$2:$D$501,MATCH(INT($L443),_怪物基线!$A$2:$A$501,0)),"")</f>
        <v>34422</v>
      </c>
      <c r="R443" s="4">
        <f>参数!$B$10</f>
        <v>4</v>
      </c>
      <c r="S443" s="4">
        <f>参数!$C$10</f>
        <v>1.2</v>
      </c>
      <c r="T443" s="4">
        <f>参数!$D$10</f>
        <v>1</v>
      </c>
      <c r="U443" s="4">
        <f t="shared" si="42"/>
        <v>2474816</v>
      </c>
      <c r="V443" s="4">
        <f t="shared" si="43"/>
        <v>41286</v>
      </c>
      <c r="W443" s="4">
        <f t="shared" si="44"/>
        <v>34422</v>
      </c>
      <c r="X443" s="4">
        <f>IFERROR(INDEX(参数!$B$5:$B$7,MATCH($N443,参数!$A$5:$A$7,0)),"")</f>
        <v>1</v>
      </c>
      <c r="Y443" s="4">
        <f>IFERROR(INDEX(参数!$C$5:$C$7,MATCH($N443,参数!$A$5:$A$7,0)),"")</f>
        <v>1.2</v>
      </c>
      <c r="Z443" s="4">
        <f>IFERROR(INDEX(参数!$D$5:$D$7,MATCH($N443,参数!$A$5:$A$7,0)),"")</f>
        <v>1</v>
      </c>
      <c r="AA443" s="4">
        <f>IFERROR(INDEX(楼层配置!$E$5:$E$104,MATCH($K443,楼层配置!$B$5:$B$104,0)),1)</f>
        <v>1</v>
      </c>
      <c r="AB443" s="4">
        <f>IFERROR(INDEX(楼层配置!$F$5:$F$104,MATCH($K443,楼层配置!$B$5:$B$104,0)),1)</f>
        <v>1</v>
      </c>
      <c r="AC443" s="4">
        <f>IFERROR(INDEX(楼层配置!$G$5:$G$104,MATCH($K443,楼层配置!$B$5:$B$104,0)),1)</f>
        <v>1</v>
      </c>
      <c r="AD443" s="6">
        <f t="shared" si="45"/>
        <v>-0.253195054003293</v>
      </c>
      <c r="AE443" s="6">
        <f t="shared" si="46"/>
        <v>-0.085196742803331</v>
      </c>
      <c r="AF443" s="6">
        <f t="shared" si="47"/>
        <v>0.1833339062876</v>
      </c>
      <c r="AG443" s="4" t="str">
        <f t="shared" si="48"/>
        <v>有效</v>
      </c>
    </row>
    <row r="444" ht="14.25" customHeight="1" spans="1:33">
      <c r="A444" s="4">
        <v>440</v>
      </c>
      <c r="B444" s="4">
        <v>1007</v>
      </c>
      <c r="C444" s="4">
        <v>54</v>
      </c>
      <c r="D444" s="5">
        <f>IFERROR(ROUND($U444*$X444*$AA444*参数!$B$13,0),"")</f>
        <v>3093520</v>
      </c>
      <c r="E444" s="5">
        <f>IFERROR(ROUND($V444*$Y444*$AB444*参数!$C$13,0),"")</f>
        <v>41286</v>
      </c>
      <c r="F444" s="5">
        <f>IFERROR(ROUND($W444*$Z444*$AC444*参数!$D$13,0),"")</f>
        <v>43028</v>
      </c>
      <c r="G444" s="4">
        <v>4142340</v>
      </c>
      <c r="H444" s="4">
        <v>45131</v>
      </c>
      <c r="I444" s="4">
        <v>36362</v>
      </c>
      <c r="J444" s="4">
        <v>88</v>
      </c>
      <c r="K444" s="4">
        <v>88</v>
      </c>
      <c r="L444" s="4">
        <f>IFERROR(INDEX(楼层配置!$D$5:$D$104,MATCH($K444,楼层配置!$B$5:$B$104,0)),"")</f>
        <v>357</v>
      </c>
      <c r="M444" s="4" t="str">
        <f>IFERROR(INDEX(_角色基线!$B$2:$B$100,MATCH($B444,_角色基线!$A$2:$A$100,0)),"")</f>
        <v>萨萨莉安</v>
      </c>
      <c r="N444" s="4" t="str">
        <f>IFERROR(INDEX(_角色基线!$C$2:$C$100,MATCH($B444,_角色基线!$A$2:$A$100,0)),"")</f>
        <v>Support</v>
      </c>
      <c r="O444" s="4">
        <f>IFERROR(INDEX(_怪物基线!$B$2:$B$501,MATCH(INT($L444),_怪物基线!$A$2:$A$501,0)),"")</f>
        <v>618704</v>
      </c>
      <c r="P444" s="4">
        <f>IFERROR(INDEX(_怪物基线!$C$2:$C$501,MATCH(INT($L444),_怪物基线!$A$2:$A$501,0)),"")</f>
        <v>34405</v>
      </c>
      <c r="Q444" s="4">
        <f>IFERROR(INDEX(_怪物基线!$D$2:$D$501,MATCH(INT($L444),_怪物基线!$A$2:$A$501,0)),"")</f>
        <v>34422</v>
      </c>
      <c r="R444" s="4">
        <f>参数!$B$10</f>
        <v>4</v>
      </c>
      <c r="S444" s="4">
        <f>参数!$C$10</f>
        <v>1.2</v>
      </c>
      <c r="T444" s="4">
        <f>参数!$D$10</f>
        <v>1</v>
      </c>
      <c r="U444" s="4">
        <f t="shared" si="42"/>
        <v>2474816</v>
      </c>
      <c r="V444" s="4">
        <f t="shared" si="43"/>
        <v>41286</v>
      </c>
      <c r="W444" s="4">
        <f t="shared" si="44"/>
        <v>34422</v>
      </c>
      <c r="X444" s="4">
        <f>IFERROR(INDEX(参数!$B$5:$B$7,MATCH($N444,参数!$A$5:$A$7,0)),"")</f>
        <v>1.25</v>
      </c>
      <c r="Y444" s="4">
        <f>IFERROR(INDEX(参数!$C$5:$C$7,MATCH($N444,参数!$A$5:$A$7,0)),"")</f>
        <v>1</v>
      </c>
      <c r="Z444" s="4">
        <f>IFERROR(INDEX(参数!$D$5:$D$7,MATCH($N444,参数!$A$5:$A$7,0)),"")</f>
        <v>1.25</v>
      </c>
      <c r="AA444" s="4">
        <f>IFERROR(INDEX(楼层配置!$E$5:$E$104,MATCH($K444,楼层配置!$B$5:$B$104,0)),1)</f>
        <v>1</v>
      </c>
      <c r="AB444" s="4">
        <f>IFERROR(INDEX(楼层配置!$F$5:$F$104,MATCH($K444,楼层配置!$B$5:$B$104,0)),1)</f>
        <v>1</v>
      </c>
      <c r="AC444" s="4">
        <f>IFERROR(INDEX(楼层配置!$G$5:$G$104,MATCH($K444,楼层配置!$B$5:$B$104,0)),1)</f>
        <v>1</v>
      </c>
      <c r="AD444" s="6">
        <f t="shared" si="45"/>
        <v>-0.253195054003293</v>
      </c>
      <c r="AE444" s="6">
        <f t="shared" si="46"/>
        <v>-0.085196428175755</v>
      </c>
      <c r="AF444" s="6">
        <f t="shared" si="47"/>
        <v>0.18332324954623</v>
      </c>
      <c r="AG444" s="4" t="str">
        <f t="shared" si="48"/>
        <v>有效</v>
      </c>
    </row>
    <row r="445" ht="14.25" customHeight="1" spans="1:33">
      <c r="A445" s="4">
        <v>441</v>
      </c>
      <c r="B445" s="4">
        <v>1003</v>
      </c>
      <c r="C445" s="4">
        <v>54</v>
      </c>
      <c r="D445" s="5">
        <f>IFERROR(ROUND($U445*$X445*$AA445*参数!$B$13,0),"")</f>
        <v>3741780</v>
      </c>
      <c r="E445" s="5">
        <f>IFERROR(ROUND($V445*$Y445*$AB445*参数!$C$13,0),"")</f>
        <v>41550</v>
      </c>
      <c r="F445" s="5">
        <f>IFERROR(ROUND($W445*$Z445*$AC445*参数!$D$13,0),"")</f>
        <v>51839</v>
      </c>
      <c r="G445" s="4">
        <v>5126220</v>
      </c>
      <c r="H445" s="4">
        <v>46290</v>
      </c>
      <c r="I445" s="4">
        <v>44310</v>
      </c>
      <c r="J445" s="4">
        <v>89</v>
      </c>
      <c r="K445" s="4">
        <v>89</v>
      </c>
      <c r="L445" s="4">
        <f>IFERROR(INDEX(楼层配置!$D$5:$D$104,MATCH($K445,楼层配置!$B$5:$B$104,0)),"")</f>
        <v>358</v>
      </c>
      <c r="M445" s="4" t="str">
        <f>IFERROR(INDEX(_角色基线!$B$2:$B$100,MATCH($B445,_角色基线!$A$2:$A$100,0)),"")</f>
        <v>塔拉夏</v>
      </c>
      <c r="N445" s="4" t="str">
        <f>IFERROR(INDEX(_角色基线!$C$2:$C$100,MATCH($B445,_角色基线!$A$2:$A$100,0)),"")</f>
        <v>Tank</v>
      </c>
      <c r="O445" s="4">
        <f>IFERROR(INDEX(_怪物基线!$B$2:$B$501,MATCH(INT($L445),_怪物基线!$A$2:$A$501,0)),"")</f>
        <v>623630</v>
      </c>
      <c r="P445" s="4">
        <f>IFERROR(INDEX(_怪物基线!$C$2:$C$501,MATCH(INT($L445),_怪物基线!$A$2:$A$501,0)),"")</f>
        <v>34625</v>
      </c>
      <c r="Q445" s="4">
        <f>IFERROR(INDEX(_怪物基线!$D$2:$D$501,MATCH(INT($L445),_怪物基线!$A$2:$A$501,0)),"")</f>
        <v>34559</v>
      </c>
      <c r="R445" s="4">
        <f>参数!$B$10</f>
        <v>4</v>
      </c>
      <c r="S445" s="4">
        <f>参数!$C$10</f>
        <v>1.2</v>
      </c>
      <c r="T445" s="4">
        <f>参数!$D$10</f>
        <v>1</v>
      </c>
      <c r="U445" s="4">
        <f t="shared" si="42"/>
        <v>2494520</v>
      </c>
      <c r="V445" s="4">
        <f t="shared" si="43"/>
        <v>41550</v>
      </c>
      <c r="W445" s="4">
        <f t="shared" si="44"/>
        <v>34559</v>
      </c>
      <c r="X445" s="4">
        <f>IFERROR(INDEX(参数!$B$5:$B$7,MATCH($N445,参数!$A$5:$A$7,0)),"")</f>
        <v>1.5</v>
      </c>
      <c r="Y445" s="4">
        <f>IFERROR(INDEX(参数!$C$5:$C$7,MATCH($N445,参数!$A$5:$A$7,0)),"")</f>
        <v>1</v>
      </c>
      <c r="Z445" s="4">
        <f>IFERROR(INDEX(参数!$D$5:$D$7,MATCH($N445,参数!$A$5:$A$7,0)),"")</f>
        <v>1.5</v>
      </c>
      <c r="AA445" s="4">
        <f>IFERROR(INDEX(楼层配置!$E$5:$E$104,MATCH($K445,楼层配置!$B$5:$B$104,0)),1)</f>
        <v>1</v>
      </c>
      <c r="AB445" s="4">
        <f>IFERROR(INDEX(楼层配置!$F$5:$F$104,MATCH($K445,楼层配置!$B$5:$B$104,0)),1)</f>
        <v>1</v>
      </c>
      <c r="AC445" s="4">
        <f>IFERROR(INDEX(楼层配置!$G$5:$G$104,MATCH($K445,楼层配置!$B$5:$B$104,0)),1)</f>
        <v>1</v>
      </c>
      <c r="AD445" s="6">
        <f t="shared" si="45"/>
        <v>-0.270070344230252</v>
      </c>
      <c r="AE445" s="6">
        <f t="shared" si="46"/>
        <v>-0.102397926117952</v>
      </c>
      <c r="AF445" s="6">
        <f t="shared" si="47"/>
        <v>0.169916497404649</v>
      </c>
      <c r="AG445" s="4" t="str">
        <f t="shared" si="48"/>
        <v>有效</v>
      </c>
    </row>
    <row r="446" ht="14.25" customHeight="1" spans="1:33">
      <c r="A446" s="4">
        <v>442</v>
      </c>
      <c r="B446" s="4">
        <v>1013</v>
      </c>
      <c r="C446" s="4">
        <v>54</v>
      </c>
      <c r="D446" s="5">
        <f>IFERROR(ROUND($U446*$X446*$AA446*参数!$B$13,0),"")</f>
        <v>2494520</v>
      </c>
      <c r="E446" s="5">
        <f>IFERROR(ROUND($V446*$Y446*$AB446*参数!$C$13,0),"")</f>
        <v>49860</v>
      </c>
      <c r="F446" s="5">
        <f>IFERROR(ROUND($W446*$Z446*$AC446*参数!$D$13,0),"")</f>
        <v>34559</v>
      </c>
      <c r="G446" s="4">
        <v>3417480</v>
      </c>
      <c r="H446" s="4">
        <v>55548</v>
      </c>
      <c r="I446" s="4">
        <v>29540</v>
      </c>
      <c r="J446" s="4">
        <v>89</v>
      </c>
      <c r="K446" s="4">
        <v>89</v>
      </c>
      <c r="L446" s="4">
        <f>IFERROR(INDEX(楼层配置!$D$5:$D$104,MATCH($K446,楼层配置!$B$5:$B$104,0)),"")</f>
        <v>358</v>
      </c>
      <c r="M446" s="4" t="str">
        <f>IFERROR(INDEX(_角色基线!$B$2:$B$100,MATCH($B446,_角色基线!$A$2:$A$100,0)),"")</f>
        <v>夏缇拉</v>
      </c>
      <c r="N446" s="4" t="str">
        <f>IFERROR(INDEX(_角色基线!$C$2:$C$100,MATCH($B446,_角色基线!$A$2:$A$100,0)),"")</f>
        <v>DPS</v>
      </c>
      <c r="O446" s="4">
        <f>IFERROR(INDEX(_怪物基线!$B$2:$B$501,MATCH(INT($L446),_怪物基线!$A$2:$A$501,0)),"")</f>
        <v>623630</v>
      </c>
      <c r="P446" s="4">
        <f>IFERROR(INDEX(_怪物基线!$C$2:$C$501,MATCH(INT($L446),_怪物基线!$A$2:$A$501,0)),"")</f>
        <v>34625</v>
      </c>
      <c r="Q446" s="4">
        <f>IFERROR(INDEX(_怪物基线!$D$2:$D$501,MATCH(INT($L446),_怪物基线!$A$2:$A$501,0)),"")</f>
        <v>34559</v>
      </c>
      <c r="R446" s="4">
        <f>参数!$B$10</f>
        <v>4</v>
      </c>
      <c r="S446" s="4">
        <f>参数!$C$10</f>
        <v>1.2</v>
      </c>
      <c r="T446" s="4">
        <f>参数!$D$10</f>
        <v>1</v>
      </c>
      <c r="U446" s="4">
        <f t="shared" si="42"/>
        <v>2494520</v>
      </c>
      <c r="V446" s="4">
        <f t="shared" si="43"/>
        <v>41550</v>
      </c>
      <c r="W446" s="4">
        <f t="shared" si="44"/>
        <v>34559</v>
      </c>
      <c r="X446" s="4">
        <f>IFERROR(INDEX(参数!$B$5:$B$7,MATCH($N446,参数!$A$5:$A$7,0)),"")</f>
        <v>1</v>
      </c>
      <c r="Y446" s="4">
        <f>IFERROR(INDEX(参数!$C$5:$C$7,MATCH($N446,参数!$A$5:$A$7,0)),"")</f>
        <v>1.2</v>
      </c>
      <c r="Z446" s="4">
        <f>IFERROR(INDEX(参数!$D$5:$D$7,MATCH($N446,参数!$A$5:$A$7,0)),"")</f>
        <v>1</v>
      </c>
      <c r="AA446" s="4">
        <f>IFERROR(INDEX(楼层配置!$E$5:$E$104,MATCH($K446,楼层配置!$B$5:$B$104,0)),1)</f>
        <v>1</v>
      </c>
      <c r="AB446" s="4">
        <f>IFERROR(INDEX(楼层配置!$F$5:$F$104,MATCH($K446,楼层配置!$B$5:$B$104,0)),1)</f>
        <v>1</v>
      </c>
      <c r="AC446" s="4">
        <f>IFERROR(INDEX(楼层配置!$G$5:$G$104,MATCH($K446,楼层配置!$B$5:$B$104,0)),1)</f>
        <v>1</v>
      </c>
      <c r="AD446" s="6">
        <f t="shared" si="45"/>
        <v>-0.270070344230252</v>
      </c>
      <c r="AE446" s="6">
        <f t="shared" si="46"/>
        <v>-0.102397926117952</v>
      </c>
      <c r="AF446" s="6">
        <f t="shared" si="47"/>
        <v>0.169905213270142</v>
      </c>
      <c r="AG446" s="4" t="str">
        <f t="shared" si="48"/>
        <v>有效</v>
      </c>
    </row>
    <row r="447" ht="14.25" customHeight="1" spans="1:33">
      <c r="A447" s="4">
        <v>443</v>
      </c>
      <c r="B447" s="4">
        <v>1001</v>
      </c>
      <c r="C447" s="4">
        <v>54</v>
      </c>
      <c r="D447" s="5">
        <f>IFERROR(ROUND($U447*$X447*$AA447*参数!$B$13,0),"")</f>
        <v>2494520</v>
      </c>
      <c r="E447" s="5">
        <f>IFERROR(ROUND($V447*$Y447*$AB447*参数!$C$13,0),"")</f>
        <v>49860</v>
      </c>
      <c r="F447" s="5">
        <f>IFERROR(ROUND($W447*$Z447*$AC447*参数!$D$13,0),"")</f>
        <v>34559</v>
      </c>
      <c r="G447" s="4">
        <v>3417480</v>
      </c>
      <c r="H447" s="4">
        <v>55548</v>
      </c>
      <c r="I447" s="4">
        <v>29540</v>
      </c>
      <c r="J447" s="4">
        <v>89</v>
      </c>
      <c r="K447" s="4">
        <v>89</v>
      </c>
      <c r="L447" s="4">
        <f>IFERROR(INDEX(楼层配置!$D$5:$D$104,MATCH($K447,楼层配置!$B$5:$B$104,0)),"")</f>
        <v>358</v>
      </c>
      <c r="M447" s="4" t="str">
        <f>IFERROR(INDEX(_角色基线!$B$2:$B$100,MATCH($B447,_角色基线!$A$2:$A$100,0)),"")</f>
        <v>星海</v>
      </c>
      <c r="N447" s="4" t="str">
        <f>IFERROR(INDEX(_角色基线!$C$2:$C$100,MATCH($B447,_角色基线!$A$2:$A$100,0)),"")</f>
        <v>DPS</v>
      </c>
      <c r="O447" s="4">
        <f>IFERROR(INDEX(_怪物基线!$B$2:$B$501,MATCH(INT($L447),_怪物基线!$A$2:$A$501,0)),"")</f>
        <v>623630</v>
      </c>
      <c r="P447" s="4">
        <f>IFERROR(INDEX(_怪物基线!$C$2:$C$501,MATCH(INT($L447),_怪物基线!$A$2:$A$501,0)),"")</f>
        <v>34625</v>
      </c>
      <c r="Q447" s="4">
        <f>IFERROR(INDEX(_怪物基线!$D$2:$D$501,MATCH(INT($L447),_怪物基线!$A$2:$A$501,0)),"")</f>
        <v>34559</v>
      </c>
      <c r="R447" s="4">
        <f>参数!$B$10</f>
        <v>4</v>
      </c>
      <c r="S447" s="4">
        <f>参数!$C$10</f>
        <v>1.2</v>
      </c>
      <c r="T447" s="4">
        <f>参数!$D$10</f>
        <v>1</v>
      </c>
      <c r="U447" s="4">
        <f t="shared" si="42"/>
        <v>2494520</v>
      </c>
      <c r="V447" s="4">
        <f t="shared" si="43"/>
        <v>41550</v>
      </c>
      <c r="W447" s="4">
        <f t="shared" si="44"/>
        <v>34559</v>
      </c>
      <c r="X447" s="4">
        <f>IFERROR(INDEX(参数!$B$5:$B$7,MATCH($N447,参数!$A$5:$A$7,0)),"")</f>
        <v>1</v>
      </c>
      <c r="Y447" s="4">
        <f>IFERROR(INDEX(参数!$C$5:$C$7,MATCH($N447,参数!$A$5:$A$7,0)),"")</f>
        <v>1.2</v>
      </c>
      <c r="Z447" s="4">
        <f>IFERROR(INDEX(参数!$D$5:$D$7,MATCH($N447,参数!$A$5:$A$7,0)),"")</f>
        <v>1</v>
      </c>
      <c r="AA447" s="4">
        <f>IFERROR(INDEX(楼层配置!$E$5:$E$104,MATCH($K447,楼层配置!$B$5:$B$104,0)),1)</f>
        <v>1</v>
      </c>
      <c r="AB447" s="4">
        <f>IFERROR(INDEX(楼层配置!$F$5:$F$104,MATCH($K447,楼层配置!$B$5:$B$104,0)),1)</f>
        <v>1</v>
      </c>
      <c r="AC447" s="4">
        <f>IFERROR(INDEX(楼层配置!$G$5:$G$104,MATCH($K447,楼层配置!$B$5:$B$104,0)),1)</f>
        <v>1</v>
      </c>
      <c r="AD447" s="6">
        <f t="shared" si="45"/>
        <v>-0.270070344230252</v>
      </c>
      <c r="AE447" s="6">
        <f t="shared" si="46"/>
        <v>-0.102397926117952</v>
      </c>
      <c r="AF447" s="6">
        <f t="shared" si="47"/>
        <v>0.169905213270142</v>
      </c>
      <c r="AG447" s="4" t="str">
        <f t="shared" si="48"/>
        <v>有效</v>
      </c>
    </row>
    <row r="448" ht="14.25" customHeight="1" spans="1:33">
      <c r="A448" s="4">
        <v>444</v>
      </c>
      <c r="B448" s="4">
        <v>1006</v>
      </c>
      <c r="C448" s="4">
        <v>54</v>
      </c>
      <c r="D448" s="5">
        <f>IFERROR(ROUND($U448*$X448*$AA448*参数!$B$13,0),"")</f>
        <v>2494520</v>
      </c>
      <c r="E448" s="5">
        <f>IFERROR(ROUND($V448*$Y448*$AB448*参数!$C$13,0),"")</f>
        <v>49860</v>
      </c>
      <c r="F448" s="5">
        <f>IFERROR(ROUND($W448*$Z448*$AC448*参数!$D$13,0),"")</f>
        <v>34559</v>
      </c>
      <c r="G448" s="4">
        <v>3417480</v>
      </c>
      <c r="H448" s="4">
        <v>55548</v>
      </c>
      <c r="I448" s="4">
        <v>29540</v>
      </c>
      <c r="J448" s="4">
        <v>89</v>
      </c>
      <c r="K448" s="4">
        <v>89</v>
      </c>
      <c r="L448" s="4">
        <f>IFERROR(INDEX(楼层配置!$D$5:$D$104,MATCH($K448,楼层配置!$B$5:$B$104,0)),"")</f>
        <v>358</v>
      </c>
      <c r="M448" s="4" t="str">
        <f>IFERROR(INDEX(_角色基线!$B$2:$B$100,MATCH($B448,_角色基线!$A$2:$A$100,0)),"")</f>
        <v>莉莉娅</v>
      </c>
      <c r="N448" s="4" t="str">
        <f>IFERROR(INDEX(_角色基线!$C$2:$C$100,MATCH($B448,_角色基线!$A$2:$A$100,0)),"")</f>
        <v>DPS</v>
      </c>
      <c r="O448" s="4">
        <f>IFERROR(INDEX(_怪物基线!$B$2:$B$501,MATCH(INT($L448),_怪物基线!$A$2:$A$501,0)),"")</f>
        <v>623630</v>
      </c>
      <c r="P448" s="4">
        <f>IFERROR(INDEX(_怪物基线!$C$2:$C$501,MATCH(INT($L448),_怪物基线!$A$2:$A$501,0)),"")</f>
        <v>34625</v>
      </c>
      <c r="Q448" s="4">
        <f>IFERROR(INDEX(_怪物基线!$D$2:$D$501,MATCH(INT($L448),_怪物基线!$A$2:$A$501,0)),"")</f>
        <v>34559</v>
      </c>
      <c r="R448" s="4">
        <f>参数!$B$10</f>
        <v>4</v>
      </c>
      <c r="S448" s="4">
        <f>参数!$C$10</f>
        <v>1.2</v>
      </c>
      <c r="T448" s="4">
        <f>参数!$D$10</f>
        <v>1</v>
      </c>
      <c r="U448" s="4">
        <f t="shared" si="42"/>
        <v>2494520</v>
      </c>
      <c r="V448" s="4">
        <f t="shared" si="43"/>
        <v>41550</v>
      </c>
      <c r="W448" s="4">
        <f t="shared" si="44"/>
        <v>34559</v>
      </c>
      <c r="X448" s="4">
        <f>IFERROR(INDEX(参数!$B$5:$B$7,MATCH($N448,参数!$A$5:$A$7,0)),"")</f>
        <v>1</v>
      </c>
      <c r="Y448" s="4">
        <f>IFERROR(INDEX(参数!$C$5:$C$7,MATCH($N448,参数!$A$5:$A$7,0)),"")</f>
        <v>1.2</v>
      </c>
      <c r="Z448" s="4">
        <f>IFERROR(INDEX(参数!$D$5:$D$7,MATCH($N448,参数!$A$5:$A$7,0)),"")</f>
        <v>1</v>
      </c>
      <c r="AA448" s="4">
        <f>IFERROR(INDEX(楼层配置!$E$5:$E$104,MATCH($K448,楼层配置!$B$5:$B$104,0)),1)</f>
        <v>1</v>
      </c>
      <c r="AB448" s="4">
        <f>IFERROR(INDEX(楼层配置!$F$5:$F$104,MATCH($K448,楼层配置!$B$5:$B$104,0)),1)</f>
        <v>1</v>
      </c>
      <c r="AC448" s="4">
        <f>IFERROR(INDEX(楼层配置!$G$5:$G$104,MATCH($K448,楼层配置!$B$5:$B$104,0)),1)</f>
        <v>1</v>
      </c>
      <c r="AD448" s="6">
        <f t="shared" si="45"/>
        <v>-0.270070344230252</v>
      </c>
      <c r="AE448" s="6">
        <f t="shared" si="46"/>
        <v>-0.102397926117952</v>
      </c>
      <c r="AF448" s="6">
        <f t="shared" si="47"/>
        <v>0.169905213270142</v>
      </c>
      <c r="AG448" s="4" t="str">
        <f t="shared" si="48"/>
        <v>有效</v>
      </c>
    </row>
    <row r="449" ht="14.25" customHeight="1" spans="1:33">
      <c r="A449" s="4">
        <v>445</v>
      </c>
      <c r="B449" s="4">
        <v>1011</v>
      </c>
      <c r="C449" s="4">
        <v>54</v>
      </c>
      <c r="D449" s="5">
        <f>IFERROR(ROUND($U449*$X449*$AA449*参数!$B$13,0),"")</f>
        <v>3118150</v>
      </c>
      <c r="E449" s="5">
        <f>IFERROR(ROUND($V449*$Y449*$AB449*参数!$C$13,0),"")</f>
        <v>41550</v>
      </c>
      <c r="F449" s="5">
        <f>IFERROR(ROUND($W449*$Z449*$AC449*参数!$D$13,0),"")</f>
        <v>43199</v>
      </c>
      <c r="G449" s="4">
        <v>4271850</v>
      </c>
      <c r="H449" s="4">
        <v>46290</v>
      </c>
      <c r="I449" s="4">
        <v>36925</v>
      </c>
      <c r="J449" s="4">
        <v>89</v>
      </c>
      <c r="K449" s="4">
        <v>89</v>
      </c>
      <c r="L449" s="4">
        <f>IFERROR(INDEX(楼层配置!$D$5:$D$104,MATCH($K449,楼层配置!$B$5:$B$104,0)),"")</f>
        <v>358</v>
      </c>
      <c r="M449" s="4" t="str">
        <f>IFERROR(INDEX(_角色基线!$B$2:$B$100,MATCH($B449,_角色基线!$A$2:$A$100,0)),"")</f>
        <v>陈双双</v>
      </c>
      <c r="N449" s="4" t="str">
        <f>IFERROR(INDEX(_角色基线!$C$2:$C$100,MATCH($B449,_角色基线!$A$2:$A$100,0)),"")</f>
        <v>Support</v>
      </c>
      <c r="O449" s="4">
        <f>IFERROR(INDEX(_怪物基线!$B$2:$B$501,MATCH(INT($L449),_怪物基线!$A$2:$A$501,0)),"")</f>
        <v>623630</v>
      </c>
      <c r="P449" s="4">
        <f>IFERROR(INDEX(_怪物基线!$C$2:$C$501,MATCH(INT($L449),_怪物基线!$A$2:$A$501,0)),"")</f>
        <v>34625</v>
      </c>
      <c r="Q449" s="4">
        <f>IFERROR(INDEX(_怪物基线!$D$2:$D$501,MATCH(INT($L449),_怪物基线!$A$2:$A$501,0)),"")</f>
        <v>34559</v>
      </c>
      <c r="R449" s="4">
        <f>参数!$B$10</f>
        <v>4</v>
      </c>
      <c r="S449" s="4">
        <f>参数!$C$10</f>
        <v>1.2</v>
      </c>
      <c r="T449" s="4">
        <f>参数!$D$10</f>
        <v>1</v>
      </c>
      <c r="U449" s="4">
        <f t="shared" si="42"/>
        <v>2494520</v>
      </c>
      <c r="V449" s="4">
        <f t="shared" si="43"/>
        <v>41550</v>
      </c>
      <c r="W449" s="4">
        <f t="shared" si="44"/>
        <v>34559</v>
      </c>
      <c r="X449" s="4">
        <f>IFERROR(INDEX(参数!$B$5:$B$7,MATCH($N449,参数!$A$5:$A$7,0)),"")</f>
        <v>1.25</v>
      </c>
      <c r="Y449" s="4">
        <f>IFERROR(INDEX(参数!$C$5:$C$7,MATCH($N449,参数!$A$5:$A$7,0)),"")</f>
        <v>1</v>
      </c>
      <c r="Z449" s="4">
        <f>IFERROR(INDEX(参数!$D$5:$D$7,MATCH($N449,参数!$A$5:$A$7,0)),"")</f>
        <v>1.25</v>
      </c>
      <c r="AA449" s="4">
        <f>IFERROR(INDEX(楼层配置!$E$5:$E$104,MATCH($K449,楼层配置!$B$5:$B$104,0)),1)</f>
        <v>1</v>
      </c>
      <c r="AB449" s="4">
        <f>IFERROR(INDEX(楼层配置!$F$5:$F$104,MATCH($K449,楼层配置!$B$5:$B$104,0)),1)</f>
        <v>1</v>
      </c>
      <c r="AC449" s="4">
        <f>IFERROR(INDEX(楼层配置!$G$5:$G$104,MATCH($K449,楼层配置!$B$5:$B$104,0)),1)</f>
        <v>1</v>
      </c>
      <c r="AD449" s="6">
        <f t="shared" si="45"/>
        <v>-0.270070344230252</v>
      </c>
      <c r="AE449" s="6">
        <f t="shared" si="46"/>
        <v>-0.102397926117952</v>
      </c>
      <c r="AF449" s="6">
        <f t="shared" si="47"/>
        <v>0.169911983750846</v>
      </c>
      <c r="AG449" s="4" t="str">
        <f t="shared" si="48"/>
        <v>有效</v>
      </c>
    </row>
    <row r="450" ht="14.25" customHeight="1" spans="1:33">
      <c r="A450" s="4">
        <v>446</v>
      </c>
      <c r="B450" s="4">
        <v>1004</v>
      </c>
      <c r="C450" s="4">
        <v>55</v>
      </c>
      <c r="D450" s="5">
        <f>IFERROR(ROUND($U450*$X450*$AA450*参数!$B$13,0),"")</f>
        <v>3801420</v>
      </c>
      <c r="E450" s="5">
        <f>IFERROR(ROUND($V450*$Y450*$AB450*参数!$C$13,0),"")</f>
        <v>42083</v>
      </c>
      <c r="F450" s="5">
        <f>IFERROR(ROUND($W450*$Z450*$AC450*参数!$D$13,0),"")</f>
        <v>52251</v>
      </c>
      <c r="G450" s="4">
        <v>5285275</v>
      </c>
      <c r="H450" s="4">
        <v>47477</v>
      </c>
      <c r="I450" s="4">
        <v>44989</v>
      </c>
      <c r="J450" s="4">
        <v>90</v>
      </c>
      <c r="K450" s="4">
        <v>90</v>
      </c>
      <c r="L450" s="4">
        <f>IFERROR(INDEX(楼层配置!$D$5:$D$104,MATCH($K450,楼层配置!$B$5:$B$104,0)),"")</f>
        <v>360</v>
      </c>
      <c r="M450" s="4" t="str">
        <f>IFERROR(INDEX(_角色基线!$B$2:$B$100,MATCH($B450,_角色基线!$A$2:$A$100,0)),"")</f>
        <v>阿芭</v>
      </c>
      <c r="N450" s="4" t="str">
        <f>IFERROR(INDEX(_角色基线!$C$2:$C$100,MATCH($B450,_角色基线!$A$2:$A$100,0)),"")</f>
        <v>Tank</v>
      </c>
      <c r="O450" s="4">
        <f>IFERROR(INDEX(_怪物基线!$B$2:$B$501,MATCH(INT($L450),_怪物基线!$A$2:$A$501,0)),"")</f>
        <v>633570</v>
      </c>
      <c r="P450" s="4">
        <f>IFERROR(INDEX(_怪物基线!$C$2:$C$501,MATCH(INT($L450),_怪物基线!$A$2:$A$501,0)),"")</f>
        <v>35069</v>
      </c>
      <c r="Q450" s="4">
        <f>IFERROR(INDEX(_怪物基线!$D$2:$D$501,MATCH(INT($L450),_怪物基线!$A$2:$A$501,0)),"")</f>
        <v>34834</v>
      </c>
      <c r="R450" s="4">
        <f>参数!$B$10</f>
        <v>4</v>
      </c>
      <c r="S450" s="4">
        <f>参数!$C$10</f>
        <v>1.2</v>
      </c>
      <c r="T450" s="4">
        <f>参数!$D$10</f>
        <v>1</v>
      </c>
      <c r="U450" s="4">
        <f t="shared" si="42"/>
        <v>2534280</v>
      </c>
      <c r="V450" s="4">
        <f t="shared" si="43"/>
        <v>42082.8</v>
      </c>
      <c r="W450" s="4">
        <f t="shared" si="44"/>
        <v>34834</v>
      </c>
      <c r="X450" s="4">
        <f>IFERROR(INDEX(参数!$B$5:$B$7,MATCH($N450,参数!$A$5:$A$7,0)),"")</f>
        <v>1.5</v>
      </c>
      <c r="Y450" s="4">
        <f>IFERROR(INDEX(参数!$C$5:$C$7,MATCH($N450,参数!$A$5:$A$7,0)),"")</f>
        <v>1</v>
      </c>
      <c r="Z450" s="4">
        <f>IFERROR(INDEX(参数!$D$5:$D$7,MATCH($N450,参数!$A$5:$A$7,0)),"")</f>
        <v>1.5</v>
      </c>
      <c r="AA450" s="4">
        <f>IFERROR(INDEX(楼层配置!$E$5:$E$104,MATCH($K450,楼层配置!$B$5:$B$104,0)),1)</f>
        <v>1</v>
      </c>
      <c r="AB450" s="4">
        <f>IFERROR(INDEX(楼层配置!$F$5:$F$104,MATCH($K450,楼层配置!$B$5:$B$104,0)),1)</f>
        <v>1</v>
      </c>
      <c r="AC450" s="4">
        <f>IFERROR(INDEX(楼层配置!$G$5:$G$104,MATCH($K450,楼层配置!$B$5:$B$104,0)),1)</f>
        <v>1</v>
      </c>
      <c r="AD450" s="6">
        <f t="shared" si="45"/>
        <v>-0.280752657146506</v>
      </c>
      <c r="AE450" s="6">
        <f t="shared" si="46"/>
        <v>-0.113612907302483</v>
      </c>
      <c r="AF450" s="6">
        <f t="shared" si="47"/>
        <v>0.16141723532419</v>
      </c>
      <c r="AG450" s="4" t="str">
        <f t="shared" si="48"/>
        <v>有效</v>
      </c>
    </row>
    <row r="451" ht="14.25" customHeight="1" spans="1:33">
      <c r="A451" s="4">
        <v>447</v>
      </c>
      <c r="B451" s="4">
        <v>1005</v>
      </c>
      <c r="C451" s="4">
        <v>55</v>
      </c>
      <c r="D451" s="5">
        <f>IFERROR(ROUND($U451*$X451*$AA451*参数!$B$13,0),"")</f>
        <v>2534280</v>
      </c>
      <c r="E451" s="5">
        <f>IFERROR(ROUND($V451*$Y451*$AB451*参数!$C$13,0),"")</f>
        <v>50499</v>
      </c>
      <c r="F451" s="5">
        <f>IFERROR(ROUND($W451*$Z451*$AC451*参数!$D$13,0),"")</f>
        <v>34834</v>
      </c>
      <c r="G451" s="4">
        <v>3523516</v>
      </c>
      <c r="H451" s="4">
        <v>56972</v>
      </c>
      <c r="I451" s="4">
        <v>29992</v>
      </c>
      <c r="J451" s="4">
        <v>90</v>
      </c>
      <c r="K451" s="4">
        <v>90</v>
      </c>
      <c r="L451" s="4">
        <f>IFERROR(INDEX(楼层配置!$D$5:$D$104,MATCH($K451,楼层配置!$B$5:$B$104,0)),"")</f>
        <v>360</v>
      </c>
      <c r="M451" s="4" t="str">
        <f>IFERROR(INDEX(_角色基线!$B$2:$B$100,MATCH($B451,_角色基线!$A$2:$A$100,0)),"")</f>
        <v>陈单单</v>
      </c>
      <c r="N451" s="4" t="str">
        <f>IFERROR(INDEX(_角色基线!$C$2:$C$100,MATCH($B451,_角色基线!$A$2:$A$100,0)),"")</f>
        <v>DPS</v>
      </c>
      <c r="O451" s="4">
        <f>IFERROR(INDEX(_怪物基线!$B$2:$B$501,MATCH(INT($L451),_怪物基线!$A$2:$A$501,0)),"")</f>
        <v>633570</v>
      </c>
      <c r="P451" s="4">
        <f>IFERROR(INDEX(_怪物基线!$C$2:$C$501,MATCH(INT($L451),_怪物基线!$A$2:$A$501,0)),"")</f>
        <v>35069</v>
      </c>
      <c r="Q451" s="4">
        <f>IFERROR(INDEX(_怪物基线!$D$2:$D$501,MATCH(INT($L451),_怪物基线!$A$2:$A$501,0)),"")</f>
        <v>34834</v>
      </c>
      <c r="R451" s="4">
        <f>参数!$B$10</f>
        <v>4</v>
      </c>
      <c r="S451" s="4">
        <f>参数!$C$10</f>
        <v>1.2</v>
      </c>
      <c r="T451" s="4">
        <f>参数!$D$10</f>
        <v>1</v>
      </c>
      <c r="U451" s="4">
        <f t="shared" si="42"/>
        <v>2534280</v>
      </c>
      <c r="V451" s="4">
        <f t="shared" si="43"/>
        <v>42082.8</v>
      </c>
      <c r="W451" s="4">
        <f t="shared" si="44"/>
        <v>34834</v>
      </c>
      <c r="X451" s="4">
        <f>IFERROR(INDEX(参数!$B$5:$B$7,MATCH($N451,参数!$A$5:$A$7,0)),"")</f>
        <v>1</v>
      </c>
      <c r="Y451" s="4">
        <f>IFERROR(INDEX(参数!$C$5:$C$7,MATCH($N451,参数!$A$5:$A$7,0)),"")</f>
        <v>1.2</v>
      </c>
      <c r="Z451" s="4">
        <f>IFERROR(INDEX(参数!$D$5:$D$7,MATCH($N451,参数!$A$5:$A$7,0)),"")</f>
        <v>1</v>
      </c>
      <c r="AA451" s="4">
        <f>IFERROR(INDEX(楼层配置!$E$5:$E$104,MATCH($K451,楼层配置!$B$5:$B$104,0)),1)</f>
        <v>1</v>
      </c>
      <c r="AB451" s="4">
        <f>IFERROR(INDEX(楼层配置!$F$5:$F$104,MATCH($K451,楼层配置!$B$5:$B$104,0)),1)</f>
        <v>1</v>
      </c>
      <c r="AC451" s="4">
        <f>IFERROR(INDEX(楼层配置!$G$5:$G$104,MATCH($K451,楼层配置!$B$5:$B$104,0)),1)</f>
        <v>1</v>
      </c>
      <c r="AD451" s="6">
        <f t="shared" si="45"/>
        <v>-0.280752521061349</v>
      </c>
      <c r="AE451" s="6">
        <f t="shared" si="46"/>
        <v>-0.113617215474268</v>
      </c>
      <c r="AF451" s="6">
        <f t="shared" si="47"/>
        <v>0.161443051480395</v>
      </c>
      <c r="AG451" s="4" t="str">
        <f t="shared" si="48"/>
        <v>有效</v>
      </c>
    </row>
    <row r="452" ht="14.25" customHeight="1" spans="1:33">
      <c r="A452" s="4">
        <v>448</v>
      </c>
      <c r="B452" s="4">
        <v>1005</v>
      </c>
      <c r="C452" s="4">
        <v>55</v>
      </c>
      <c r="D452" s="5">
        <f>IFERROR(ROUND($U452*$X452*$AA452*参数!$B$13,0),"")</f>
        <v>2534280</v>
      </c>
      <c r="E452" s="5">
        <f>IFERROR(ROUND($V452*$Y452*$AB452*参数!$C$13,0),"")</f>
        <v>50499</v>
      </c>
      <c r="F452" s="5">
        <f>IFERROR(ROUND($W452*$Z452*$AC452*参数!$D$13,0),"")</f>
        <v>34834</v>
      </c>
      <c r="G452" s="4">
        <v>3523516</v>
      </c>
      <c r="H452" s="4">
        <v>56972</v>
      </c>
      <c r="I452" s="4">
        <v>29992</v>
      </c>
      <c r="J452" s="4">
        <v>90</v>
      </c>
      <c r="K452" s="4">
        <v>90</v>
      </c>
      <c r="L452" s="4">
        <f>IFERROR(INDEX(楼层配置!$D$5:$D$104,MATCH($K452,楼层配置!$B$5:$B$104,0)),"")</f>
        <v>360</v>
      </c>
      <c r="M452" s="4" t="str">
        <f>IFERROR(INDEX(_角色基线!$B$2:$B$100,MATCH($B452,_角色基线!$A$2:$A$100,0)),"")</f>
        <v>陈单单</v>
      </c>
      <c r="N452" s="4" t="str">
        <f>IFERROR(INDEX(_角色基线!$C$2:$C$100,MATCH($B452,_角色基线!$A$2:$A$100,0)),"")</f>
        <v>DPS</v>
      </c>
      <c r="O452" s="4">
        <f>IFERROR(INDEX(_怪物基线!$B$2:$B$501,MATCH(INT($L452),_怪物基线!$A$2:$A$501,0)),"")</f>
        <v>633570</v>
      </c>
      <c r="P452" s="4">
        <f>IFERROR(INDEX(_怪物基线!$C$2:$C$501,MATCH(INT($L452),_怪物基线!$A$2:$A$501,0)),"")</f>
        <v>35069</v>
      </c>
      <c r="Q452" s="4">
        <f>IFERROR(INDEX(_怪物基线!$D$2:$D$501,MATCH(INT($L452),_怪物基线!$A$2:$A$501,0)),"")</f>
        <v>34834</v>
      </c>
      <c r="R452" s="4">
        <f>参数!$B$10</f>
        <v>4</v>
      </c>
      <c r="S452" s="4">
        <f>参数!$C$10</f>
        <v>1.2</v>
      </c>
      <c r="T452" s="4">
        <f>参数!$D$10</f>
        <v>1</v>
      </c>
      <c r="U452" s="4">
        <f t="shared" si="42"/>
        <v>2534280</v>
      </c>
      <c r="V452" s="4">
        <f t="shared" si="43"/>
        <v>42082.8</v>
      </c>
      <c r="W452" s="4">
        <f t="shared" si="44"/>
        <v>34834</v>
      </c>
      <c r="X452" s="4">
        <f>IFERROR(INDEX(参数!$B$5:$B$7,MATCH($N452,参数!$A$5:$A$7,0)),"")</f>
        <v>1</v>
      </c>
      <c r="Y452" s="4">
        <f>IFERROR(INDEX(参数!$C$5:$C$7,MATCH($N452,参数!$A$5:$A$7,0)),"")</f>
        <v>1.2</v>
      </c>
      <c r="Z452" s="4">
        <f>IFERROR(INDEX(参数!$D$5:$D$7,MATCH($N452,参数!$A$5:$A$7,0)),"")</f>
        <v>1</v>
      </c>
      <c r="AA452" s="4">
        <f>IFERROR(INDEX(楼层配置!$E$5:$E$104,MATCH($K452,楼层配置!$B$5:$B$104,0)),1)</f>
        <v>1</v>
      </c>
      <c r="AB452" s="4">
        <f>IFERROR(INDEX(楼层配置!$F$5:$F$104,MATCH($K452,楼层配置!$B$5:$B$104,0)),1)</f>
        <v>1</v>
      </c>
      <c r="AC452" s="4">
        <f>IFERROR(INDEX(楼层配置!$G$5:$G$104,MATCH($K452,楼层配置!$B$5:$B$104,0)),1)</f>
        <v>1</v>
      </c>
      <c r="AD452" s="6">
        <f t="shared" si="45"/>
        <v>-0.280752521061349</v>
      </c>
      <c r="AE452" s="6">
        <f t="shared" si="46"/>
        <v>-0.113617215474268</v>
      </c>
      <c r="AF452" s="6">
        <f t="shared" si="47"/>
        <v>0.161443051480395</v>
      </c>
      <c r="AG452" s="4" t="str">
        <f t="shared" si="48"/>
        <v>有效</v>
      </c>
    </row>
    <row r="453" ht="14.25" customHeight="1" spans="1:33">
      <c r="A453" s="4">
        <v>449</v>
      </c>
      <c r="B453" s="4">
        <v>1029</v>
      </c>
      <c r="C453" s="4">
        <v>55</v>
      </c>
      <c r="D453" s="5">
        <f>IFERROR(ROUND($U453*$X453*$AA453*参数!$B$13,0),"")</f>
        <v>3167850</v>
      </c>
      <c r="E453" s="5">
        <f>IFERROR(ROUND($V453*$Y453*$AB453*参数!$C$13,0),"")</f>
        <v>42083</v>
      </c>
      <c r="F453" s="5">
        <f>IFERROR(ROUND($W453*$Z453*$AC453*参数!$D$13,0),"")</f>
        <v>43543</v>
      </c>
      <c r="G453" s="4">
        <v>4404396</v>
      </c>
      <c r="H453" s="4">
        <v>47477</v>
      </c>
      <c r="I453" s="4">
        <v>37491</v>
      </c>
      <c r="J453" s="4">
        <v>90</v>
      </c>
      <c r="K453" s="4">
        <v>90</v>
      </c>
      <c r="L453" s="4">
        <f>IFERROR(INDEX(楼层配置!$D$5:$D$104,MATCH($K453,楼层配置!$B$5:$B$104,0)),"")</f>
        <v>360</v>
      </c>
      <c r="M453" s="4" t="str">
        <f>IFERROR(INDEX(_角色基线!$B$2:$B$100,MATCH($B453,_角色基线!$A$2:$A$100,0)),"")</f>
        <v>凯兰</v>
      </c>
      <c r="N453" s="4" t="str">
        <f>IFERROR(INDEX(_角色基线!$C$2:$C$100,MATCH($B453,_角色基线!$A$2:$A$100,0)),"")</f>
        <v>Support</v>
      </c>
      <c r="O453" s="4">
        <f>IFERROR(INDEX(_怪物基线!$B$2:$B$501,MATCH(INT($L453),_怪物基线!$A$2:$A$501,0)),"")</f>
        <v>633570</v>
      </c>
      <c r="P453" s="4">
        <f>IFERROR(INDEX(_怪物基线!$C$2:$C$501,MATCH(INT($L453),_怪物基线!$A$2:$A$501,0)),"")</f>
        <v>35069</v>
      </c>
      <c r="Q453" s="4">
        <f>IFERROR(INDEX(_怪物基线!$D$2:$D$501,MATCH(INT($L453),_怪物基线!$A$2:$A$501,0)),"")</f>
        <v>34834</v>
      </c>
      <c r="R453" s="4">
        <f>参数!$B$10</f>
        <v>4</v>
      </c>
      <c r="S453" s="4">
        <f>参数!$C$10</f>
        <v>1.2</v>
      </c>
      <c r="T453" s="4">
        <f>参数!$D$10</f>
        <v>1</v>
      </c>
      <c r="U453" s="4">
        <f t="shared" ref="U453:U504" si="49">IF($O453="","",$O453*$R453)</f>
        <v>2534280</v>
      </c>
      <c r="V453" s="4">
        <f t="shared" ref="V453:V504" si="50">IF($P453="","",$P453*$S453)</f>
        <v>42082.8</v>
      </c>
      <c r="W453" s="4">
        <f t="shared" ref="W453:W504" si="51">IF($Q453="","",$Q453*$T453)</f>
        <v>34834</v>
      </c>
      <c r="X453" s="4">
        <f>IFERROR(INDEX(参数!$B$5:$B$7,MATCH($N453,参数!$A$5:$A$7,0)),"")</f>
        <v>1.25</v>
      </c>
      <c r="Y453" s="4">
        <f>IFERROR(INDEX(参数!$C$5:$C$7,MATCH($N453,参数!$A$5:$A$7,0)),"")</f>
        <v>1</v>
      </c>
      <c r="Z453" s="4">
        <f>IFERROR(INDEX(参数!$D$5:$D$7,MATCH($N453,参数!$A$5:$A$7,0)),"")</f>
        <v>1.25</v>
      </c>
      <c r="AA453" s="4">
        <f>IFERROR(INDEX(楼层配置!$E$5:$E$104,MATCH($K453,楼层配置!$B$5:$B$104,0)),1)</f>
        <v>1</v>
      </c>
      <c r="AB453" s="4">
        <f>IFERROR(INDEX(楼层配置!$F$5:$F$104,MATCH($K453,楼层配置!$B$5:$B$104,0)),1)</f>
        <v>1</v>
      </c>
      <c r="AC453" s="4">
        <f>IFERROR(INDEX(楼层配置!$G$5:$G$104,MATCH($K453,楼层配置!$B$5:$B$104,0)),1)</f>
        <v>1</v>
      </c>
      <c r="AD453" s="6">
        <f t="shared" ref="AD453:AD504" si="52">IFERROR($D453/$G453-1,"")</f>
        <v>-0.280752684363531</v>
      </c>
      <c r="AE453" s="6">
        <f t="shared" ref="AE453:AE504" si="53">IFERROR($E453/$H453-1,"")</f>
        <v>-0.113612907302483</v>
      </c>
      <c r="AF453" s="6">
        <f t="shared" ref="AF453:AF504" si="54">IFERROR($F453/$I453-1,"")</f>
        <v>0.16142540876477</v>
      </c>
      <c r="AG453" s="4" t="str">
        <f t="shared" ref="AG453:AG504" si="55">IF(AND($A453&gt;=1,$L453&gt;=1,$L453&lt;=500,OR($N453="Tank",$N453="DPS",$N453="Support"),ISNUMBER($D453),ISNUMBER($E453),ISNUMBER($F453)),"有效","异常")</f>
        <v>有效</v>
      </c>
    </row>
    <row r="454" ht="14.25" customHeight="1" spans="1:33">
      <c r="A454" s="4">
        <v>450</v>
      </c>
      <c r="B454" s="4">
        <v>1007</v>
      </c>
      <c r="C454" s="4">
        <v>55</v>
      </c>
      <c r="D454" s="5">
        <f>IFERROR(ROUND($U454*$X454*$AA454*参数!$B$13,0),"")</f>
        <v>3167850</v>
      </c>
      <c r="E454" s="5">
        <f>IFERROR(ROUND($V454*$Y454*$AB454*参数!$C$13,0),"")</f>
        <v>42083</v>
      </c>
      <c r="F454" s="5">
        <f>IFERROR(ROUND($W454*$Z454*$AC454*参数!$D$13,0),"")</f>
        <v>43543</v>
      </c>
      <c r="G454" s="4">
        <v>4404396</v>
      </c>
      <c r="H454" s="4">
        <v>47477</v>
      </c>
      <c r="I454" s="4">
        <v>37491</v>
      </c>
      <c r="J454" s="4">
        <v>90</v>
      </c>
      <c r="K454" s="4">
        <v>90</v>
      </c>
      <c r="L454" s="4">
        <f>IFERROR(INDEX(楼层配置!$D$5:$D$104,MATCH($K454,楼层配置!$B$5:$B$104,0)),"")</f>
        <v>360</v>
      </c>
      <c r="M454" s="4" t="str">
        <f>IFERROR(INDEX(_角色基线!$B$2:$B$100,MATCH($B454,_角色基线!$A$2:$A$100,0)),"")</f>
        <v>萨萨莉安</v>
      </c>
      <c r="N454" s="4" t="str">
        <f>IFERROR(INDEX(_角色基线!$C$2:$C$100,MATCH($B454,_角色基线!$A$2:$A$100,0)),"")</f>
        <v>Support</v>
      </c>
      <c r="O454" s="4">
        <f>IFERROR(INDEX(_怪物基线!$B$2:$B$501,MATCH(INT($L454),_怪物基线!$A$2:$A$501,0)),"")</f>
        <v>633570</v>
      </c>
      <c r="P454" s="4">
        <f>IFERROR(INDEX(_怪物基线!$C$2:$C$501,MATCH(INT($L454),_怪物基线!$A$2:$A$501,0)),"")</f>
        <v>35069</v>
      </c>
      <c r="Q454" s="4">
        <f>IFERROR(INDEX(_怪物基线!$D$2:$D$501,MATCH(INT($L454),_怪物基线!$A$2:$A$501,0)),"")</f>
        <v>34834</v>
      </c>
      <c r="R454" s="4">
        <f>参数!$B$10</f>
        <v>4</v>
      </c>
      <c r="S454" s="4">
        <f>参数!$C$10</f>
        <v>1.2</v>
      </c>
      <c r="T454" s="4">
        <f>参数!$D$10</f>
        <v>1</v>
      </c>
      <c r="U454" s="4">
        <f t="shared" si="49"/>
        <v>2534280</v>
      </c>
      <c r="V454" s="4">
        <f t="shared" si="50"/>
        <v>42082.8</v>
      </c>
      <c r="W454" s="4">
        <f t="shared" si="51"/>
        <v>34834</v>
      </c>
      <c r="X454" s="4">
        <f>IFERROR(INDEX(参数!$B$5:$B$7,MATCH($N454,参数!$A$5:$A$7,0)),"")</f>
        <v>1.25</v>
      </c>
      <c r="Y454" s="4">
        <f>IFERROR(INDEX(参数!$C$5:$C$7,MATCH($N454,参数!$A$5:$A$7,0)),"")</f>
        <v>1</v>
      </c>
      <c r="Z454" s="4">
        <f>IFERROR(INDEX(参数!$D$5:$D$7,MATCH($N454,参数!$A$5:$A$7,0)),"")</f>
        <v>1.25</v>
      </c>
      <c r="AA454" s="4">
        <f>IFERROR(INDEX(楼层配置!$E$5:$E$104,MATCH($K454,楼层配置!$B$5:$B$104,0)),1)</f>
        <v>1</v>
      </c>
      <c r="AB454" s="4">
        <f>IFERROR(INDEX(楼层配置!$F$5:$F$104,MATCH($K454,楼层配置!$B$5:$B$104,0)),1)</f>
        <v>1</v>
      </c>
      <c r="AC454" s="4">
        <f>IFERROR(INDEX(楼层配置!$G$5:$G$104,MATCH($K454,楼层配置!$B$5:$B$104,0)),1)</f>
        <v>1</v>
      </c>
      <c r="AD454" s="6">
        <f t="shared" si="52"/>
        <v>-0.280752684363531</v>
      </c>
      <c r="AE454" s="6">
        <f t="shared" si="53"/>
        <v>-0.113612907302483</v>
      </c>
      <c r="AF454" s="6">
        <f t="shared" si="54"/>
        <v>0.16142540876477</v>
      </c>
      <c r="AG454" s="4" t="str">
        <f t="shared" si="55"/>
        <v>有效</v>
      </c>
    </row>
    <row r="455" ht="14.25" customHeight="1" spans="1:33">
      <c r="A455" s="4">
        <v>451</v>
      </c>
      <c r="B455" s="4">
        <v>1003</v>
      </c>
      <c r="C455" s="4">
        <v>55</v>
      </c>
      <c r="D455" s="5">
        <f>IFERROR(ROUND($U455*$X455*$AA455*参数!$B$13,0),"")</f>
        <v>3831510</v>
      </c>
      <c r="E455" s="5">
        <f>IFERROR(ROUND($V455*$Y455*$AB455*参数!$C$13,0),"")</f>
        <v>42352</v>
      </c>
      <c r="F455" s="5">
        <f>IFERROR(ROUND($W455*$Z455*$AC455*参数!$D$13,0),"")</f>
        <v>52458</v>
      </c>
      <c r="G455" s="4">
        <v>5448031</v>
      </c>
      <c r="H455" s="4">
        <v>48692</v>
      </c>
      <c r="I455" s="4">
        <v>45673</v>
      </c>
      <c r="J455" s="4">
        <v>91</v>
      </c>
      <c r="K455" s="4">
        <v>91</v>
      </c>
      <c r="L455" s="4">
        <f>IFERROR(INDEX(楼层配置!$D$5:$D$104,MATCH($K455,楼层配置!$B$5:$B$104,0)),"")</f>
        <v>361</v>
      </c>
      <c r="M455" s="4" t="str">
        <f>IFERROR(INDEX(_角色基线!$B$2:$B$100,MATCH($B455,_角色基线!$A$2:$A$100,0)),"")</f>
        <v>塔拉夏</v>
      </c>
      <c r="N455" s="4" t="str">
        <f>IFERROR(INDEX(_角色基线!$C$2:$C$100,MATCH($B455,_角色基线!$A$2:$A$100,0)),"")</f>
        <v>Tank</v>
      </c>
      <c r="O455" s="4">
        <f>IFERROR(INDEX(_怪物基线!$B$2:$B$501,MATCH(INT($L455),_怪物基线!$A$2:$A$501,0)),"")</f>
        <v>638585</v>
      </c>
      <c r="P455" s="4">
        <f>IFERROR(INDEX(_怪物基线!$C$2:$C$501,MATCH(INT($L455),_怪物基线!$A$2:$A$501,0)),"")</f>
        <v>35293</v>
      </c>
      <c r="Q455" s="4">
        <f>IFERROR(INDEX(_怪物基线!$D$2:$D$501,MATCH(INT($L455),_怪物基线!$A$2:$A$501,0)),"")</f>
        <v>34972</v>
      </c>
      <c r="R455" s="4">
        <f>参数!$B$10</f>
        <v>4</v>
      </c>
      <c r="S455" s="4">
        <f>参数!$C$10</f>
        <v>1.2</v>
      </c>
      <c r="T455" s="4">
        <f>参数!$D$10</f>
        <v>1</v>
      </c>
      <c r="U455" s="4">
        <f t="shared" si="49"/>
        <v>2554340</v>
      </c>
      <c r="V455" s="4">
        <f t="shared" si="50"/>
        <v>42351.6</v>
      </c>
      <c r="W455" s="4">
        <f t="shared" si="51"/>
        <v>34972</v>
      </c>
      <c r="X455" s="4">
        <f>IFERROR(INDEX(参数!$B$5:$B$7,MATCH($N455,参数!$A$5:$A$7,0)),"")</f>
        <v>1.5</v>
      </c>
      <c r="Y455" s="4">
        <f>IFERROR(INDEX(参数!$C$5:$C$7,MATCH($N455,参数!$A$5:$A$7,0)),"")</f>
        <v>1</v>
      </c>
      <c r="Z455" s="4">
        <f>IFERROR(INDEX(参数!$D$5:$D$7,MATCH($N455,参数!$A$5:$A$7,0)),"")</f>
        <v>1.5</v>
      </c>
      <c r="AA455" s="4">
        <f>IFERROR(INDEX(楼层配置!$E$5:$E$104,MATCH($K455,楼层配置!$B$5:$B$104,0)),1)</f>
        <v>1</v>
      </c>
      <c r="AB455" s="4">
        <f>IFERROR(INDEX(楼层配置!$F$5:$F$104,MATCH($K455,楼层配置!$B$5:$B$104,0)),1)</f>
        <v>1</v>
      </c>
      <c r="AC455" s="4">
        <f>IFERROR(INDEX(楼层配置!$G$5:$G$104,MATCH($K455,楼层配置!$B$5:$B$104,0)),1)</f>
        <v>1</v>
      </c>
      <c r="AD455" s="6">
        <f t="shared" si="52"/>
        <v>-0.29671655686247</v>
      </c>
      <c r="AE455" s="6">
        <f t="shared" si="53"/>
        <v>-0.130206194035981</v>
      </c>
      <c r="AF455" s="6">
        <f t="shared" si="54"/>
        <v>0.14855603967333</v>
      </c>
      <c r="AG455" s="4" t="str">
        <f t="shared" si="55"/>
        <v>有效</v>
      </c>
    </row>
    <row r="456" ht="14.25" customHeight="1" spans="1:33">
      <c r="A456" s="4">
        <v>452</v>
      </c>
      <c r="B456" s="4">
        <v>1007</v>
      </c>
      <c r="C456" s="4">
        <v>55</v>
      </c>
      <c r="D456" s="5">
        <f>IFERROR(ROUND($U456*$X456*$AA456*参数!$B$13,0),"")</f>
        <v>3192925</v>
      </c>
      <c r="E456" s="5">
        <f>IFERROR(ROUND($V456*$Y456*$AB456*参数!$C$13,0),"")</f>
        <v>42352</v>
      </c>
      <c r="F456" s="5">
        <f>IFERROR(ROUND($W456*$Z456*$AC456*参数!$D$13,0),"")</f>
        <v>43715</v>
      </c>
      <c r="G456" s="4">
        <v>4540026</v>
      </c>
      <c r="H456" s="4">
        <v>48692</v>
      </c>
      <c r="I456" s="4">
        <v>38061</v>
      </c>
      <c r="J456" s="4">
        <v>91</v>
      </c>
      <c r="K456" s="4">
        <v>91</v>
      </c>
      <c r="L456" s="4">
        <f>IFERROR(INDEX(楼层配置!$D$5:$D$104,MATCH($K456,楼层配置!$B$5:$B$104,0)),"")</f>
        <v>361</v>
      </c>
      <c r="M456" s="4" t="str">
        <f>IFERROR(INDEX(_角色基线!$B$2:$B$100,MATCH($B456,_角色基线!$A$2:$A$100,0)),"")</f>
        <v>萨萨莉安</v>
      </c>
      <c r="N456" s="4" t="str">
        <f>IFERROR(INDEX(_角色基线!$C$2:$C$100,MATCH($B456,_角色基线!$A$2:$A$100,0)),"")</f>
        <v>Support</v>
      </c>
      <c r="O456" s="4">
        <f>IFERROR(INDEX(_怪物基线!$B$2:$B$501,MATCH(INT($L456),_怪物基线!$A$2:$A$501,0)),"")</f>
        <v>638585</v>
      </c>
      <c r="P456" s="4">
        <f>IFERROR(INDEX(_怪物基线!$C$2:$C$501,MATCH(INT($L456),_怪物基线!$A$2:$A$501,0)),"")</f>
        <v>35293</v>
      </c>
      <c r="Q456" s="4">
        <f>IFERROR(INDEX(_怪物基线!$D$2:$D$501,MATCH(INT($L456),_怪物基线!$A$2:$A$501,0)),"")</f>
        <v>34972</v>
      </c>
      <c r="R456" s="4">
        <f>参数!$B$10</f>
        <v>4</v>
      </c>
      <c r="S456" s="4">
        <f>参数!$C$10</f>
        <v>1.2</v>
      </c>
      <c r="T456" s="4">
        <f>参数!$D$10</f>
        <v>1</v>
      </c>
      <c r="U456" s="4">
        <f t="shared" si="49"/>
        <v>2554340</v>
      </c>
      <c r="V456" s="4">
        <f t="shared" si="50"/>
        <v>42351.6</v>
      </c>
      <c r="W456" s="4">
        <f t="shared" si="51"/>
        <v>34972</v>
      </c>
      <c r="X456" s="4">
        <f>IFERROR(INDEX(参数!$B$5:$B$7,MATCH($N456,参数!$A$5:$A$7,0)),"")</f>
        <v>1.25</v>
      </c>
      <c r="Y456" s="4">
        <f>IFERROR(INDEX(参数!$C$5:$C$7,MATCH($N456,参数!$A$5:$A$7,0)),"")</f>
        <v>1</v>
      </c>
      <c r="Z456" s="4">
        <f>IFERROR(INDEX(参数!$D$5:$D$7,MATCH($N456,参数!$A$5:$A$7,0)),"")</f>
        <v>1.25</v>
      </c>
      <c r="AA456" s="4">
        <f>IFERROR(INDEX(楼层配置!$E$5:$E$104,MATCH($K456,楼层配置!$B$5:$B$104,0)),1)</f>
        <v>1</v>
      </c>
      <c r="AB456" s="4">
        <f>IFERROR(INDEX(楼层配置!$F$5:$F$104,MATCH($K456,楼层配置!$B$5:$B$104,0)),1)</f>
        <v>1</v>
      </c>
      <c r="AC456" s="4">
        <f>IFERROR(INDEX(楼层配置!$G$5:$G$104,MATCH($K456,楼层配置!$B$5:$B$104,0)),1)</f>
        <v>1</v>
      </c>
      <c r="AD456" s="6">
        <f t="shared" si="52"/>
        <v>-0.296716582680363</v>
      </c>
      <c r="AE456" s="6">
        <f t="shared" si="53"/>
        <v>-0.130206194035981</v>
      </c>
      <c r="AF456" s="6">
        <f t="shared" si="54"/>
        <v>0.148551010220436</v>
      </c>
      <c r="AG456" s="4" t="str">
        <f t="shared" si="55"/>
        <v>有效</v>
      </c>
    </row>
    <row r="457" ht="14.25" customHeight="1" spans="1:33">
      <c r="A457" s="4">
        <v>453</v>
      </c>
      <c r="B457" s="4">
        <v>1006</v>
      </c>
      <c r="C457" s="4">
        <v>55</v>
      </c>
      <c r="D457" s="5">
        <f>IFERROR(ROUND($U457*$X457*$AA457*参数!$B$13,0),"")</f>
        <v>2554340</v>
      </c>
      <c r="E457" s="5">
        <f>IFERROR(ROUND($V457*$Y457*$AB457*参数!$C$13,0),"")</f>
        <v>50822</v>
      </c>
      <c r="F457" s="5">
        <f>IFERROR(ROUND($W457*$Z457*$AC457*参数!$D$13,0),"")</f>
        <v>34972</v>
      </c>
      <c r="G457" s="4">
        <v>3632020</v>
      </c>
      <c r="H457" s="4">
        <v>58430</v>
      </c>
      <c r="I457" s="4">
        <v>30448</v>
      </c>
      <c r="J457" s="4">
        <v>91</v>
      </c>
      <c r="K457" s="4">
        <v>91</v>
      </c>
      <c r="L457" s="4">
        <f>IFERROR(INDEX(楼层配置!$D$5:$D$104,MATCH($K457,楼层配置!$B$5:$B$104,0)),"")</f>
        <v>361</v>
      </c>
      <c r="M457" s="4" t="str">
        <f>IFERROR(INDEX(_角色基线!$B$2:$B$100,MATCH($B457,_角色基线!$A$2:$A$100,0)),"")</f>
        <v>莉莉娅</v>
      </c>
      <c r="N457" s="4" t="str">
        <f>IFERROR(INDEX(_角色基线!$C$2:$C$100,MATCH($B457,_角色基线!$A$2:$A$100,0)),"")</f>
        <v>DPS</v>
      </c>
      <c r="O457" s="4">
        <f>IFERROR(INDEX(_怪物基线!$B$2:$B$501,MATCH(INT($L457),_怪物基线!$A$2:$A$501,0)),"")</f>
        <v>638585</v>
      </c>
      <c r="P457" s="4">
        <f>IFERROR(INDEX(_怪物基线!$C$2:$C$501,MATCH(INT($L457),_怪物基线!$A$2:$A$501,0)),"")</f>
        <v>35293</v>
      </c>
      <c r="Q457" s="4">
        <f>IFERROR(INDEX(_怪物基线!$D$2:$D$501,MATCH(INT($L457),_怪物基线!$A$2:$A$501,0)),"")</f>
        <v>34972</v>
      </c>
      <c r="R457" s="4">
        <f>参数!$B$10</f>
        <v>4</v>
      </c>
      <c r="S457" s="4">
        <f>参数!$C$10</f>
        <v>1.2</v>
      </c>
      <c r="T457" s="4">
        <f>参数!$D$10</f>
        <v>1</v>
      </c>
      <c r="U457" s="4">
        <f t="shared" si="49"/>
        <v>2554340</v>
      </c>
      <c r="V457" s="4">
        <f t="shared" si="50"/>
        <v>42351.6</v>
      </c>
      <c r="W457" s="4">
        <f t="shared" si="51"/>
        <v>34972</v>
      </c>
      <c r="X457" s="4">
        <f>IFERROR(INDEX(参数!$B$5:$B$7,MATCH($N457,参数!$A$5:$A$7,0)),"")</f>
        <v>1</v>
      </c>
      <c r="Y457" s="4">
        <f>IFERROR(INDEX(参数!$C$5:$C$7,MATCH($N457,参数!$A$5:$A$7,0)),"")</f>
        <v>1.2</v>
      </c>
      <c r="Z457" s="4">
        <f>IFERROR(INDEX(参数!$D$5:$D$7,MATCH($N457,参数!$A$5:$A$7,0)),"")</f>
        <v>1</v>
      </c>
      <c r="AA457" s="4">
        <f>IFERROR(INDEX(楼层配置!$E$5:$E$104,MATCH($K457,楼层配置!$B$5:$B$104,0)),1)</f>
        <v>1</v>
      </c>
      <c r="AB457" s="4">
        <f>IFERROR(INDEX(楼层配置!$F$5:$F$104,MATCH($K457,楼层配置!$B$5:$B$104,0)),1)</f>
        <v>1</v>
      </c>
      <c r="AC457" s="4">
        <f>IFERROR(INDEX(楼层配置!$G$5:$G$104,MATCH($K457,楼层配置!$B$5:$B$104,0)),1)</f>
        <v>1</v>
      </c>
      <c r="AD457" s="6">
        <f t="shared" si="52"/>
        <v>-0.296716427772975</v>
      </c>
      <c r="AE457" s="6">
        <f t="shared" si="53"/>
        <v>-0.130207085401335</v>
      </c>
      <c r="AF457" s="6">
        <f t="shared" si="54"/>
        <v>0.148581187598529</v>
      </c>
      <c r="AG457" s="4" t="str">
        <f t="shared" si="55"/>
        <v>有效</v>
      </c>
    </row>
    <row r="458" ht="14.25" customHeight="1" spans="1:33">
      <c r="A458" s="4">
        <v>454</v>
      </c>
      <c r="B458" s="4">
        <v>1017</v>
      </c>
      <c r="C458" s="4">
        <v>55</v>
      </c>
      <c r="D458" s="5">
        <f>IFERROR(ROUND($U458*$X458*$AA458*参数!$B$13,0),"")</f>
        <v>2554340</v>
      </c>
      <c r="E458" s="5">
        <f>IFERROR(ROUND($V458*$Y458*$AB458*参数!$C$13,0),"")</f>
        <v>50822</v>
      </c>
      <c r="F458" s="5">
        <f>IFERROR(ROUND($W458*$Z458*$AC458*参数!$D$13,0),"")</f>
        <v>34972</v>
      </c>
      <c r="G458" s="4">
        <v>3632020</v>
      </c>
      <c r="H458" s="4">
        <v>58430</v>
      </c>
      <c r="I458" s="4">
        <v>30448</v>
      </c>
      <c r="J458" s="4">
        <v>91</v>
      </c>
      <c r="K458" s="4">
        <v>91</v>
      </c>
      <c r="L458" s="4">
        <f>IFERROR(INDEX(楼层配置!$D$5:$D$104,MATCH($K458,楼层配置!$B$5:$B$104,0)),"")</f>
        <v>361</v>
      </c>
      <c r="M458" s="4" t="str">
        <f>IFERROR(INDEX(_角色基线!$B$2:$B$100,MATCH($B458,_角色基线!$A$2:$A$100,0)),"")</f>
        <v>伊戈尔</v>
      </c>
      <c r="N458" s="4" t="str">
        <f>IFERROR(INDEX(_角色基线!$C$2:$C$100,MATCH($B458,_角色基线!$A$2:$A$100,0)),"")</f>
        <v>DPS</v>
      </c>
      <c r="O458" s="4">
        <f>IFERROR(INDEX(_怪物基线!$B$2:$B$501,MATCH(INT($L458),_怪物基线!$A$2:$A$501,0)),"")</f>
        <v>638585</v>
      </c>
      <c r="P458" s="4">
        <f>IFERROR(INDEX(_怪物基线!$C$2:$C$501,MATCH(INT($L458),_怪物基线!$A$2:$A$501,0)),"")</f>
        <v>35293</v>
      </c>
      <c r="Q458" s="4">
        <f>IFERROR(INDEX(_怪物基线!$D$2:$D$501,MATCH(INT($L458),_怪物基线!$A$2:$A$501,0)),"")</f>
        <v>34972</v>
      </c>
      <c r="R458" s="4">
        <f>参数!$B$10</f>
        <v>4</v>
      </c>
      <c r="S458" s="4">
        <f>参数!$C$10</f>
        <v>1.2</v>
      </c>
      <c r="T458" s="4">
        <f>参数!$D$10</f>
        <v>1</v>
      </c>
      <c r="U458" s="4">
        <f t="shared" si="49"/>
        <v>2554340</v>
      </c>
      <c r="V458" s="4">
        <f t="shared" si="50"/>
        <v>42351.6</v>
      </c>
      <c r="W458" s="4">
        <f t="shared" si="51"/>
        <v>34972</v>
      </c>
      <c r="X458" s="4">
        <f>IFERROR(INDEX(参数!$B$5:$B$7,MATCH($N458,参数!$A$5:$A$7,0)),"")</f>
        <v>1</v>
      </c>
      <c r="Y458" s="4">
        <f>IFERROR(INDEX(参数!$C$5:$C$7,MATCH($N458,参数!$A$5:$A$7,0)),"")</f>
        <v>1.2</v>
      </c>
      <c r="Z458" s="4">
        <f>IFERROR(INDEX(参数!$D$5:$D$7,MATCH($N458,参数!$A$5:$A$7,0)),"")</f>
        <v>1</v>
      </c>
      <c r="AA458" s="4">
        <f>IFERROR(INDEX(楼层配置!$E$5:$E$104,MATCH($K458,楼层配置!$B$5:$B$104,0)),1)</f>
        <v>1</v>
      </c>
      <c r="AB458" s="4">
        <f>IFERROR(INDEX(楼层配置!$F$5:$F$104,MATCH($K458,楼层配置!$B$5:$B$104,0)),1)</f>
        <v>1</v>
      </c>
      <c r="AC458" s="4">
        <f>IFERROR(INDEX(楼层配置!$G$5:$G$104,MATCH($K458,楼层配置!$B$5:$B$104,0)),1)</f>
        <v>1</v>
      </c>
      <c r="AD458" s="6">
        <f t="shared" si="52"/>
        <v>-0.296716427772975</v>
      </c>
      <c r="AE458" s="6">
        <f t="shared" si="53"/>
        <v>-0.130207085401335</v>
      </c>
      <c r="AF458" s="6">
        <f t="shared" si="54"/>
        <v>0.148581187598529</v>
      </c>
      <c r="AG458" s="4" t="str">
        <f t="shared" si="55"/>
        <v>有效</v>
      </c>
    </row>
    <row r="459" ht="14.25" customHeight="1" spans="1:33">
      <c r="A459" s="4">
        <v>455</v>
      </c>
      <c r="B459" s="4">
        <v>1013</v>
      </c>
      <c r="C459" s="4">
        <v>55</v>
      </c>
      <c r="D459" s="5">
        <f>IFERROR(ROUND($U459*$X459*$AA459*参数!$B$13,0),"")</f>
        <v>2554340</v>
      </c>
      <c r="E459" s="5">
        <f>IFERROR(ROUND($V459*$Y459*$AB459*参数!$C$13,0),"")</f>
        <v>50822</v>
      </c>
      <c r="F459" s="5">
        <f>IFERROR(ROUND($W459*$Z459*$AC459*参数!$D$13,0),"")</f>
        <v>34972</v>
      </c>
      <c r="G459" s="4">
        <v>3632020</v>
      </c>
      <c r="H459" s="4">
        <v>58430</v>
      </c>
      <c r="I459" s="4">
        <v>30448</v>
      </c>
      <c r="J459" s="4">
        <v>91</v>
      </c>
      <c r="K459" s="4">
        <v>91</v>
      </c>
      <c r="L459" s="4">
        <f>IFERROR(INDEX(楼层配置!$D$5:$D$104,MATCH($K459,楼层配置!$B$5:$B$104,0)),"")</f>
        <v>361</v>
      </c>
      <c r="M459" s="4" t="str">
        <f>IFERROR(INDEX(_角色基线!$B$2:$B$100,MATCH($B459,_角色基线!$A$2:$A$100,0)),"")</f>
        <v>夏缇拉</v>
      </c>
      <c r="N459" s="4" t="str">
        <f>IFERROR(INDEX(_角色基线!$C$2:$C$100,MATCH($B459,_角色基线!$A$2:$A$100,0)),"")</f>
        <v>DPS</v>
      </c>
      <c r="O459" s="4">
        <f>IFERROR(INDEX(_怪物基线!$B$2:$B$501,MATCH(INT($L459),_怪物基线!$A$2:$A$501,0)),"")</f>
        <v>638585</v>
      </c>
      <c r="P459" s="4">
        <f>IFERROR(INDEX(_怪物基线!$C$2:$C$501,MATCH(INT($L459),_怪物基线!$A$2:$A$501,0)),"")</f>
        <v>35293</v>
      </c>
      <c r="Q459" s="4">
        <f>IFERROR(INDEX(_怪物基线!$D$2:$D$501,MATCH(INT($L459),_怪物基线!$A$2:$A$501,0)),"")</f>
        <v>34972</v>
      </c>
      <c r="R459" s="4">
        <f>参数!$B$10</f>
        <v>4</v>
      </c>
      <c r="S459" s="4">
        <f>参数!$C$10</f>
        <v>1.2</v>
      </c>
      <c r="T459" s="4">
        <f>参数!$D$10</f>
        <v>1</v>
      </c>
      <c r="U459" s="4">
        <f t="shared" si="49"/>
        <v>2554340</v>
      </c>
      <c r="V459" s="4">
        <f t="shared" si="50"/>
        <v>42351.6</v>
      </c>
      <c r="W459" s="4">
        <f t="shared" si="51"/>
        <v>34972</v>
      </c>
      <c r="X459" s="4">
        <f>IFERROR(INDEX(参数!$B$5:$B$7,MATCH($N459,参数!$A$5:$A$7,0)),"")</f>
        <v>1</v>
      </c>
      <c r="Y459" s="4">
        <f>IFERROR(INDEX(参数!$C$5:$C$7,MATCH($N459,参数!$A$5:$A$7,0)),"")</f>
        <v>1.2</v>
      </c>
      <c r="Z459" s="4">
        <f>IFERROR(INDEX(参数!$D$5:$D$7,MATCH($N459,参数!$A$5:$A$7,0)),"")</f>
        <v>1</v>
      </c>
      <c r="AA459" s="4">
        <f>IFERROR(INDEX(楼层配置!$E$5:$E$104,MATCH($K459,楼层配置!$B$5:$B$104,0)),1)</f>
        <v>1</v>
      </c>
      <c r="AB459" s="4">
        <f>IFERROR(INDEX(楼层配置!$F$5:$F$104,MATCH($K459,楼层配置!$B$5:$B$104,0)),1)</f>
        <v>1</v>
      </c>
      <c r="AC459" s="4">
        <f>IFERROR(INDEX(楼层配置!$G$5:$G$104,MATCH($K459,楼层配置!$B$5:$B$104,0)),1)</f>
        <v>1</v>
      </c>
      <c r="AD459" s="6">
        <f t="shared" si="52"/>
        <v>-0.296716427772975</v>
      </c>
      <c r="AE459" s="6">
        <f t="shared" si="53"/>
        <v>-0.130207085401335</v>
      </c>
      <c r="AF459" s="6">
        <f t="shared" si="54"/>
        <v>0.148581187598529</v>
      </c>
      <c r="AG459" s="4" t="str">
        <f t="shared" si="55"/>
        <v>有效</v>
      </c>
    </row>
    <row r="460" ht="14.25" customHeight="1" spans="1:33">
      <c r="A460" s="4">
        <v>456</v>
      </c>
      <c r="B460" s="4">
        <v>1004</v>
      </c>
      <c r="C460" s="4">
        <v>56</v>
      </c>
      <c r="D460" s="5">
        <f>IFERROR(ROUND($U460*$X460*$AA460*参数!$B$13,0),"")</f>
        <v>3831510</v>
      </c>
      <c r="E460" s="5">
        <f>IFERROR(ROUND($V460*$Y460*$AB460*参数!$C$13,0),"")</f>
        <v>42352</v>
      </c>
      <c r="F460" s="5">
        <f>IFERROR(ROUND($W460*$Z460*$AC460*参数!$D$13,0),"")</f>
        <v>52458</v>
      </c>
      <c r="G460" s="4">
        <v>5614552</v>
      </c>
      <c r="H460" s="4">
        <v>49938</v>
      </c>
      <c r="I460" s="4">
        <v>46360</v>
      </c>
      <c r="J460" s="4">
        <v>92</v>
      </c>
      <c r="K460" s="4">
        <v>92</v>
      </c>
      <c r="L460" s="4">
        <f>IFERROR(INDEX(楼层配置!$D$5:$D$104,MATCH($K460,楼层配置!$B$5:$B$104,0)),"")</f>
        <v>361</v>
      </c>
      <c r="M460" s="4" t="str">
        <f>IFERROR(INDEX(_角色基线!$B$2:$B$100,MATCH($B460,_角色基线!$A$2:$A$100,0)),"")</f>
        <v>阿芭</v>
      </c>
      <c r="N460" s="4" t="str">
        <f>IFERROR(INDEX(_角色基线!$C$2:$C$100,MATCH($B460,_角色基线!$A$2:$A$100,0)),"")</f>
        <v>Tank</v>
      </c>
      <c r="O460" s="4">
        <f>IFERROR(INDEX(_怪物基线!$B$2:$B$501,MATCH(INT($L460),_怪物基线!$A$2:$A$501,0)),"")</f>
        <v>638585</v>
      </c>
      <c r="P460" s="4">
        <f>IFERROR(INDEX(_怪物基线!$C$2:$C$501,MATCH(INT($L460),_怪物基线!$A$2:$A$501,0)),"")</f>
        <v>35293</v>
      </c>
      <c r="Q460" s="4">
        <f>IFERROR(INDEX(_怪物基线!$D$2:$D$501,MATCH(INT($L460),_怪物基线!$A$2:$A$501,0)),"")</f>
        <v>34972</v>
      </c>
      <c r="R460" s="4">
        <f>参数!$B$10</f>
        <v>4</v>
      </c>
      <c r="S460" s="4">
        <f>参数!$C$10</f>
        <v>1.2</v>
      </c>
      <c r="T460" s="4">
        <f>参数!$D$10</f>
        <v>1</v>
      </c>
      <c r="U460" s="4">
        <f t="shared" si="49"/>
        <v>2554340</v>
      </c>
      <c r="V460" s="4">
        <f t="shared" si="50"/>
        <v>42351.6</v>
      </c>
      <c r="W460" s="4">
        <f t="shared" si="51"/>
        <v>34972</v>
      </c>
      <c r="X460" s="4">
        <f>IFERROR(INDEX(参数!$B$5:$B$7,MATCH($N460,参数!$A$5:$A$7,0)),"")</f>
        <v>1.5</v>
      </c>
      <c r="Y460" s="4">
        <f>IFERROR(INDEX(参数!$C$5:$C$7,MATCH($N460,参数!$A$5:$A$7,0)),"")</f>
        <v>1</v>
      </c>
      <c r="Z460" s="4">
        <f>IFERROR(INDEX(参数!$D$5:$D$7,MATCH($N460,参数!$A$5:$A$7,0)),"")</f>
        <v>1.5</v>
      </c>
      <c r="AA460" s="4">
        <f>IFERROR(INDEX(楼层配置!$E$5:$E$104,MATCH($K460,楼层配置!$B$5:$B$104,0)),1)</f>
        <v>1</v>
      </c>
      <c r="AB460" s="4">
        <f>IFERROR(INDEX(楼层配置!$F$5:$F$104,MATCH($K460,楼层配置!$B$5:$B$104,0)),1)</f>
        <v>1</v>
      </c>
      <c r="AC460" s="4">
        <f>IFERROR(INDEX(楼层配置!$G$5:$G$104,MATCH($K460,楼层配置!$B$5:$B$104,0)),1)</f>
        <v>1</v>
      </c>
      <c r="AD460" s="6">
        <f t="shared" si="52"/>
        <v>-0.317575115521238</v>
      </c>
      <c r="AE460" s="6">
        <f t="shared" si="53"/>
        <v>-0.151908366374304</v>
      </c>
      <c r="AF460" s="6">
        <f t="shared" si="54"/>
        <v>0.13153580672994</v>
      </c>
      <c r="AG460" s="4" t="str">
        <f t="shared" si="55"/>
        <v>有效</v>
      </c>
    </row>
    <row r="461" ht="14.25" customHeight="1" spans="1:33">
      <c r="A461" s="4">
        <v>457</v>
      </c>
      <c r="B461" s="4">
        <v>1013</v>
      </c>
      <c r="C461" s="4">
        <v>56</v>
      </c>
      <c r="D461" s="5">
        <f>IFERROR(ROUND($U461*$X461*$AA461*参数!$B$13,0),"")</f>
        <v>2554340</v>
      </c>
      <c r="E461" s="5">
        <f>IFERROR(ROUND($V461*$Y461*$AB461*参数!$C$13,0),"")</f>
        <v>50822</v>
      </c>
      <c r="F461" s="5">
        <f>IFERROR(ROUND($W461*$Z461*$AC461*参数!$D$13,0),"")</f>
        <v>34972</v>
      </c>
      <c r="G461" s="4">
        <v>3743035</v>
      </c>
      <c r="H461" s="4">
        <v>59925</v>
      </c>
      <c r="I461" s="4">
        <v>30907</v>
      </c>
      <c r="J461" s="4">
        <v>92</v>
      </c>
      <c r="K461" s="4">
        <v>92</v>
      </c>
      <c r="L461" s="4">
        <f>IFERROR(INDEX(楼层配置!$D$5:$D$104,MATCH($K461,楼层配置!$B$5:$B$104,0)),"")</f>
        <v>361</v>
      </c>
      <c r="M461" s="4" t="str">
        <f>IFERROR(INDEX(_角色基线!$B$2:$B$100,MATCH($B461,_角色基线!$A$2:$A$100,0)),"")</f>
        <v>夏缇拉</v>
      </c>
      <c r="N461" s="4" t="str">
        <f>IFERROR(INDEX(_角色基线!$C$2:$C$100,MATCH($B461,_角色基线!$A$2:$A$100,0)),"")</f>
        <v>DPS</v>
      </c>
      <c r="O461" s="4">
        <f>IFERROR(INDEX(_怪物基线!$B$2:$B$501,MATCH(INT($L461),_怪物基线!$A$2:$A$501,0)),"")</f>
        <v>638585</v>
      </c>
      <c r="P461" s="4">
        <f>IFERROR(INDEX(_怪物基线!$C$2:$C$501,MATCH(INT($L461),_怪物基线!$A$2:$A$501,0)),"")</f>
        <v>35293</v>
      </c>
      <c r="Q461" s="4">
        <f>IFERROR(INDEX(_怪物基线!$D$2:$D$501,MATCH(INT($L461),_怪物基线!$A$2:$A$501,0)),"")</f>
        <v>34972</v>
      </c>
      <c r="R461" s="4">
        <f>参数!$B$10</f>
        <v>4</v>
      </c>
      <c r="S461" s="4">
        <f>参数!$C$10</f>
        <v>1.2</v>
      </c>
      <c r="T461" s="4">
        <f>参数!$D$10</f>
        <v>1</v>
      </c>
      <c r="U461" s="4">
        <f t="shared" si="49"/>
        <v>2554340</v>
      </c>
      <c r="V461" s="4">
        <f t="shared" si="50"/>
        <v>42351.6</v>
      </c>
      <c r="W461" s="4">
        <f t="shared" si="51"/>
        <v>34972</v>
      </c>
      <c r="X461" s="4">
        <f>IFERROR(INDEX(参数!$B$5:$B$7,MATCH($N461,参数!$A$5:$A$7,0)),"")</f>
        <v>1</v>
      </c>
      <c r="Y461" s="4">
        <f>IFERROR(INDEX(参数!$C$5:$C$7,MATCH($N461,参数!$A$5:$A$7,0)),"")</f>
        <v>1.2</v>
      </c>
      <c r="Z461" s="4">
        <f>IFERROR(INDEX(参数!$D$5:$D$7,MATCH($N461,参数!$A$5:$A$7,0)),"")</f>
        <v>1</v>
      </c>
      <c r="AA461" s="4">
        <f>IFERROR(INDEX(楼层配置!$E$5:$E$104,MATCH($K461,楼层配置!$B$5:$B$104,0)),1)</f>
        <v>1</v>
      </c>
      <c r="AB461" s="4">
        <f>IFERROR(INDEX(楼层配置!$F$5:$F$104,MATCH($K461,楼层配置!$B$5:$B$104,0)),1)</f>
        <v>1</v>
      </c>
      <c r="AC461" s="4">
        <f>IFERROR(INDEX(楼层配置!$G$5:$G$104,MATCH($K461,楼层配置!$B$5:$B$104,0)),1)</f>
        <v>1</v>
      </c>
      <c r="AD461" s="6">
        <f t="shared" si="52"/>
        <v>-0.317575176294104</v>
      </c>
      <c r="AE461" s="6">
        <f t="shared" si="53"/>
        <v>-0.151906549853984</v>
      </c>
      <c r="AF461" s="6">
        <f t="shared" si="54"/>
        <v>0.131523603067266</v>
      </c>
      <c r="AG461" s="4" t="str">
        <f t="shared" si="55"/>
        <v>有效</v>
      </c>
    </row>
    <row r="462" ht="14.25" customHeight="1" spans="1:33">
      <c r="A462" s="4">
        <v>458</v>
      </c>
      <c r="B462" s="4">
        <v>1007</v>
      </c>
      <c r="C462" s="4">
        <v>56</v>
      </c>
      <c r="D462" s="5">
        <f>IFERROR(ROUND($U462*$X462*$AA462*参数!$B$13,0),"")</f>
        <v>3192925</v>
      </c>
      <c r="E462" s="5">
        <f>IFERROR(ROUND($V462*$Y462*$AB462*参数!$C$13,0),"")</f>
        <v>42352</v>
      </c>
      <c r="F462" s="5">
        <f>IFERROR(ROUND($W462*$Z462*$AC462*参数!$D$13,0),"")</f>
        <v>43715</v>
      </c>
      <c r="G462" s="4">
        <v>4678794</v>
      </c>
      <c r="H462" s="4">
        <v>49938</v>
      </c>
      <c r="I462" s="4">
        <v>38634</v>
      </c>
      <c r="J462" s="4">
        <v>92</v>
      </c>
      <c r="K462" s="4">
        <v>92</v>
      </c>
      <c r="L462" s="4">
        <f>IFERROR(INDEX(楼层配置!$D$5:$D$104,MATCH($K462,楼层配置!$B$5:$B$104,0)),"")</f>
        <v>361</v>
      </c>
      <c r="M462" s="4" t="str">
        <f>IFERROR(INDEX(_角色基线!$B$2:$B$100,MATCH($B462,_角色基线!$A$2:$A$100,0)),"")</f>
        <v>萨萨莉安</v>
      </c>
      <c r="N462" s="4" t="str">
        <f>IFERROR(INDEX(_角色基线!$C$2:$C$100,MATCH($B462,_角色基线!$A$2:$A$100,0)),"")</f>
        <v>Support</v>
      </c>
      <c r="O462" s="4">
        <f>IFERROR(INDEX(_怪物基线!$B$2:$B$501,MATCH(INT($L462),_怪物基线!$A$2:$A$501,0)),"")</f>
        <v>638585</v>
      </c>
      <c r="P462" s="4">
        <f>IFERROR(INDEX(_怪物基线!$C$2:$C$501,MATCH(INT($L462),_怪物基线!$A$2:$A$501,0)),"")</f>
        <v>35293</v>
      </c>
      <c r="Q462" s="4">
        <f>IFERROR(INDEX(_怪物基线!$D$2:$D$501,MATCH(INT($L462),_怪物基线!$A$2:$A$501,0)),"")</f>
        <v>34972</v>
      </c>
      <c r="R462" s="4">
        <f>参数!$B$10</f>
        <v>4</v>
      </c>
      <c r="S462" s="4">
        <f>参数!$C$10</f>
        <v>1.2</v>
      </c>
      <c r="T462" s="4">
        <f>参数!$D$10</f>
        <v>1</v>
      </c>
      <c r="U462" s="4">
        <f t="shared" si="49"/>
        <v>2554340</v>
      </c>
      <c r="V462" s="4">
        <f t="shared" si="50"/>
        <v>42351.6</v>
      </c>
      <c r="W462" s="4">
        <f t="shared" si="51"/>
        <v>34972</v>
      </c>
      <c r="X462" s="4">
        <f>IFERROR(INDEX(参数!$B$5:$B$7,MATCH($N462,参数!$A$5:$A$7,0)),"")</f>
        <v>1.25</v>
      </c>
      <c r="Y462" s="4">
        <f>IFERROR(INDEX(参数!$C$5:$C$7,MATCH($N462,参数!$A$5:$A$7,0)),"")</f>
        <v>1</v>
      </c>
      <c r="Z462" s="4">
        <f>IFERROR(INDEX(参数!$D$5:$D$7,MATCH($N462,参数!$A$5:$A$7,0)),"")</f>
        <v>1.25</v>
      </c>
      <c r="AA462" s="4">
        <f>IFERROR(INDEX(楼层配置!$E$5:$E$104,MATCH($K462,楼层配置!$B$5:$B$104,0)),1)</f>
        <v>1</v>
      </c>
      <c r="AB462" s="4">
        <f>IFERROR(INDEX(楼层配置!$F$5:$F$104,MATCH($K462,楼层配置!$B$5:$B$104,0)),1)</f>
        <v>1</v>
      </c>
      <c r="AC462" s="4">
        <f>IFERROR(INDEX(楼层配置!$G$5:$G$104,MATCH($K462,楼层配置!$B$5:$B$104,0)),1)</f>
        <v>1</v>
      </c>
      <c r="AD462" s="6">
        <f t="shared" si="52"/>
        <v>-0.317575212757818</v>
      </c>
      <c r="AE462" s="6">
        <f t="shared" si="53"/>
        <v>-0.151908366374304</v>
      </c>
      <c r="AF462" s="6">
        <f t="shared" si="54"/>
        <v>0.131516280996014</v>
      </c>
      <c r="AG462" s="4" t="str">
        <f t="shared" si="55"/>
        <v>有效</v>
      </c>
    </row>
    <row r="463" ht="14.25" customHeight="1" spans="1:33">
      <c r="A463" s="4">
        <v>459</v>
      </c>
      <c r="B463" s="4">
        <v>1005</v>
      </c>
      <c r="C463" s="4">
        <v>56</v>
      </c>
      <c r="D463" s="5">
        <f>IFERROR(ROUND($U463*$X463*$AA463*参数!$B$13,0),"")</f>
        <v>2554340</v>
      </c>
      <c r="E463" s="5">
        <f>IFERROR(ROUND($V463*$Y463*$AB463*参数!$C$13,0),"")</f>
        <v>50822</v>
      </c>
      <c r="F463" s="5">
        <f>IFERROR(ROUND($W463*$Z463*$AC463*参数!$D$13,0),"")</f>
        <v>34972</v>
      </c>
      <c r="G463" s="4">
        <v>3743035</v>
      </c>
      <c r="H463" s="4">
        <v>59925</v>
      </c>
      <c r="I463" s="4">
        <v>30907</v>
      </c>
      <c r="J463" s="4">
        <v>92</v>
      </c>
      <c r="K463" s="4">
        <v>92</v>
      </c>
      <c r="L463" s="4">
        <f>IFERROR(INDEX(楼层配置!$D$5:$D$104,MATCH($K463,楼层配置!$B$5:$B$104,0)),"")</f>
        <v>361</v>
      </c>
      <c r="M463" s="4" t="str">
        <f>IFERROR(INDEX(_角色基线!$B$2:$B$100,MATCH($B463,_角色基线!$A$2:$A$100,0)),"")</f>
        <v>陈单单</v>
      </c>
      <c r="N463" s="4" t="str">
        <f>IFERROR(INDEX(_角色基线!$C$2:$C$100,MATCH($B463,_角色基线!$A$2:$A$100,0)),"")</f>
        <v>DPS</v>
      </c>
      <c r="O463" s="4">
        <f>IFERROR(INDEX(_怪物基线!$B$2:$B$501,MATCH(INT($L463),_怪物基线!$A$2:$A$501,0)),"")</f>
        <v>638585</v>
      </c>
      <c r="P463" s="4">
        <f>IFERROR(INDEX(_怪物基线!$C$2:$C$501,MATCH(INT($L463),_怪物基线!$A$2:$A$501,0)),"")</f>
        <v>35293</v>
      </c>
      <c r="Q463" s="4">
        <f>IFERROR(INDEX(_怪物基线!$D$2:$D$501,MATCH(INT($L463),_怪物基线!$A$2:$A$501,0)),"")</f>
        <v>34972</v>
      </c>
      <c r="R463" s="4">
        <f>参数!$B$10</f>
        <v>4</v>
      </c>
      <c r="S463" s="4">
        <f>参数!$C$10</f>
        <v>1.2</v>
      </c>
      <c r="T463" s="4">
        <f>参数!$D$10</f>
        <v>1</v>
      </c>
      <c r="U463" s="4">
        <f t="shared" si="49"/>
        <v>2554340</v>
      </c>
      <c r="V463" s="4">
        <f t="shared" si="50"/>
        <v>42351.6</v>
      </c>
      <c r="W463" s="4">
        <f t="shared" si="51"/>
        <v>34972</v>
      </c>
      <c r="X463" s="4">
        <f>IFERROR(INDEX(参数!$B$5:$B$7,MATCH($N463,参数!$A$5:$A$7,0)),"")</f>
        <v>1</v>
      </c>
      <c r="Y463" s="4">
        <f>IFERROR(INDEX(参数!$C$5:$C$7,MATCH($N463,参数!$A$5:$A$7,0)),"")</f>
        <v>1.2</v>
      </c>
      <c r="Z463" s="4">
        <f>IFERROR(INDEX(参数!$D$5:$D$7,MATCH($N463,参数!$A$5:$A$7,0)),"")</f>
        <v>1</v>
      </c>
      <c r="AA463" s="4">
        <f>IFERROR(INDEX(楼层配置!$E$5:$E$104,MATCH($K463,楼层配置!$B$5:$B$104,0)),1)</f>
        <v>1</v>
      </c>
      <c r="AB463" s="4">
        <f>IFERROR(INDEX(楼层配置!$F$5:$F$104,MATCH($K463,楼层配置!$B$5:$B$104,0)),1)</f>
        <v>1</v>
      </c>
      <c r="AC463" s="4">
        <f>IFERROR(INDEX(楼层配置!$G$5:$G$104,MATCH($K463,楼层配置!$B$5:$B$104,0)),1)</f>
        <v>1</v>
      </c>
      <c r="AD463" s="6">
        <f t="shared" si="52"/>
        <v>-0.317575176294104</v>
      </c>
      <c r="AE463" s="6">
        <f t="shared" si="53"/>
        <v>-0.151906549853984</v>
      </c>
      <c r="AF463" s="6">
        <f t="shared" si="54"/>
        <v>0.131523603067266</v>
      </c>
      <c r="AG463" s="4" t="str">
        <f t="shared" si="55"/>
        <v>有效</v>
      </c>
    </row>
    <row r="464" ht="14.25" customHeight="1" spans="1:33">
      <c r="A464" s="4">
        <v>460</v>
      </c>
      <c r="B464" s="4">
        <v>1013</v>
      </c>
      <c r="C464" s="4">
        <v>56</v>
      </c>
      <c r="D464" s="5">
        <f>IFERROR(ROUND($U464*$X464*$AA464*参数!$B$13,0),"")</f>
        <v>2554340</v>
      </c>
      <c r="E464" s="5">
        <f>IFERROR(ROUND($V464*$Y464*$AB464*参数!$C$13,0),"")</f>
        <v>50822</v>
      </c>
      <c r="F464" s="5">
        <f>IFERROR(ROUND($W464*$Z464*$AC464*参数!$D$13,0),"")</f>
        <v>34972</v>
      </c>
      <c r="G464" s="4">
        <v>3743035</v>
      </c>
      <c r="H464" s="4">
        <v>59925</v>
      </c>
      <c r="I464" s="4">
        <v>30907</v>
      </c>
      <c r="J464" s="4">
        <v>92</v>
      </c>
      <c r="K464" s="4">
        <v>92</v>
      </c>
      <c r="L464" s="4">
        <f>IFERROR(INDEX(楼层配置!$D$5:$D$104,MATCH($K464,楼层配置!$B$5:$B$104,0)),"")</f>
        <v>361</v>
      </c>
      <c r="M464" s="4" t="str">
        <f>IFERROR(INDEX(_角色基线!$B$2:$B$100,MATCH($B464,_角色基线!$A$2:$A$100,0)),"")</f>
        <v>夏缇拉</v>
      </c>
      <c r="N464" s="4" t="str">
        <f>IFERROR(INDEX(_角色基线!$C$2:$C$100,MATCH($B464,_角色基线!$A$2:$A$100,0)),"")</f>
        <v>DPS</v>
      </c>
      <c r="O464" s="4">
        <f>IFERROR(INDEX(_怪物基线!$B$2:$B$501,MATCH(INT($L464),_怪物基线!$A$2:$A$501,0)),"")</f>
        <v>638585</v>
      </c>
      <c r="P464" s="4">
        <f>IFERROR(INDEX(_怪物基线!$C$2:$C$501,MATCH(INT($L464),_怪物基线!$A$2:$A$501,0)),"")</f>
        <v>35293</v>
      </c>
      <c r="Q464" s="4">
        <f>IFERROR(INDEX(_怪物基线!$D$2:$D$501,MATCH(INT($L464),_怪物基线!$A$2:$A$501,0)),"")</f>
        <v>34972</v>
      </c>
      <c r="R464" s="4">
        <f>参数!$B$10</f>
        <v>4</v>
      </c>
      <c r="S464" s="4">
        <f>参数!$C$10</f>
        <v>1.2</v>
      </c>
      <c r="T464" s="4">
        <f>参数!$D$10</f>
        <v>1</v>
      </c>
      <c r="U464" s="4">
        <f t="shared" si="49"/>
        <v>2554340</v>
      </c>
      <c r="V464" s="4">
        <f t="shared" si="50"/>
        <v>42351.6</v>
      </c>
      <c r="W464" s="4">
        <f t="shared" si="51"/>
        <v>34972</v>
      </c>
      <c r="X464" s="4">
        <f>IFERROR(INDEX(参数!$B$5:$B$7,MATCH($N464,参数!$A$5:$A$7,0)),"")</f>
        <v>1</v>
      </c>
      <c r="Y464" s="4">
        <f>IFERROR(INDEX(参数!$C$5:$C$7,MATCH($N464,参数!$A$5:$A$7,0)),"")</f>
        <v>1.2</v>
      </c>
      <c r="Z464" s="4">
        <f>IFERROR(INDEX(参数!$D$5:$D$7,MATCH($N464,参数!$A$5:$A$7,0)),"")</f>
        <v>1</v>
      </c>
      <c r="AA464" s="4">
        <f>IFERROR(INDEX(楼层配置!$E$5:$E$104,MATCH($K464,楼层配置!$B$5:$B$104,0)),1)</f>
        <v>1</v>
      </c>
      <c r="AB464" s="4">
        <f>IFERROR(INDEX(楼层配置!$F$5:$F$104,MATCH($K464,楼层配置!$B$5:$B$104,0)),1)</f>
        <v>1</v>
      </c>
      <c r="AC464" s="4">
        <f>IFERROR(INDEX(楼层配置!$G$5:$G$104,MATCH($K464,楼层配置!$B$5:$B$104,0)),1)</f>
        <v>1</v>
      </c>
      <c r="AD464" s="6">
        <f t="shared" si="52"/>
        <v>-0.317575176294104</v>
      </c>
      <c r="AE464" s="6">
        <f t="shared" si="53"/>
        <v>-0.151906549853984</v>
      </c>
      <c r="AF464" s="6">
        <f t="shared" si="54"/>
        <v>0.131523603067266</v>
      </c>
      <c r="AG464" s="4" t="str">
        <f t="shared" si="55"/>
        <v>有效</v>
      </c>
    </row>
    <row r="465" ht="14.25" customHeight="1" spans="1:33">
      <c r="A465" s="4">
        <v>461</v>
      </c>
      <c r="B465" s="4">
        <v>1004</v>
      </c>
      <c r="C465" s="4">
        <v>56</v>
      </c>
      <c r="D465" s="5">
        <f>IFERROR(ROUND($U465*$X465*$AA465*参数!$B$13,0),"")</f>
        <v>3892224</v>
      </c>
      <c r="E465" s="5">
        <f>IFERROR(ROUND($V465*$Y465*$AB465*参数!$C$13,0),"")</f>
        <v>42895</v>
      </c>
      <c r="F465" s="5">
        <f>IFERROR(ROUND($W465*$Z465*$AC465*参数!$D$13,0),"")</f>
        <v>52872</v>
      </c>
      <c r="G465" s="4">
        <v>5784912</v>
      </c>
      <c r="H465" s="4">
        <v>51214</v>
      </c>
      <c r="I465" s="4">
        <v>47054</v>
      </c>
      <c r="J465" s="4">
        <v>93</v>
      </c>
      <c r="K465" s="4">
        <v>93</v>
      </c>
      <c r="L465" s="4">
        <f>IFERROR(INDEX(楼层配置!$D$5:$D$104,MATCH($K465,楼层配置!$B$5:$B$104,0)),"")</f>
        <v>363</v>
      </c>
      <c r="M465" s="4" t="str">
        <f>IFERROR(INDEX(_角色基线!$B$2:$B$100,MATCH($B465,_角色基线!$A$2:$A$100,0)),"")</f>
        <v>阿芭</v>
      </c>
      <c r="N465" s="4" t="str">
        <f>IFERROR(INDEX(_角色基线!$C$2:$C$100,MATCH($B465,_角色基线!$A$2:$A$100,0)),"")</f>
        <v>Tank</v>
      </c>
      <c r="O465" s="4">
        <f>IFERROR(INDEX(_怪物基线!$B$2:$B$501,MATCH(INT($L465),_怪物基线!$A$2:$A$501,0)),"")</f>
        <v>648704</v>
      </c>
      <c r="P465" s="4">
        <f>IFERROR(INDEX(_怪物基线!$C$2:$C$501,MATCH(INT($L465),_怪物基线!$A$2:$A$501,0)),"")</f>
        <v>35746</v>
      </c>
      <c r="Q465" s="4">
        <f>IFERROR(INDEX(_怪物基线!$D$2:$D$501,MATCH(INT($L465),_怪物基线!$A$2:$A$501,0)),"")</f>
        <v>35248</v>
      </c>
      <c r="R465" s="4">
        <f>参数!$B$10</f>
        <v>4</v>
      </c>
      <c r="S465" s="4">
        <f>参数!$C$10</f>
        <v>1.2</v>
      </c>
      <c r="T465" s="4">
        <f>参数!$D$10</f>
        <v>1</v>
      </c>
      <c r="U465" s="4">
        <f t="shared" si="49"/>
        <v>2594816</v>
      </c>
      <c r="V465" s="4">
        <f t="shared" si="50"/>
        <v>42895.2</v>
      </c>
      <c r="W465" s="4">
        <f t="shared" si="51"/>
        <v>35248</v>
      </c>
      <c r="X465" s="4">
        <f>IFERROR(INDEX(参数!$B$5:$B$7,MATCH($N465,参数!$A$5:$A$7,0)),"")</f>
        <v>1.5</v>
      </c>
      <c r="Y465" s="4">
        <f>IFERROR(INDEX(参数!$C$5:$C$7,MATCH($N465,参数!$A$5:$A$7,0)),"")</f>
        <v>1</v>
      </c>
      <c r="Z465" s="4">
        <f>IFERROR(INDEX(参数!$D$5:$D$7,MATCH($N465,参数!$A$5:$A$7,0)),"")</f>
        <v>1.5</v>
      </c>
      <c r="AA465" s="4">
        <f>IFERROR(INDEX(楼层配置!$E$5:$E$104,MATCH($K465,楼层配置!$B$5:$B$104,0)),1)</f>
        <v>1</v>
      </c>
      <c r="AB465" s="4">
        <f>IFERROR(INDEX(楼层配置!$F$5:$F$104,MATCH($K465,楼层配置!$B$5:$B$104,0)),1)</f>
        <v>1</v>
      </c>
      <c r="AC465" s="4">
        <f>IFERROR(INDEX(楼层配置!$G$5:$G$104,MATCH($K465,楼层配置!$B$5:$B$104,0)),1)</f>
        <v>1</v>
      </c>
      <c r="AD465" s="6">
        <f t="shared" si="52"/>
        <v>-0.327176627751641</v>
      </c>
      <c r="AE465" s="6">
        <f t="shared" si="53"/>
        <v>-0.162436052641856</v>
      </c>
      <c r="AF465" s="6">
        <f t="shared" si="54"/>
        <v>0.123645173630297</v>
      </c>
      <c r="AG465" s="4" t="str">
        <f t="shared" si="55"/>
        <v>有效</v>
      </c>
    </row>
    <row r="466" ht="14.25" customHeight="1" spans="1:33">
      <c r="A466" s="4">
        <v>462</v>
      </c>
      <c r="B466" s="4">
        <v>1006</v>
      </c>
      <c r="C466" s="4">
        <v>56</v>
      </c>
      <c r="D466" s="5">
        <f>IFERROR(ROUND($U466*$X466*$AA466*参数!$B$13,0),"")</f>
        <v>2594816</v>
      </c>
      <c r="E466" s="5">
        <f>IFERROR(ROUND($V466*$Y466*$AB466*参数!$C$13,0),"")</f>
        <v>51474</v>
      </c>
      <c r="F466" s="5">
        <f>IFERROR(ROUND($W466*$Z466*$AC466*参数!$D$13,0),"")</f>
        <v>35248</v>
      </c>
      <c r="G466" s="4">
        <v>3856608</v>
      </c>
      <c r="H466" s="4">
        <v>61456</v>
      </c>
      <c r="I466" s="4">
        <v>31369</v>
      </c>
      <c r="J466" s="4">
        <v>93</v>
      </c>
      <c r="K466" s="4">
        <v>93</v>
      </c>
      <c r="L466" s="4">
        <f>IFERROR(INDEX(楼层配置!$D$5:$D$104,MATCH($K466,楼层配置!$B$5:$B$104,0)),"")</f>
        <v>363</v>
      </c>
      <c r="M466" s="4" t="str">
        <f>IFERROR(INDEX(_角色基线!$B$2:$B$100,MATCH($B466,_角色基线!$A$2:$A$100,0)),"")</f>
        <v>莉莉娅</v>
      </c>
      <c r="N466" s="4" t="str">
        <f>IFERROR(INDEX(_角色基线!$C$2:$C$100,MATCH($B466,_角色基线!$A$2:$A$100,0)),"")</f>
        <v>DPS</v>
      </c>
      <c r="O466" s="4">
        <f>IFERROR(INDEX(_怪物基线!$B$2:$B$501,MATCH(INT($L466),_怪物基线!$A$2:$A$501,0)),"")</f>
        <v>648704</v>
      </c>
      <c r="P466" s="4">
        <f>IFERROR(INDEX(_怪物基线!$C$2:$C$501,MATCH(INT($L466),_怪物基线!$A$2:$A$501,0)),"")</f>
        <v>35746</v>
      </c>
      <c r="Q466" s="4">
        <f>IFERROR(INDEX(_怪物基线!$D$2:$D$501,MATCH(INT($L466),_怪物基线!$A$2:$A$501,0)),"")</f>
        <v>35248</v>
      </c>
      <c r="R466" s="4">
        <f>参数!$B$10</f>
        <v>4</v>
      </c>
      <c r="S466" s="4">
        <f>参数!$C$10</f>
        <v>1.2</v>
      </c>
      <c r="T466" s="4">
        <f>参数!$D$10</f>
        <v>1</v>
      </c>
      <c r="U466" s="4">
        <f t="shared" si="49"/>
        <v>2594816</v>
      </c>
      <c r="V466" s="4">
        <f t="shared" si="50"/>
        <v>42895.2</v>
      </c>
      <c r="W466" s="4">
        <f t="shared" si="51"/>
        <v>35248</v>
      </c>
      <c r="X466" s="4">
        <f>IFERROR(INDEX(参数!$B$5:$B$7,MATCH($N466,参数!$A$5:$A$7,0)),"")</f>
        <v>1</v>
      </c>
      <c r="Y466" s="4">
        <f>IFERROR(INDEX(参数!$C$5:$C$7,MATCH($N466,参数!$A$5:$A$7,0)),"")</f>
        <v>1.2</v>
      </c>
      <c r="Z466" s="4">
        <f>IFERROR(INDEX(参数!$D$5:$D$7,MATCH($N466,参数!$A$5:$A$7,0)),"")</f>
        <v>1</v>
      </c>
      <c r="AA466" s="4">
        <f>IFERROR(INDEX(楼层配置!$E$5:$E$104,MATCH($K466,楼层配置!$B$5:$B$104,0)),1)</f>
        <v>1</v>
      </c>
      <c r="AB466" s="4">
        <f>IFERROR(INDEX(楼层配置!$F$5:$F$104,MATCH($K466,楼层配置!$B$5:$B$104,0)),1)</f>
        <v>1</v>
      </c>
      <c r="AC466" s="4">
        <f>IFERROR(INDEX(楼层配置!$G$5:$G$104,MATCH($K466,楼层配置!$B$5:$B$104,0)),1)</f>
        <v>1</v>
      </c>
      <c r="AD466" s="6">
        <f t="shared" si="52"/>
        <v>-0.327176627751641</v>
      </c>
      <c r="AE466" s="6">
        <f t="shared" si="53"/>
        <v>-0.162425149700599</v>
      </c>
      <c r="AF466" s="6">
        <f t="shared" si="54"/>
        <v>0.123657113710989</v>
      </c>
      <c r="AG466" s="4" t="str">
        <f t="shared" si="55"/>
        <v>有效</v>
      </c>
    </row>
    <row r="467" ht="14.25" customHeight="1" spans="1:33">
      <c r="A467" s="4">
        <v>463</v>
      </c>
      <c r="B467" s="4">
        <v>1017</v>
      </c>
      <c r="C467" s="4">
        <v>56</v>
      </c>
      <c r="D467" s="5">
        <f>IFERROR(ROUND($U467*$X467*$AA467*参数!$B$13,0),"")</f>
        <v>2594816</v>
      </c>
      <c r="E467" s="5">
        <f>IFERROR(ROUND($V467*$Y467*$AB467*参数!$C$13,0),"")</f>
        <v>51474</v>
      </c>
      <c r="F467" s="5">
        <f>IFERROR(ROUND($W467*$Z467*$AC467*参数!$D$13,0),"")</f>
        <v>35248</v>
      </c>
      <c r="G467" s="4">
        <v>3856608</v>
      </c>
      <c r="H467" s="4">
        <v>61456</v>
      </c>
      <c r="I467" s="4">
        <v>31369</v>
      </c>
      <c r="J467" s="4">
        <v>93</v>
      </c>
      <c r="K467" s="4">
        <v>93</v>
      </c>
      <c r="L467" s="4">
        <f>IFERROR(INDEX(楼层配置!$D$5:$D$104,MATCH($K467,楼层配置!$B$5:$B$104,0)),"")</f>
        <v>363</v>
      </c>
      <c r="M467" s="4" t="str">
        <f>IFERROR(INDEX(_角色基线!$B$2:$B$100,MATCH($B467,_角色基线!$A$2:$A$100,0)),"")</f>
        <v>伊戈尔</v>
      </c>
      <c r="N467" s="4" t="str">
        <f>IFERROR(INDEX(_角色基线!$C$2:$C$100,MATCH($B467,_角色基线!$A$2:$A$100,0)),"")</f>
        <v>DPS</v>
      </c>
      <c r="O467" s="4">
        <f>IFERROR(INDEX(_怪物基线!$B$2:$B$501,MATCH(INT($L467),_怪物基线!$A$2:$A$501,0)),"")</f>
        <v>648704</v>
      </c>
      <c r="P467" s="4">
        <f>IFERROR(INDEX(_怪物基线!$C$2:$C$501,MATCH(INT($L467),_怪物基线!$A$2:$A$501,0)),"")</f>
        <v>35746</v>
      </c>
      <c r="Q467" s="4">
        <f>IFERROR(INDEX(_怪物基线!$D$2:$D$501,MATCH(INT($L467),_怪物基线!$A$2:$A$501,0)),"")</f>
        <v>35248</v>
      </c>
      <c r="R467" s="4">
        <f>参数!$B$10</f>
        <v>4</v>
      </c>
      <c r="S467" s="4">
        <f>参数!$C$10</f>
        <v>1.2</v>
      </c>
      <c r="T467" s="4">
        <f>参数!$D$10</f>
        <v>1</v>
      </c>
      <c r="U467" s="4">
        <f t="shared" si="49"/>
        <v>2594816</v>
      </c>
      <c r="V467" s="4">
        <f t="shared" si="50"/>
        <v>42895.2</v>
      </c>
      <c r="W467" s="4">
        <f t="shared" si="51"/>
        <v>35248</v>
      </c>
      <c r="X467" s="4">
        <f>IFERROR(INDEX(参数!$B$5:$B$7,MATCH($N467,参数!$A$5:$A$7,0)),"")</f>
        <v>1</v>
      </c>
      <c r="Y467" s="4">
        <f>IFERROR(INDEX(参数!$C$5:$C$7,MATCH($N467,参数!$A$5:$A$7,0)),"")</f>
        <v>1.2</v>
      </c>
      <c r="Z467" s="4">
        <f>IFERROR(INDEX(参数!$D$5:$D$7,MATCH($N467,参数!$A$5:$A$7,0)),"")</f>
        <v>1</v>
      </c>
      <c r="AA467" s="4">
        <f>IFERROR(INDEX(楼层配置!$E$5:$E$104,MATCH($K467,楼层配置!$B$5:$B$104,0)),1)</f>
        <v>1</v>
      </c>
      <c r="AB467" s="4">
        <f>IFERROR(INDEX(楼层配置!$F$5:$F$104,MATCH($K467,楼层配置!$B$5:$B$104,0)),1)</f>
        <v>1</v>
      </c>
      <c r="AC467" s="4">
        <f>IFERROR(INDEX(楼层配置!$G$5:$G$104,MATCH($K467,楼层配置!$B$5:$B$104,0)),1)</f>
        <v>1</v>
      </c>
      <c r="AD467" s="6">
        <f t="shared" si="52"/>
        <v>-0.327176627751641</v>
      </c>
      <c r="AE467" s="6">
        <f t="shared" si="53"/>
        <v>-0.162425149700599</v>
      </c>
      <c r="AF467" s="6">
        <f t="shared" si="54"/>
        <v>0.123657113710989</v>
      </c>
      <c r="AG467" s="4" t="str">
        <f t="shared" si="55"/>
        <v>有效</v>
      </c>
    </row>
    <row r="468" ht="14.25" customHeight="1" spans="1:33">
      <c r="A468" s="4">
        <v>464</v>
      </c>
      <c r="B468" s="4">
        <v>1007</v>
      </c>
      <c r="C468" s="4">
        <v>56</v>
      </c>
      <c r="D468" s="5">
        <f>IFERROR(ROUND($U468*$X468*$AA468*参数!$B$13,0),"")</f>
        <v>3243520</v>
      </c>
      <c r="E468" s="5">
        <f>IFERROR(ROUND($V468*$Y468*$AB468*参数!$C$13,0),"")</f>
        <v>42895</v>
      </c>
      <c r="F468" s="5">
        <f>IFERROR(ROUND($W468*$Z468*$AC468*参数!$D$13,0),"")</f>
        <v>44060</v>
      </c>
      <c r="G468" s="4">
        <v>4820760</v>
      </c>
      <c r="H468" s="4">
        <v>51214</v>
      </c>
      <c r="I468" s="4">
        <v>39212</v>
      </c>
      <c r="J468" s="4">
        <v>93</v>
      </c>
      <c r="K468" s="4">
        <v>93</v>
      </c>
      <c r="L468" s="4">
        <f>IFERROR(INDEX(楼层配置!$D$5:$D$104,MATCH($K468,楼层配置!$B$5:$B$104,0)),"")</f>
        <v>363</v>
      </c>
      <c r="M468" s="4" t="str">
        <f>IFERROR(INDEX(_角色基线!$B$2:$B$100,MATCH($B468,_角色基线!$A$2:$A$100,0)),"")</f>
        <v>萨萨莉安</v>
      </c>
      <c r="N468" s="4" t="str">
        <f>IFERROR(INDEX(_角色基线!$C$2:$C$100,MATCH($B468,_角色基线!$A$2:$A$100,0)),"")</f>
        <v>Support</v>
      </c>
      <c r="O468" s="4">
        <f>IFERROR(INDEX(_怪物基线!$B$2:$B$501,MATCH(INT($L468),_怪物基线!$A$2:$A$501,0)),"")</f>
        <v>648704</v>
      </c>
      <c r="P468" s="4">
        <f>IFERROR(INDEX(_怪物基线!$C$2:$C$501,MATCH(INT($L468),_怪物基线!$A$2:$A$501,0)),"")</f>
        <v>35746</v>
      </c>
      <c r="Q468" s="4">
        <f>IFERROR(INDEX(_怪物基线!$D$2:$D$501,MATCH(INT($L468),_怪物基线!$A$2:$A$501,0)),"")</f>
        <v>35248</v>
      </c>
      <c r="R468" s="4">
        <f>参数!$B$10</f>
        <v>4</v>
      </c>
      <c r="S468" s="4">
        <f>参数!$C$10</f>
        <v>1.2</v>
      </c>
      <c r="T468" s="4">
        <f>参数!$D$10</f>
        <v>1</v>
      </c>
      <c r="U468" s="4">
        <f t="shared" si="49"/>
        <v>2594816</v>
      </c>
      <c r="V468" s="4">
        <f t="shared" si="50"/>
        <v>42895.2</v>
      </c>
      <c r="W468" s="4">
        <f t="shared" si="51"/>
        <v>35248</v>
      </c>
      <c r="X468" s="4">
        <f>IFERROR(INDEX(参数!$B$5:$B$7,MATCH($N468,参数!$A$5:$A$7,0)),"")</f>
        <v>1.25</v>
      </c>
      <c r="Y468" s="4">
        <f>IFERROR(INDEX(参数!$C$5:$C$7,MATCH($N468,参数!$A$5:$A$7,0)),"")</f>
        <v>1</v>
      </c>
      <c r="Z468" s="4">
        <f>IFERROR(INDEX(参数!$D$5:$D$7,MATCH($N468,参数!$A$5:$A$7,0)),"")</f>
        <v>1.25</v>
      </c>
      <c r="AA468" s="4">
        <f>IFERROR(INDEX(楼层配置!$E$5:$E$104,MATCH($K468,楼层配置!$B$5:$B$104,0)),1)</f>
        <v>1</v>
      </c>
      <c r="AB468" s="4">
        <f>IFERROR(INDEX(楼层配置!$F$5:$F$104,MATCH($K468,楼层配置!$B$5:$B$104,0)),1)</f>
        <v>1</v>
      </c>
      <c r="AC468" s="4">
        <f>IFERROR(INDEX(楼层配置!$G$5:$G$104,MATCH($K468,楼层配置!$B$5:$B$104,0)),1)</f>
        <v>1</v>
      </c>
      <c r="AD468" s="6">
        <f t="shared" si="52"/>
        <v>-0.327176627751641</v>
      </c>
      <c r="AE468" s="6">
        <f t="shared" si="53"/>
        <v>-0.162436052641856</v>
      </c>
      <c r="AF468" s="6">
        <f t="shared" si="54"/>
        <v>0.123635621748444</v>
      </c>
      <c r="AG468" s="4" t="str">
        <f t="shared" si="55"/>
        <v>有效</v>
      </c>
    </row>
    <row r="469" ht="14.25" customHeight="1" spans="1:33">
      <c r="A469" s="4">
        <v>465</v>
      </c>
      <c r="B469" s="4">
        <v>1013</v>
      </c>
      <c r="C469" s="4">
        <v>56</v>
      </c>
      <c r="D469" s="5">
        <f>IFERROR(ROUND($U469*$X469*$AA469*参数!$B$13,0),"")</f>
        <v>2594816</v>
      </c>
      <c r="E469" s="5">
        <f>IFERROR(ROUND($V469*$Y469*$AB469*参数!$C$13,0),"")</f>
        <v>51474</v>
      </c>
      <c r="F469" s="5">
        <f>IFERROR(ROUND($W469*$Z469*$AC469*参数!$D$13,0),"")</f>
        <v>35248</v>
      </c>
      <c r="G469" s="4">
        <v>3856608</v>
      </c>
      <c r="H469" s="4">
        <v>61456</v>
      </c>
      <c r="I469" s="4">
        <v>31369</v>
      </c>
      <c r="J469" s="4">
        <v>93</v>
      </c>
      <c r="K469" s="4">
        <v>93</v>
      </c>
      <c r="L469" s="4">
        <f>IFERROR(INDEX(楼层配置!$D$5:$D$104,MATCH($K469,楼层配置!$B$5:$B$104,0)),"")</f>
        <v>363</v>
      </c>
      <c r="M469" s="4" t="str">
        <f>IFERROR(INDEX(_角色基线!$B$2:$B$100,MATCH($B469,_角色基线!$A$2:$A$100,0)),"")</f>
        <v>夏缇拉</v>
      </c>
      <c r="N469" s="4" t="str">
        <f>IFERROR(INDEX(_角色基线!$C$2:$C$100,MATCH($B469,_角色基线!$A$2:$A$100,0)),"")</f>
        <v>DPS</v>
      </c>
      <c r="O469" s="4">
        <f>IFERROR(INDEX(_怪物基线!$B$2:$B$501,MATCH(INT($L469),_怪物基线!$A$2:$A$501,0)),"")</f>
        <v>648704</v>
      </c>
      <c r="P469" s="4">
        <f>IFERROR(INDEX(_怪物基线!$C$2:$C$501,MATCH(INT($L469),_怪物基线!$A$2:$A$501,0)),"")</f>
        <v>35746</v>
      </c>
      <c r="Q469" s="4">
        <f>IFERROR(INDEX(_怪物基线!$D$2:$D$501,MATCH(INT($L469),_怪物基线!$A$2:$A$501,0)),"")</f>
        <v>35248</v>
      </c>
      <c r="R469" s="4">
        <f>参数!$B$10</f>
        <v>4</v>
      </c>
      <c r="S469" s="4">
        <f>参数!$C$10</f>
        <v>1.2</v>
      </c>
      <c r="T469" s="4">
        <f>参数!$D$10</f>
        <v>1</v>
      </c>
      <c r="U469" s="4">
        <f t="shared" si="49"/>
        <v>2594816</v>
      </c>
      <c r="V469" s="4">
        <f t="shared" si="50"/>
        <v>42895.2</v>
      </c>
      <c r="W469" s="4">
        <f t="shared" si="51"/>
        <v>35248</v>
      </c>
      <c r="X469" s="4">
        <f>IFERROR(INDEX(参数!$B$5:$B$7,MATCH($N469,参数!$A$5:$A$7,0)),"")</f>
        <v>1</v>
      </c>
      <c r="Y469" s="4">
        <f>IFERROR(INDEX(参数!$C$5:$C$7,MATCH($N469,参数!$A$5:$A$7,0)),"")</f>
        <v>1.2</v>
      </c>
      <c r="Z469" s="4">
        <f>IFERROR(INDEX(参数!$D$5:$D$7,MATCH($N469,参数!$A$5:$A$7,0)),"")</f>
        <v>1</v>
      </c>
      <c r="AA469" s="4">
        <f>IFERROR(INDEX(楼层配置!$E$5:$E$104,MATCH($K469,楼层配置!$B$5:$B$104,0)),1)</f>
        <v>1</v>
      </c>
      <c r="AB469" s="4">
        <f>IFERROR(INDEX(楼层配置!$F$5:$F$104,MATCH($K469,楼层配置!$B$5:$B$104,0)),1)</f>
        <v>1</v>
      </c>
      <c r="AC469" s="4">
        <f>IFERROR(INDEX(楼层配置!$G$5:$G$104,MATCH($K469,楼层配置!$B$5:$B$104,0)),1)</f>
        <v>1</v>
      </c>
      <c r="AD469" s="6">
        <f t="shared" si="52"/>
        <v>-0.327176627751641</v>
      </c>
      <c r="AE469" s="6">
        <f t="shared" si="53"/>
        <v>-0.162425149700599</v>
      </c>
      <c r="AF469" s="6">
        <f t="shared" si="54"/>
        <v>0.123657113710989</v>
      </c>
      <c r="AG469" s="4" t="str">
        <f t="shared" si="55"/>
        <v>有效</v>
      </c>
    </row>
    <row r="470" ht="14.25" customHeight="1" spans="1:33">
      <c r="A470" s="4">
        <v>466</v>
      </c>
      <c r="B470" s="4">
        <v>1004</v>
      </c>
      <c r="C470" s="4">
        <v>57</v>
      </c>
      <c r="D470" s="5">
        <f>IFERROR(ROUND($U470*$X470*$AA470*参数!$B$13,0),"")</f>
        <v>3922848</v>
      </c>
      <c r="E470" s="5">
        <f>IFERROR(ROUND($V470*$Y470*$AB470*参数!$C$13,0),"")</f>
        <v>43169</v>
      </c>
      <c r="F470" s="5">
        <f>IFERROR(ROUND($W470*$Z470*$AC470*参数!$D$13,0),"")</f>
        <v>53079</v>
      </c>
      <c r="G470" s="4">
        <v>5959159</v>
      </c>
      <c r="H470" s="4">
        <v>52520</v>
      </c>
      <c r="I470" s="4">
        <v>47750</v>
      </c>
      <c r="J470" s="4">
        <v>94</v>
      </c>
      <c r="K470" s="4">
        <v>94</v>
      </c>
      <c r="L470" s="4">
        <f>IFERROR(INDEX(楼层配置!$D$5:$D$104,MATCH($K470,楼层配置!$B$5:$B$104,0)),"")</f>
        <v>364</v>
      </c>
      <c r="M470" s="4" t="str">
        <f>IFERROR(INDEX(_角色基线!$B$2:$B$100,MATCH($B470,_角色基线!$A$2:$A$100,0)),"")</f>
        <v>阿芭</v>
      </c>
      <c r="N470" s="4" t="str">
        <f>IFERROR(INDEX(_角色基线!$C$2:$C$100,MATCH($B470,_角色基线!$A$2:$A$100,0)),"")</f>
        <v>Tank</v>
      </c>
      <c r="O470" s="4">
        <f>IFERROR(INDEX(_怪物基线!$B$2:$B$501,MATCH(INT($L470),_怪物基线!$A$2:$A$501,0)),"")</f>
        <v>653808</v>
      </c>
      <c r="P470" s="4">
        <f>IFERROR(INDEX(_怪物基线!$C$2:$C$501,MATCH(INT($L470),_怪物基线!$A$2:$A$501,0)),"")</f>
        <v>35974</v>
      </c>
      <c r="Q470" s="4">
        <f>IFERROR(INDEX(_怪物基线!$D$2:$D$501,MATCH(INT($L470),_怪物基线!$A$2:$A$501,0)),"")</f>
        <v>35386</v>
      </c>
      <c r="R470" s="4">
        <f>参数!$B$10</f>
        <v>4</v>
      </c>
      <c r="S470" s="4">
        <f>参数!$C$10</f>
        <v>1.2</v>
      </c>
      <c r="T470" s="4">
        <f>参数!$D$10</f>
        <v>1</v>
      </c>
      <c r="U470" s="4">
        <f t="shared" si="49"/>
        <v>2615232</v>
      </c>
      <c r="V470" s="4">
        <f t="shared" si="50"/>
        <v>43168.8</v>
      </c>
      <c r="W470" s="4">
        <f t="shared" si="51"/>
        <v>35386</v>
      </c>
      <c r="X470" s="4">
        <f>IFERROR(INDEX(参数!$B$5:$B$7,MATCH($N470,参数!$A$5:$A$7,0)),"")</f>
        <v>1.5</v>
      </c>
      <c r="Y470" s="4">
        <f>IFERROR(INDEX(参数!$C$5:$C$7,MATCH($N470,参数!$A$5:$A$7,0)),"")</f>
        <v>1</v>
      </c>
      <c r="Z470" s="4">
        <f>IFERROR(INDEX(参数!$D$5:$D$7,MATCH($N470,参数!$A$5:$A$7,0)),"")</f>
        <v>1.5</v>
      </c>
      <c r="AA470" s="4">
        <f>IFERROR(INDEX(楼层配置!$E$5:$E$104,MATCH($K470,楼层配置!$B$5:$B$104,0)),1)</f>
        <v>1</v>
      </c>
      <c r="AB470" s="4">
        <f>IFERROR(INDEX(楼层配置!$F$5:$F$104,MATCH($K470,楼层配置!$B$5:$B$104,0)),1)</f>
        <v>1</v>
      </c>
      <c r="AC470" s="4">
        <f>IFERROR(INDEX(楼层配置!$G$5:$G$104,MATCH($K470,楼层配置!$B$5:$B$104,0)),1)</f>
        <v>1</v>
      </c>
      <c r="AD470" s="6">
        <f t="shared" si="52"/>
        <v>-0.341711137427278</v>
      </c>
      <c r="AE470" s="6">
        <f t="shared" si="53"/>
        <v>-0.178046458492003</v>
      </c>
      <c r="AF470" s="6">
        <f t="shared" si="54"/>
        <v>0.111602094240838</v>
      </c>
      <c r="AG470" s="4" t="str">
        <f t="shared" si="55"/>
        <v>有效</v>
      </c>
    </row>
    <row r="471" ht="14.25" customHeight="1" spans="1:33">
      <c r="A471" s="4">
        <v>467</v>
      </c>
      <c r="B471" s="4">
        <v>1008</v>
      </c>
      <c r="C471" s="4">
        <v>57</v>
      </c>
      <c r="D471" s="5">
        <f>IFERROR(ROUND($U471*$X471*$AA471*参数!$B$13,0),"")</f>
        <v>2615232</v>
      </c>
      <c r="E471" s="5">
        <f>IFERROR(ROUND($V471*$Y471*$AB471*参数!$C$13,0),"")</f>
        <v>51803</v>
      </c>
      <c r="F471" s="5">
        <f>IFERROR(ROUND($W471*$Z471*$AC471*参数!$D$13,0),"")</f>
        <v>35386</v>
      </c>
      <c r="G471" s="4">
        <v>3972772</v>
      </c>
      <c r="H471" s="4">
        <v>63024</v>
      </c>
      <c r="I471" s="4">
        <v>31833</v>
      </c>
      <c r="J471" s="4">
        <v>94</v>
      </c>
      <c r="K471" s="4">
        <v>94</v>
      </c>
      <c r="L471" s="4">
        <f>IFERROR(INDEX(楼层配置!$D$5:$D$104,MATCH($K471,楼层配置!$B$5:$B$104,0)),"")</f>
        <v>364</v>
      </c>
      <c r="M471" s="4" t="str">
        <f>IFERROR(INDEX(_角色基线!$B$2:$B$100,MATCH($B471,_角色基线!$A$2:$A$100,0)),"")</f>
        <v>薇</v>
      </c>
      <c r="N471" s="4" t="str">
        <f>IFERROR(INDEX(_角色基线!$C$2:$C$100,MATCH($B471,_角色基线!$A$2:$A$100,0)),"")</f>
        <v>DPS</v>
      </c>
      <c r="O471" s="4">
        <f>IFERROR(INDEX(_怪物基线!$B$2:$B$501,MATCH(INT($L471),_怪物基线!$A$2:$A$501,0)),"")</f>
        <v>653808</v>
      </c>
      <c r="P471" s="4">
        <f>IFERROR(INDEX(_怪物基线!$C$2:$C$501,MATCH(INT($L471),_怪物基线!$A$2:$A$501,0)),"")</f>
        <v>35974</v>
      </c>
      <c r="Q471" s="4">
        <f>IFERROR(INDEX(_怪物基线!$D$2:$D$501,MATCH(INT($L471),_怪物基线!$A$2:$A$501,0)),"")</f>
        <v>35386</v>
      </c>
      <c r="R471" s="4">
        <f>参数!$B$10</f>
        <v>4</v>
      </c>
      <c r="S471" s="4">
        <f>参数!$C$10</f>
        <v>1.2</v>
      </c>
      <c r="T471" s="4">
        <f>参数!$D$10</f>
        <v>1</v>
      </c>
      <c r="U471" s="4">
        <f t="shared" si="49"/>
        <v>2615232</v>
      </c>
      <c r="V471" s="4">
        <f t="shared" si="50"/>
        <v>43168.8</v>
      </c>
      <c r="W471" s="4">
        <f t="shared" si="51"/>
        <v>35386</v>
      </c>
      <c r="X471" s="4">
        <f>IFERROR(INDEX(参数!$B$5:$B$7,MATCH($N471,参数!$A$5:$A$7,0)),"")</f>
        <v>1</v>
      </c>
      <c r="Y471" s="4">
        <f>IFERROR(INDEX(参数!$C$5:$C$7,MATCH($N471,参数!$A$5:$A$7,0)),"")</f>
        <v>1.2</v>
      </c>
      <c r="Z471" s="4">
        <f>IFERROR(INDEX(参数!$D$5:$D$7,MATCH($N471,参数!$A$5:$A$7,0)),"")</f>
        <v>1</v>
      </c>
      <c r="AA471" s="4">
        <f>IFERROR(INDEX(楼层配置!$E$5:$E$104,MATCH($K471,楼层配置!$B$5:$B$104,0)),1)</f>
        <v>1</v>
      </c>
      <c r="AB471" s="4">
        <f>IFERROR(INDEX(楼层配置!$F$5:$F$104,MATCH($K471,楼层配置!$B$5:$B$104,0)),1)</f>
        <v>1</v>
      </c>
      <c r="AC471" s="4">
        <f>IFERROR(INDEX(楼层配置!$G$5:$G$104,MATCH($K471,楼层配置!$B$5:$B$104,0)),1)</f>
        <v>1</v>
      </c>
      <c r="AD471" s="6">
        <f t="shared" si="52"/>
        <v>-0.34171102696052</v>
      </c>
      <c r="AE471" s="6">
        <f t="shared" si="53"/>
        <v>-0.178043285097741</v>
      </c>
      <c r="AF471" s="6">
        <f t="shared" si="54"/>
        <v>0.111613734175227</v>
      </c>
      <c r="AG471" s="4" t="str">
        <f t="shared" si="55"/>
        <v>有效</v>
      </c>
    </row>
    <row r="472" ht="14.25" customHeight="1" spans="1:33">
      <c r="A472" s="4">
        <v>468</v>
      </c>
      <c r="B472" s="4">
        <v>1006</v>
      </c>
      <c r="C472" s="4">
        <v>57</v>
      </c>
      <c r="D472" s="5">
        <f>IFERROR(ROUND($U472*$X472*$AA472*参数!$B$13,0),"")</f>
        <v>2615232</v>
      </c>
      <c r="E472" s="5">
        <f>IFERROR(ROUND($V472*$Y472*$AB472*参数!$C$13,0),"")</f>
        <v>51803</v>
      </c>
      <c r="F472" s="5">
        <f>IFERROR(ROUND($W472*$Z472*$AC472*参数!$D$13,0),"")</f>
        <v>35386</v>
      </c>
      <c r="G472" s="4">
        <v>3972772</v>
      </c>
      <c r="H472" s="4">
        <v>63024</v>
      </c>
      <c r="I472" s="4">
        <v>31833</v>
      </c>
      <c r="J472" s="4">
        <v>94</v>
      </c>
      <c r="K472" s="4">
        <v>94</v>
      </c>
      <c r="L472" s="4">
        <f>IFERROR(INDEX(楼层配置!$D$5:$D$104,MATCH($K472,楼层配置!$B$5:$B$104,0)),"")</f>
        <v>364</v>
      </c>
      <c r="M472" s="4" t="str">
        <f>IFERROR(INDEX(_角色基线!$B$2:$B$100,MATCH($B472,_角色基线!$A$2:$A$100,0)),"")</f>
        <v>莉莉娅</v>
      </c>
      <c r="N472" s="4" t="str">
        <f>IFERROR(INDEX(_角色基线!$C$2:$C$100,MATCH($B472,_角色基线!$A$2:$A$100,0)),"")</f>
        <v>DPS</v>
      </c>
      <c r="O472" s="4">
        <f>IFERROR(INDEX(_怪物基线!$B$2:$B$501,MATCH(INT($L472),_怪物基线!$A$2:$A$501,0)),"")</f>
        <v>653808</v>
      </c>
      <c r="P472" s="4">
        <f>IFERROR(INDEX(_怪物基线!$C$2:$C$501,MATCH(INT($L472),_怪物基线!$A$2:$A$501,0)),"")</f>
        <v>35974</v>
      </c>
      <c r="Q472" s="4">
        <f>IFERROR(INDEX(_怪物基线!$D$2:$D$501,MATCH(INT($L472),_怪物基线!$A$2:$A$501,0)),"")</f>
        <v>35386</v>
      </c>
      <c r="R472" s="4">
        <f>参数!$B$10</f>
        <v>4</v>
      </c>
      <c r="S472" s="4">
        <f>参数!$C$10</f>
        <v>1.2</v>
      </c>
      <c r="T472" s="4">
        <f>参数!$D$10</f>
        <v>1</v>
      </c>
      <c r="U472" s="4">
        <f t="shared" si="49"/>
        <v>2615232</v>
      </c>
      <c r="V472" s="4">
        <f t="shared" si="50"/>
        <v>43168.8</v>
      </c>
      <c r="W472" s="4">
        <f t="shared" si="51"/>
        <v>35386</v>
      </c>
      <c r="X472" s="4">
        <f>IFERROR(INDEX(参数!$B$5:$B$7,MATCH($N472,参数!$A$5:$A$7,0)),"")</f>
        <v>1</v>
      </c>
      <c r="Y472" s="4">
        <f>IFERROR(INDEX(参数!$C$5:$C$7,MATCH($N472,参数!$A$5:$A$7,0)),"")</f>
        <v>1.2</v>
      </c>
      <c r="Z472" s="4">
        <f>IFERROR(INDEX(参数!$D$5:$D$7,MATCH($N472,参数!$A$5:$A$7,0)),"")</f>
        <v>1</v>
      </c>
      <c r="AA472" s="4">
        <f>IFERROR(INDEX(楼层配置!$E$5:$E$104,MATCH($K472,楼层配置!$B$5:$B$104,0)),1)</f>
        <v>1</v>
      </c>
      <c r="AB472" s="4">
        <f>IFERROR(INDEX(楼层配置!$F$5:$F$104,MATCH($K472,楼层配置!$B$5:$B$104,0)),1)</f>
        <v>1</v>
      </c>
      <c r="AC472" s="4">
        <f>IFERROR(INDEX(楼层配置!$G$5:$G$104,MATCH($K472,楼层配置!$B$5:$B$104,0)),1)</f>
        <v>1</v>
      </c>
      <c r="AD472" s="6">
        <f t="shared" si="52"/>
        <v>-0.34171102696052</v>
      </c>
      <c r="AE472" s="6">
        <f t="shared" si="53"/>
        <v>-0.178043285097741</v>
      </c>
      <c r="AF472" s="6">
        <f t="shared" si="54"/>
        <v>0.111613734175227</v>
      </c>
      <c r="AG472" s="4" t="str">
        <f t="shared" si="55"/>
        <v>有效</v>
      </c>
    </row>
    <row r="473" ht="14.25" customHeight="1" spans="1:33">
      <c r="A473" s="4">
        <v>469</v>
      </c>
      <c r="B473" s="4">
        <v>1005</v>
      </c>
      <c r="C473" s="4">
        <v>57</v>
      </c>
      <c r="D473" s="5">
        <f>IFERROR(ROUND($U473*$X473*$AA473*参数!$B$13,0),"")</f>
        <v>2615232</v>
      </c>
      <c r="E473" s="5">
        <f>IFERROR(ROUND($V473*$Y473*$AB473*参数!$C$13,0),"")</f>
        <v>51803</v>
      </c>
      <c r="F473" s="5">
        <f>IFERROR(ROUND($W473*$Z473*$AC473*参数!$D$13,0),"")</f>
        <v>35386</v>
      </c>
      <c r="G473" s="4">
        <v>3972772</v>
      </c>
      <c r="H473" s="4">
        <v>63024</v>
      </c>
      <c r="I473" s="4">
        <v>31833</v>
      </c>
      <c r="J473" s="4">
        <v>94</v>
      </c>
      <c r="K473" s="4">
        <v>94</v>
      </c>
      <c r="L473" s="4">
        <f>IFERROR(INDEX(楼层配置!$D$5:$D$104,MATCH($K473,楼层配置!$B$5:$B$104,0)),"")</f>
        <v>364</v>
      </c>
      <c r="M473" s="4" t="str">
        <f>IFERROR(INDEX(_角色基线!$B$2:$B$100,MATCH($B473,_角色基线!$A$2:$A$100,0)),"")</f>
        <v>陈单单</v>
      </c>
      <c r="N473" s="4" t="str">
        <f>IFERROR(INDEX(_角色基线!$C$2:$C$100,MATCH($B473,_角色基线!$A$2:$A$100,0)),"")</f>
        <v>DPS</v>
      </c>
      <c r="O473" s="4">
        <f>IFERROR(INDEX(_怪物基线!$B$2:$B$501,MATCH(INT($L473),_怪物基线!$A$2:$A$501,0)),"")</f>
        <v>653808</v>
      </c>
      <c r="P473" s="4">
        <f>IFERROR(INDEX(_怪物基线!$C$2:$C$501,MATCH(INT($L473),_怪物基线!$A$2:$A$501,0)),"")</f>
        <v>35974</v>
      </c>
      <c r="Q473" s="4">
        <f>IFERROR(INDEX(_怪物基线!$D$2:$D$501,MATCH(INT($L473),_怪物基线!$A$2:$A$501,0)),"")</f>
        <v>35386</v>
      </c>
      <c r="R473" s="4">
        <f>参数!$B$10</f>
        <v>4</v>
      </c>
      <c r="S473" s="4">
        <f>参数!$C$10</f>
        <v>1.2</v>
      </c>
      <c r="T473" s="4">
        <f>参数!$D$10</f>
        <v>1</v>
      </c>
      <c r="U473" s="4">
        <f t="shared" si="49"/>
        <v>2615232</v>
      </c>
      <c r="V473" s="4">
        <f t="shared" si="50"/>
        <v>43168.8</v>
      </c>
      <c r="W473" s="4">
        <f t="shared" si="51"/>
        <v>35386</v>
      </c>
      <c r="X473" s="4">
        <f>IFERROR(INDEX(参数!$B$5:$B$7,MATCH($N473,参数!$A$5:$A$7,0)),"")</f>
        <v>1</v>
      </c>
      <c r="Y473" s="4">
        <f>IFERROR(INDEX(参数!$C$5:$C$7,MATCH($N473,参数!$A$5:$A$7,0)),"")</f>
        <v>1.2</v>
      </c>
      <c r="Z473" s="4">
        <f>IFERROR(INDEX(参数!$D$5:$D$7,MATCH($N473,参数!$A$5:$A$7,0)),"")</f>
        <v>1</v>
      </c>
      <c r="AA473" s="4">
        <f>IFERROR(INDEX(楼层配置!$E$5:$E$104,MATCH($K473,楼层配置!$B$5:$B$104,0)),1)</f>
        <v>1</v>
      </c>
      <c r="AB473" s="4">
        <f>IFERROR(INDEX(楼层配置!$F$5:$F$104,MATCH($K473,楼层配置!$B$5:$B$104,0)),1)</f>
        <v>1</v>
      </c>
      <c r="AC473" s="4">
        <f>IFERROR(INDEX(楼层配置!$G$5:$G$104,MATCH($K473,楼层配置!$B$5:$B$104,0)),1)</f>
        <v>1</v>
      </c>
      <c r="AD473" s="6">
        <f t="shared" si="52"/>
        <v>-0.34171102696052</v>
      </c>
      <c r="AE473" s="6">
        <f t="shared" si="53"/>
        <v>-0.178043285097741</v>
      </c>
      <c r="AF473" s="6">
        <f t="shared" si="54"/>
        <v>0.111613734175227</v>
      </c>
      <c r="AG473" s="4" t="str">
        <f t="shared" si="55"/>
        <v>有效</v>
      </c>
    </row>
    <row r="474" ht="14.25" customHeight="1" spans="1:33">
      <c r="A474" s="4">
        <v>470</v>
      </c>
      <c r="B474" s="4">
        <v>1007</v>
      </c>
      <c r="C474" s="4">
        <v>57</v>
      </c>
      <c r="D474" s="5">
        <f>IFERROR(ROUND($U474*$X474*$AA474*参数!$B$13,0),"")</f>
        <v>3269040</v>
      </c>
      <c r="E474" s="5">
        <f>IFERROR(ROUND($V474*$Y474*$AB474*参数!$C$13,0),"")</f>
        <v>43169</v>
      </c>
      <c r="F474" s="5">
        <f>IFERROR(ROUND($W474*$Z474*$AC474*参数!$D$13,0),"")</f>
        <v>44233</v>
      </c>
      <c r="G474" s="4">
        <v>4965966</v>
      </c>
      <c r="H474" s="4">
        <v>52520</v>
      </c>
      <c r="I474" s="4">
        <v>39792</v>
      </c>
      <c r="J474" s="4">
        <v>94</v>
      </c>
      <c r="K474" s="4">
        <v>94</v>
      </c>
      <c r="L474" s="4">
        <f>IFERROR(INDEX(楼层配置!$D$5:$D$104,MATCH($K474,楼层配置!$B$5:$B$104,0)),"")</f>
        <v>364</v>
      </c>
      <c r="M474" s="4" t="str">
        <f>IFERROR(INDEX(_角色基线!$B$2:$B$100,MATCH($B474,_角色基线!$A$2:$A$100,0)),"")</f>
        <v>萨萨莉安</v>
      </c>
      <c r="N474" s="4" t="str">
        <f>IFERROR(INDEX(_角色基线!$C$2:$C$100,MATCH($B474,_角色基线!$A$2:$A$100,0)),"")</f>
        <v>Support</v>
      </c>
      <c r="O474" s="4">
        <f>IFERROR(INDEX(_怪物基线!$B$2:$B$501,MATCH(INT($L474),_怪物基线!$A$2:$A$501,0)),"")</f>
        <v>653808</v>
      </c>
      <c r="P474" s="4">
        <f>IFERROR(INDEX(_怪物基线!$C$2:$C$501,MATCH(INT($L474),_怪物基线!$A$2:$A$501,0)),"")</f>
        <v>35974</v>
      </c>
      <c r="Q474" s="4">
        <f>IFERROR(INDEX(_怪物基线!$D$2:$D$501,MATCH(INT($L474),_怪物基线!$A$2:$A$501,0)),"")</f>
        <v>35386</v>
      </c>
      <c r="R474" s="4">
        <f>参数!$B$10</f>
        <v>4</v>
      </c>
      <c r="S474" s="4">
        <f>参数!$C$10</f>
        <v>1.2</v>
      </c>
      <c r="T474" s="4">
        <f>参数!$D$10</f>
        <v>1</v>
      </c>
      <c r="U474" s="4">
        <f t="shared" si="49"/>
        <v>2615232</v>
      </c>
      <c r="V474" s="4">
        <f t="shared" si="50"/>
        <v>43168.8</v>
      </c>
      <c r="W474" s="4">
        <f t="shared" si="51"/>
        <v>35386</v>
      </c>
      <c r="X474" s="4">
        <f>IFERROR(INDEX(参数!$B$5:$B$7,MATCH($N474,参数!$A$5:$A$7,0)),"")</f>
        <v>1.25</v>
      </c>
      <c r="Y474" s="4">
        <f>IFERROR(INDEX(参数!$C$5:$C$7,MATCH($N474,参数!$A$5:$A$7,0)),"")</f>
        <v>1</v>
      </c>
      <c r="Z474" s="4">
        <f>IFERROR(INDEX(参数!$D$5:$D$7,MATCH($N474,参数!$A$5:$A$7,0)),"")</f>
        <v>1.25</v>
      </c>
      <c r="AA474" s="4">
        <f>IFERROR(INDEX(楼层配置!$E$5:$E$104,MATCH($K474,楼层配置!$B$5:$B$104,0)),1)</f>
        <v>1</v>
      </c>
      <c r="AB474" s="4">
        <f>IFERROR(INDEX(楼层配置!$F$5:$F$104,MATCH($K474,楼层配置!$B$5:$B$104,0)),1)</f>
        <v>1</v>
      </c>
      <c r="AC474" s="4">
        <f>IFERROR(INDEX(楼层配置!$G$5:$G$104,MATCH($K474,楼层配置!$B$5:$B$104,0)),1)</f>
        <v>1</v>
      </c>
      <c r="AD474" s="6">
        <f t="shared" si="52"/>
        <v>-0.341711159520625</v>
      </c>
      <c r="AE474" s="6">
        <f t="shared" si="53"/>
        <v>-0.178046458492003</v>
      </c>
      <c r="AF474" s="6">
        <f t="shared" si="54"/>
        <v>0.111605347808605</v>
      </c>
      <c r="AG474" s="4" t="str">
        <f t="shared" si="55"/>
        <v>有效</v>
      </c>
    </row>
    <row r="475" ht="14.25" customHeight="1" spans="1:33">
      <c r="A475" s="4">
        <v>471</v>
      </c>
      <c r="B475" s="4">
        <v>1003</v>
      </c>
      <c r="C475" s="4">
        <v>57</v>
      </c>
      <c r="D475" s="5">
        <f>IFERROR(ROUND($U475*$X475*$AA475*参数!$B$13,0),"")</f>
        <v>3953652</v>
      </c>
      <c r="E475" s="5">
        <f>IFERROR(ROUND($V475*$Y475*$AB475*参数!$C$13,0),"")</f>
        <v>43444</v>
      </c>
      <c r="F475" s="5">
        <f>IFERROR(ROUND($W475*$Z475*$AC475*参数!$D$13,0),"")</f>
        <v>53288</v>
      </c>
      <c r="G475" s="4">
        <v>6137373</v>
      </c>
      <c r="H475" s="4">
        <v>53860</v>
      </c>
      <c r="I475" s="4">
        <v>48452</v>
      </c>
      <c r="J475" s="4">
        <v>95</v>
      </c>
      <c r="K475" s="4">
        <v>95</v>
      </c>
      <c r="L475" s="4">
        <f>IFERROR(INDEX(楼层配置!$D$5:$D$104,MATCH($K475,楼层配置!$B$5:$B$104,0)),"")</f>
        <v>365</v>
      </c>
      <c r="M475" s="4" t="str">
        <f>IFERROR(INDEX(_角色基线!$B$2:$B$100,MATCH($B475,_角色基线!$A$2:$A$100,0)),"")</f>
        <v>塔拉夏</v>
      </c>
      <c r="N475" s="4" t="str">
        <f>IFERROR(INDEX(_角色基线!$C$2:$C$100,MATCH($B475,_角色基线!$A$2:$A$100,0)),"")</f>
        <v>Tank</v>
      </c>
      <c r="O475" s="4">
        <f>IFERROR(INDEX(_怪物基线!$B$2:$B$501,MATCH(INT($L475),_怪物基线!$A$2:$A$501,0)),"")</f>
        <v>658942</v>
      </c>
      <c r="P475" s="4">
        <f>IFERROR(INDEX(_怪物基线!$C$2:$C$501,MATCH(INT($L475),_怪物基线!$A$2:$A$501,0)),"")</f>
        <v>36203</v>
      </c>
      <c r="Q475" s="4">
        <f>IFERROR(INDEX(_怪物基线!$D$2:$D$501,MATCH(INT($L475),_怪物基线!$A$2:$A$501,0)),"")</f>
        <v>35525</v>
      </c>
      <c r="R475" s="4">
        <f>参数!$B$10</f>
        <v>4</v>
      </c>
      <c r="S475" s="4">
        <f>参数!$C$10</f>
        <v>1.2</v>
      </c>
      <c r="T475" s="4">
        <f>参数!$D$10</f>
        <v>1</v>
      </c>
      <c r="U475" s="4">
        <f t="shared" si="49"/>
        <v>2635768</v>
      </c>
      <c r="V475" s="4">
        <f t="shared" si="50"/>
        <v>43443.6</v>
      </c>
      <c r="W475" s="4">
        <f t="shared" si="51"/>
        <v>35525</v>
      </c>
      <c r="X475" s="4">
        <f>IFERROR(INDEX(参数!$B$5:$B$7,MATCH($N475,参数!$A$5:$A$7,0)),"")</f>
        <v>1.5</v>
      </c>
      <c r="Y475" s="4">
        <f>IFERROR(INDEX(参数!$C$5:$C$7,MATCH($N475,参数!$A$5:$A$7,0)),"")</f>
        <v>1</v>
      </c>
      <c r="Z475" s="4">
        <f>IFERROR(INDEX(参数!$D$5:$D$7,MATCH($N475,参数!$A$5:$A$7,0)),"")</f>
        <v>1.5</v>
      </c>
      <c r="AA475" s="4">
        <f>IFERROR(INDEX(楼层配置!$E$5:$E$104,MATCH($K475,楼层配置!$B$5:$B$104,0)),1)</f>
        <v>1</v>
      </c>
      <c r="AB475" s="4">
        <f>IFERROR(INDEX(楼层配置!$F$5:$F$104,MATCH($K475,楼层配置!$B$5:$B$104,0)),1)</f>
        <v>1</v>
      </c>
      <c r="AC475" s="4">
        <f>IFERROR(INDEX(楼层配置!$G$5:$G$104,MATCH($K475,楼层配置!$B$5:$B$104,0)),1)</f>
        <v>1</v>
      </c>
      <c r="AD475" s="6">
        <f t="shared" si="52"/>
        <v>-0.355807118126925</v>
      </c>
      <c r="AE475" s="6">
        <f t="shared" si="53"/>
        <v>-0.193390271073153</v>
      </c>
      <c r="AF475" s="6">
        <f t="shared" si="54"/>
        <v>0.0998101213572196</v>
      </c>
      <c r="AG475" s="4" t="str">
        <f t="shared" si="55"/>
        <v>有效</v>
      </c>
    </row>
    <row r="476" ht="14.25" customHeight="1" spans="1:33">
      <c r="A476" s="4">
        <v>472</v>
      </c>
      <c r="B476" s="4">
        <v>1017</v>
      </c>
      <c r="C476" s="4">
        <v>57</v>
      </c>
      <c r="D476" s="5">
        <f>IFERROR(ROUND($U476*$X476*$AA476*参数!$B$13,0),"")</f>
        <v>2635768</v>
      </c>
      <c r="E476" s="5">
        <f>IFERROR(ROUND($V476*$Y476*$AB476*参数!$C$13,0),"")</f>
        <v>52132</v>
      </c>
      <c r="F476" s="5">
        <f>IFERROR(ROUND($W476*$Z476*$AC476*参数!$D$13,0),"")</f>
        <v>35525</v>
      </c>
      <c r="G476" s="4">
        <v>4091582</v>
      </c>
      <c r="H476" s="4">
        <v>64632</v>
      </c>
      <c r="I476" s="4">
        <v>32301</v>
      </c>
      <c r="J476" s="4">
        <v>95</v>
      </c>
      <c r="K476" s="4">
        <v>95</v>
      </c>
      <c r="L476" s="4">
        <f>IFERROR(INDEX(楼层配置!$D$5:$D$104,MATCH($K476,楼层配置!$B$5:$B$104,0)),"")</f>
        <v>365</v>
      </c>
      <c r="M476" s="4" t="str">
        <f>IFERROR(INDEX(_角色基线!$B$2:$B$100,MATCH($B476,_角色基线!$A$2:$A$100,0)),"")</f>
        <v>伊戈尔</v>
      </c>
      <c r="N476" s="4" t="str">
        <f>IFERROR(INDEX(_角色基线!$C$2:$C$100,MATCH($B476,_角色基线!$A$2:$A$100,0)),"")</f>
        <v>DPS</v>
      </c>
      <c r="O476" s="4">
        <f>IFERROR(INDEX(_怪物基线!$B$2:$B$501,MATCH(INT($L476),_怪物基线!$A$2:$A$501,0)),"")</f>
        <v>658942</v>
      </c>
      <c r="P476" s="4">
        <f>IFERROR(INDEX(_怪物基线!$C$2:$C$501,MATCH(INT($L476),_怪物基线!$A$2:$A$501,0)),"")</f>
        <v>36203</v>
      </c>
      <c r="Q476" s="4">
        <f>IFERROR(INDEX(_怪物基线!$D$2:$D$501,MATCH(INT($L476),_怪物基线!$A$2:$A$501,0)),"")</f>
        <v>35525</v>
      </c>
      <c r="R476" s="4">
        <f>参数!$B$10</f>
        <v>4</v>
      </c>
      <c r="S476" s="4">
        <f>参数!$C$10</f>
        <v>1.2</v>
      </c>
      <c r="T476" s="4">
        <f>参数!$D$10</f>
        <v>1</v>
      </c>
      <c r="U476" s="4">
        <f t="shared" si="49"/>
        <v>2635768</v>
      </c>
      <c r="V476" s="4">
        <f t="shared" si="50"/>
        <v>43443.6</v>
      </c>
      <c r="W476" s="4">
        <f t="shared" si="51"/>
        <v>35525</v>
      </c>
      <c r="X476" s="4">
        <f>IFERROR(INDEX(参数!$B$5:$B$7,MATCH($N476,参数!$A$5:$A$7,0)),"")</f>
        <v>1</v>
      </c>
      <c r="Y476" s="4">
        <f>IFERROR(INDEX(参数!$C$5:$C$7,MATCH($N476,参数!$A$5:$A$7,0)),"")</f>
        <v>1.2</v>
      </c>
      <c r="Z476" s="4">
        <f>IFERROR(INDEX(参数!$D$5:$D$7,MATCH($N476,参数!$A$5:$A$7,0)),"")</f>
        <v>1</v>
      </c>
      <c r="AA476" s="4">
        <f>IFERROR(INDEX(楼层配置!$E$5:$E$104,MATCH($K476,楼层配置!$B$5:$B$104,0)),1)</f>
        <v>1</v>
      </c>
      <c r="AB476" s="4">
        <f>IFERROR(INDEX(楼层配置!$F$5:$F$104,MATCH($K476,楼层配置!$B$5:$B$104,0)),1)</f>
        <v>1</v>
      </c>
      <c r="AC476" s="4">
        <f>IFERROR(INDEX(楼层配置!$G$5:$G$104,MATCH($K476,楼层配置!$B$5:$B$104,0)),1)</f>
        <v>1</v>
      </c>
      <c r="AD476" s="6">
        <f t="shared" si="52"/>
        <v>-0.355807118126925</v>
      </c>
      <c r="AE476" s="6">
        <f t="shared" si="53"/>
        <v>-0.193402648842679</v>
      </c>
      <c r="AF476" s="6">
        <f t="shared" si="54"/>
        <v>0.099811151357543</v>
      </c>
      <c r="AG476" s="4" t="str">
        <f t="shared" si="55"/>
        <v>有效</v>
      </c>
    </row>
    <row r="477" ht="14.25" customHeight="1" spans="1:33">
      <c r="A477" s="4">
        <v>473</v>
      </c>
      <c r="B477" s="4">
        <v>1017</v>
      </c>
      <c r="C477" s="4">
        <v>57</v>
      </c>
      <c r="D477" s="5">
        <f>IFERROR(ROUND($U477*$X477*$AA477*参数!$B$13,0),"")</f>
        <v>2635768</v>
      </c>
      <c r="E477" s="5">
        <f>IFERROR(ROUND($V477*$Y477*$AB477*参数!$C$13,0),"")</f>
        <v>52132</v>
      </c>
      <c r="F477" s="5">
        <f>IFERROR(ROUND($W477*$Z477*$AC477*参数!$D$13,0),"")</f>
        <v>35525</v>
      </c>
      <c r="G477" s="4">
        <v>4091582</v>
      </c>
      <c r="H477" s="4">
        <v>64632</v>
      </c>
      <c r="I477" s="4">
        <v>32301</v>
      </c>
      <c r="J477" s="4">
        <v>95</v>
      </c>
      <c r="K477" s="4">
        <v>95</v>
      </c>
      <c r="L477" s="4">
        <f>IFERROR(INDEX(楼层配置!$D$5:$D$104,MATCH($K477,楼层配置!$B$5:$B$104,0)),"")</f>
        <v>365</v>
      </c>
      <c r="M477" s="4" t="str">
        <f>IFERROR(INDEX(_角色基线!$B$2:$B$100,MATCH($B477,_角色基线!$A$2:$A$100,0)),"")</f>
        <v>伊戈尔</v>
      </c>
      <c r="N477" s="4" t="str">
        <f>IFERROR(INDEX(_角色基线!$C$2:$C$100,MATCH($B477,_角色基线!$A$2:$A$100,0)),"")</f>
        <v>DPS</v>
      </c>
      <c r="O477" s="4">
        <f>IFERROR(INDEX(_怪物基线!$B$2:$B$501,MATCH(INT($L477),_怪物基线!$A$2:$A$501,0)),"")</f>
        <v>658942</v>
      </c>
      <c r="P477" s="4">
        <f>IFERROR(INDEX(_怪物基线!$C$2:$C$501,MATCH(INT($L477),_怪物基线!$A$2:$A$501,0)),"")</f>
        <v>36203</v>
      </c>
      <c r="Q477" s="4">
        <f>IFERROR(INDEX(_怪物基线!$D$2:$D$501,MATCH(INT($L477),_怪物基线!$A$2:$A$501,0)),"")</f>
        <v>35525</v>
      </c>
      <c r="R477" s="4">
        <f>参数!$B$10</f>
        <v>4</v>
      </c>
      <c r="S477" s="4">
        <f>参数!$C$10</f>
        <v>1.2</v>
      </c>
      <c r="T477" s="4">
        <f>参数!$D$10</f>
        <v>1</v>
      </c>
      <c r="U477" s="4">
        <f t="shared" si="49"/>
        <v>2635768</v>
      </c>
      <c r="V477" s="4">
        <f t="shared" si="50"/>
        <v>43443.6</v>
      </c>
      <c r="W477" s="4">
        <f t="shared" si="51"/>
        <v>35525</v>
      </c>
      <c r="X477" s="4">
        <f>IFERROR(INDEX(参数!$B$5:$B$7,MATCH($N477,参数!$A$5:$A$7,0)),"")</f>
        <v>1</v>
      </c>
      <c r="Y477" s="4">
        <f>IFERROR(INDEX(参数!$C$5:$C$7,MATCH($N477,参数!$A$5:$A$7,0)),"")</f>
        <v>1.2</v>
      </c>
      <c r="Z477" s="4">
        <f>IFERROR(INDEX(参数!$D$5:$D$7,MATCH($N477,参数!$A$5:$A$7,0)),"")</f>
        <v>1</v>
      </c>
      <c r="AA477" s="4">
        <f>IFERROR(INDEX(楼层配置!$E$5:$E$104,MATCH($K477,楼层配置!$B$5:$B$104,0)),1)</f>
        <v>1</v>
      </c>
      <c r="AB477" s="4">
        <f>IFERROR(INDEX(楼层配置!$F$5:$F$104,MATCH($K477,楼层配置!$B$5:$B$104,0)),1)</f>
        <v>1</v>
      </c>
      <c r="AC477" s="4">
        <f>IFERROR(INDEX(楼层配置!$G$5:$G$104,MATCH($K477,楼层配置!$B$5:$B$104,0)),1)</f>
        <v>1</v>
      </c>
      <c r="AD477" s="6">
        <f t="shared" si="52"/>
        <v>-0.355807118126925</v>
      </c>
      <c r="AE477" s="6">
        <f t="shared" si="53"/>
        <v>-0.193402648842679</v>
      </c>
      <c r="AF477" s="6">
        <f t="shared" si="54"/>
        <v>0.099811151357543</v>
      </c>
      <c r="AG477" s="4" t="str">
        <f t="shared" si="55"/>
        <v>有效</v>
      </c>
    </row>
    <row r="478" ht="14.25" customHeight="1" spans="1:33">
      <c r="A478" s="4">
        <v>474</v>
      </c>
      <c r="B478" s="4">
        <v>1017</v>
      </c>
      <c r="C478" s="4">
        <v>57</v>
      </c>
      <c r="D478" s="5">
        <f>IFERROR(ROUND($U478*$X478*$AA478*参数!$B$13,0),"")</f>
        <v>2635768</v>
      </c>
      <c r="E478" s="5">
        <f>IFERROR(ROUND($V478*$Y478*$AB478*参数!$C$13,0),"")</f>
        <v>52132</v>
      </c>
      <c r="F478" s="5">
        <f>IFERROR(ROUND($W478*$Z478*$AC478*参数!$D$13,0),"")</f>
        <v>35525</v>
      </c>
      <c r="G478" s="4">
        <v>4091582</v>
      </c>
      <c r="H478" s="4">
        <v>64632</v>
      </c>
      <c r="I478" s="4">
        <v>32301</v>
      </c>
      <c r="J478" s="4">
        <v>95</v>
      </c>
      <c r="K478" s="4">
        <v>95</v>
      </c>
      <c r="L478" s="4">
        <f>IFERROR(INDEX(楼层配置!$D$5:$D$104,MATCH($K478,楼层配置!$B$5:$B$104,0)),"")</f>
        <v>365</v>
      </c>
      <c r="M478" s="4" t="str">
        <f>IFERROR(INDEX(_角色基线!$B$2:$B$100,MATCH($B478,_角色基线!$A$2:$A$100,0)),"")</f>
        <v>伊戈尔</v>
      </c>
      <c r="N478" s="4" t="str">
        <f>IFERROR(INDEX(_角色基线!$C$2:$C$100,MATCH($B478,_角色基线!$A$2:$A$100,0)),"")</f>
        <v>DPS</v>
      </c>
      <c r="O478" s="4">
        <f>IFERROR(INDEX(_怪物基线!$B$2:$B$501,MATCH(INT($L478),_怪物基线!$A$2:$A$501,0)),"")</f>
        <v>658942</v>
      </c>
      <c r="P478" s="4">
        <f>IFERROR(INDEX(_怪物基线!$C$2:$C$501,MATCH(INT($L478),_怪物基线!$A$2:$A$501,0)),"")</f>
        <v>36203</v>
      </c>
      <c r="Q478" s="4">
        <f>IFERROR(INDEX(_怪物基线!$D$2:$D$501,MATCH(INT($L478),_怪物基线!$A$2:$A$501,0)),"")</f>
        <v>35525</v>
      </c>
      <c r="R478" s="4">
        <f>参数!$B$10</f>
        <v>4</v>
      </c>
      <c r="S478" s="4">
        <f>参数!$C$10</f>
        <v>1.2</v>
      </c>
      <c r="T478" s="4">
        <f>参数!$D$10</f>
        <v>1</v>
      </c>
      <c r="U478" s="4">
        <f t="shared" si="49"/>
        <v>2635768</v>
      </c>
      <c r="V478" s="4">
        <f t="shared" si="50"/>
        <v>43443.6</v>
      </c>
      <c r="W478" s="4">
        <f t="shared" si="51"/>
        <v>35525</v>
      </c>
      <c r="X478" s="4">
        <f>IFERROR(INDEX(参数!$B$5:$B$7,MATCH($N478,参数!$A$5:$A$7,0)),"")</f>
        <v>1</v>
      </c>
      <c r="Y478" s="4">
        <f>IFERROR(INDEX(参数!$C$5:$C$7,MATCH($N478,参数!$A$5:$A$7,0)),"")</f>
        <v>1.2</v>
      </c>
      <c r="Z478" s="4">
        <f>IFERROR(INDEX(参数!$D$5:$D$7,MATCH($N478,参数!$A$5:$A$7,0)),"")</f>
        <v>1</v>
      </c>
      <c r="AA478" s="4">
        <f>IFERROR(INDEX(楼层配置!$E$5:$E$104,MATCH($K478,楼层配置!$B$5:$B$104,0)),1)</f>
        <v>1</v>
      </c>
      <c r="AB478" s="4">
        <f>IFERROR(INDEX(楼层配置!$F$5:$F$104,MATCH($K478,楼层配置!$B$5:$B$104,0)),1)</f>
        <v>1</v>
      </c>
      <c r="AC478" s="4">
        <f>IFERROR(INDEX(楼层配置!$G$5:$G$104,MATCH($K478,楼层配置!$B$5:$B$104,0)),1)</f>
        <v>1</v>
      </c>
      <c r="AD478" s="6">
        <f t="shared" si="52"/>
        <v>-0.355807118126925</v>
      </c>
      <c r="AE478" s="6">
        <f t="shared" si="53"/>
        <v>-0.193402648842679</v>
      </c>
      <c r="AF478" s="6">
        <f t="shared" si="54"/>
        <v>0.099811151357543</v>
      </c>
      <c r="AG478" s="4" t="str">
        <f t="shared" si="55"/>
        <v>有效</v>
      </c>
    </row>
    <row r="479" ht="14.25" customHeight="1" spans="1:33">
      <c r="A479" s="4">
        <v>475</v>
      </c>
      <c r="B479" s="4">
        <v>1007</v>
      </c>
      <c r="C479" s="4">
        <v>57</v>
      </c>
      <c r="D479" s="5">
        <f>IFERROR(ROUND($U479*$X479*$AA479*参数!$B$13,0),"")</f>
        <v>3294710</v>
      </c>
      <c r="E479" s="5">
        <f>IFERROR(ROUND($V479*$Y479*$AB479*参数!$C$13,0),"")</f>
        <v>43444</v>
      </c>
      <c r="F479" s="5">
        <f>IFERROR(ROUND($W479*$Z479*$AC479*参数!$D$13,0),"")</f>
        <v>44406</v>
      </c>
      <c r="G479" s="4">
        <v>5114478</v>
      </c>
      <c r="H479" s="4">
        <v>53860</v>
      </c>
      <c r="I479" s="4">
        <v>40377</v>
      </c>
      <c r="J479" s="4">
        <v>95</v>
      </c>
      <c r="K479" s="4">
        <v>95</v>
      </c>
      <c r="L479" s="4">
        <f>IFERROR(INDEX(楼层配置!$D$5:$D$104,MATCH($K479,楼层配置!$B$5:$B$104,0)),"")</f>
        <v>365</v>
      </c>
      <c r="M479" s="4" t="str">
        <f>IFERROR(INDEX(_角色基线!$B$2:$B$100,MATCH($B479,_角色基线!$A$2:$A$100,0)),"")</f>
        <v>萨萨莉安</v>
      </c>
      <c r="N479" s="4" t="str">
        <f>IFERROR(INDEX(_角色基线!$C$2:$C$100,MATCH($B479,_角色基线!$A$2:$A$100,0)),"")</f>
        <v>Support</v>
      </c>
      <c r="O479" s="4">
        <f>IFERROR(INDEX(_怪物基线!$B$2:$B$501,MATCH(INT($L479),_怪物基线!$A$2:$A$501,0)),"")</f>
        <v>658942</v>
      </c>
      <c r="P479" s="4">
        <f>IFERROR(INDEX(_怪物基线!$C$2:$C$501,MATCH(INT($L479),_怪物基线!$A$2:$A$501,0)),"")</f>
        <v>36203</v>
      </c>
      <c r="Q479" s="4">
        <f>IFERROR(INDEX(_怪物基线!$D$2:$D$501,MATCH(INT($L479),_怪物基线!$A$2:$A$501,0)),"")</f>
        <v>35525</v>
      </c>
      <c r="R479" s="4">
        <f>参数!$B$10</f>
        <v>4</v>
      </c>
      <c r="S479" s="4">
        <f>参数!$C$10</f>
        <v>1.2</v>
      </c>
      <c r="T479" s="4">
        <f>参数!$D$10</f>
        <v>1</v>
      </c>
      <c r="U479" s="4">
        <f t="shared" si="49"/>
        <v>2635768</v>
      </c>
      <c r="V479" s="4">
        <f t="shared" si="50"/>
        <v>43443.6</v>
      </c>
      <c r="W479" s="4">
        <f t="shared" si="51"/>
        <v>35525</v>
      </c>
      <c r="X479" s="4">
        <f>IFERROR(INDEX(参数!$B$5:$B$7,MATCH($N479,参数!$A$5:$A$7,0)),"")</f>
        <v>1.25</v>
      </c>
      <c r="Y479" s="4">
        <f>IFERROR(INDEX(参数!$C$5:$C$7,MATCH($N479,参数!$A$5:$A$7,0)),"")</f>
        <v>1</v>
      </c>
      <c r="Z479" s="4">
        <f>IFERROR(INDEX(参数!$D$5:$D$7,MATCH($N479,参数!$A$5:$A$7,0)),"")</f>
        <v>1.25</v>
      </c>
      <c r="AA479" s="4">
        <f>IFERROR(INDEX(楼层配置!$E$5:$E$104,MATCH($K479,楼层配置!$B$5:$B$104,0)),1)</f>
        <v>1</v>
      </c>
      <c r="AB479" s="4">
        <f>IFERROR(INDEX(楼层配置!$F$5:$F$104,MATCH($K479,楼层配置!$B$5:$B$104,0)),1)</f>
        <v>1</v>
      </c>
      <c r="AC479" s="4">
        <f>IFERROR(INDEX(楼层配置!$G$5:$G$104,MATCH($K479,楼层配置!$B$5:$B$104,0)),1)</f>
        <v>1</v>
      </c>
      <c r="AD479" s="6">
        <f t="shared" si="52"/>
        <v>-0.355807181104308</v>
      </c>
      <c r="AE479" s="6">
        <f t="shared" si="53"/>
        <v>-0.193390271073153</v>
      </c>
      <c r="AF479" s="6">
        <f t="shared" si="54"/>
        <v>0.099784530797236</v>
      </c>
      <c r="AG479" s="4" t="str">
        <f t="shared" si="55"/>
        <v>有效</v>
      </c>
    </row>
    <row r="480" ht="14.25" customHeight="1" spans="1:33">
      <c r="A480" s="4">
        <v>476</v>
      </c>
      <c r="B480" s="4">
        <v>1003</v>
      </c>
      <c r="C480" s="4">
        <v>58</v>
      </c>
      <c r="D480" s="5">
        <f>IFERROR(ROUND($U480*$X480*$AA480*参数!$B$13,0),"")</f>
        <v>3984642</v>
      </c>
      <c r="E480" s="5">
        <f>IFERROR(ROUND($V480*$Y480*$AB480*参数!$C$13,0),"")</f>
        <v>43721</v>
      </c>
      <c r="F480" s="5">
        <f>IFERROR(ROUND($W480*$Z480*$AC480*参数!$D$13,0),"")</f>
        <v>53496</v>
      </c>
      <c r="G480" s="4">
        <v>6319612</v>
      </c>
      <c r="H480" s="4">
        <v>55231</v>
      </c>
      <c r="I480" s="4">
        <v>49158</v>
      </c>
      <c r="J480" s="4">
        <v>96</v>
      </c>
      <c r="K480" s="4">
        <v>96</v>
      </c>
      <c r="L480" s="4">
        <f>IFERROR(INDEX(楼层配置!$D$5:$D$104,MATCH($K480,楼层配置!$B$5:$B$104,0)),"")</f>
        <v>366</v>
      </c>
      <c r="M480" s="4" t="str">
        <f>IFERROR(INDEX(_角色基线!$B$2:$B$100,MATCH($B480,_角色基线!$A$2:$A$100,0)),"")</f>
        <v>塔拉夏</v>
      </c>
      <c r="N480" s="4" t="str">
        <f>IFERROR(INDEX(_角色基线!$C$2:$C$100,MATCH($B480,_角色基线!$A$2:$A$100,0)),"")</f>
        <v>Tank</v>
      </c>
      <c r="O480" s="4">
        <f>IFERROR(INDEX(_怪物基线!$B$2:$B$501,MATCH(INT($L480),_怪物基线!$A$2:$A$501,0)),"")</f>
        <v>664107</v>
      </c>
      <c r="P480" s="4">
        <f>IFERROR(INDEX(_怪物基线!$C$2:$C$501,MATCH(INT($L480),_怪物基线!$A$2:$A$501,0)),"")</f>
        <v>36434</v>
      </c>
      <c r="Q480" s="4">
        <f>IFERROR(INDEX(_怪物基线!$D$2:$D$501,MATCH(INT($L480),_怪物基线!$A$2:$A$501,0)),"")</f>
        <v>35664</v>
      </c>
      <c r="R480" s="4">
        <f>参数!$B$10</f>
        <v>4</v>
      </c>
      <c r="S480" s="4">
        <f>参数!$C$10</f>
        <v>1.2</v>
      </c>
      <c r="T480" s="4">
        <f>参数!$D$10</f>
        <v>1</v>
      </c>
      <c r="U480" s="4">
        <f t="shared" si="49"/>
        <v>2656428</v>
      </c>
      <c r="V480" s="4">
        <f t="shared" si="50"/>
        <v>43720.8</v>
      </c>
      <c r="W480" s="4">
        <f t="shared" si="51"/>
        <v>35664</v>
      </c>
      <c r="X480" s="4">
        <f>IFERROR(INDEX(参数!$B$5:$B$7,MATCH($N480,参数!$A$5:$A$7,0)),"")</f>
        <v>1.5</v>
      </c>
      <c r="Y480" s="4">
        <f>IFERROR(INDEX(参数!$C$5:$C$7,MATCH($N480,参数!$A$5:$A$7,0)),"")</f>
        <v>1</v>
      </c>
      <c r="Z480" s="4">
        <f>IFERROR(INDEX(参数!$D$5:$D$7,MATCH($N480,参数!$A$5:$A$7,0)),"")</f>
        <v>1.5</v>
      </c>
      <c r="AA480" s="4">
        <f>IFERROR(INDEX(楼层配置!$E$5:$E$104,MATCH($K480,楼层配置!$B$5:$B$104,0)),1)</f>
        <v>1</v>
      </c>
      <c r="AB480" s="4">
        <f>IFERROR(INDEX(楼层配置!$F$5:$F$104,MATCH($K480,楼层配置!$B$5:$B$104,0)),1)</f>
        <v>1</v>
      </c>
      <c r="AC480" s="4">
        <f>IFERROR(INDEX(楼层配置!$G$5:$G$104,MATCH($K480,楼层配置!$B$5:$B$104,0)),1)</f>
        <v>1</v>
      </c>
      <c r="AD480" s="6">
        <f t="shared" si="52"/>
        <v>-0.369479961744487</v>
      </c>
      <c r="AE480" s="6">
        <f t="shared" si="53"/>
        <v>-0.20839745794934</v>
      </c>
      <c r="AF480" s="6">
        <f t="shared" si="54"/>
        <v>0.0882460637129256</v>
      </c>
      <c r="AG480" s="4" t="str">
        <f t="shared" si="55"/>
        <v>有效</v>
      </c>
    </row>
    <row r="481" ht="14.25" customHeight="1" spans="1:33">
      <c r="A481" s="4">
        <v>477</v>
      </c>
      <c r="B481" s="4">
        <v>1017</v>
      </c>
      <c r="C481" s="4">
        <v>58</v>
      </c>
      <c r="D481" s="5">
        <f>IFERROR(ROUND($U481*$X481*$AA481*参数!$B$13,0),"")</f>
        <v>2656428</v>
      </c>
      <c r="E481" s="5">
        <f>IFERROR(ROUND($V481*$Y481*$AB481*参数!$C$13,0),"")</f>
        <v>52465</v>
      </c>
      <c r="F481" s="5">
        <f>IFERROR(ROUND($W481*$Z481*$AC481*参数!$D$13,0),"")</f>
        <v>35664</v>
      </c>
      <c r="G481" s="4">
        <v>4213075</v>
      </c>
      <c r="H481" s="4">
        <v>66277</v>
      </c>
      <c r="I481" s="4">
        <v>32772</v>
      </c>
      <c r="J481" s="4">
        <v>96</v>
      </c>
      <c r="K481" s="4">
        <v>96</v>
      </c>
      <c r="L481" s="4">
        <f>IFERROR(INDEX(楼层配置!$D$5:$D$104,MATCH($K481,楼层配置!$B$5:$B$104,0)),"")</f>
        <v>366</v>
      </c>
      <c r="M481" s="4" t="str">
        <f>IFERROR(INDEX(_角色基线!$B$2:$B$100,MATCH($B481,_角色基线!$A$2:$A$100,0)),"")</f>
        <v>伊戈尔</v>
      </c>
      <c r="N481" s="4" t="str">
        <f>IFERROR(INDEX(_角色基线!$C$2:$C$100,MATCH($B481,_角色基线!$A$2:$A$100,0)),"")</f>
        <v>DPS</v>
      </c>
      <c r="O481" s="4">
        <f>IFERROR(INDEX(_怪物基线!$B$2:$B$501,MATCH(INT($L481),_怪物基线!$A$2:$A$501,0)),"")</f>
        <v>664107</v>
      </c>
      <c r="P481" s="4">
        <f>IFERROR(INDEX(_怪物基线!$C$2:$C$501,MATCH(INT($L481),_怪物基线!$A$2:$A$501,0)),"")</f>
        <v>36434</v>
      </c>
      <c r="Q481" s="4">
        <f>IFERROR(INDEX(_怪物基线!$D$2:$D$501,MATCH(INT($L481),_怪物基线!$A$2:$A$501,0)),"")</f>
        <v>35664</v>
      </c>
      <c r="R481" s="4">
        <f>参数!$B$10</f>
        <v>4</v>
      </c>
      <c r="S481" s="4">
        <f>参数!$C$10</f>
        <v>1.2</v>
      </c>
      <c r="T481" s="4">
        <f>参数!$D$10</f>
        <v>1</v>
      </c>
      <c r="U481" s="4">
        <f t="shared" si="49"/>
        <v>2656428</v>
      </c>
      <c r="V481" s="4">
        <f t="shared" si="50"/>
        <v>43720.8</v>
      </c>
      <c r="W481" s="4">
        <f t="shared" si="51"/>
        <v>35664</v>
      </c>
      <c r="X481" s="4">
        <f>IFERROR(INDEX(参数!$B$5:$B$7,MATCH($N481,参数!$A$5:$A$7,0)),"")</f>
        <v>1</v>
      </c>
      <c r="Y481" s="4">
        <f>IFERROR(INDEX(参数!$C$5:$C$7,MATCH($N481,参数!$A$5:$A$7,0)),"")</f>
        <v>1.2</v>
      </c>
      <c r="Z481" s="4">
        <f>IFERROR(INDEX(参数!$D$5:$D$7,MATCH($N481,参数!$A$5:$A$7,0)),"")</f>
        <v>1</v>
      </c>
      <c r="AA481" s="4">
        <f>IFERROR(INDEX(楼层配置!$E$5:$E$104,MATCH($K481,楼层配置!$B$5:$B$104,0)),1)</f>
        <v>1</v>
      </c>
      <c r="AB481" s="4">
        <f>IFERROR(INDEX(楼层配置!$F$5:$F$104,MATCH($K481,楼层配置!$B$5:$B$104,0)),1)</f>
        <v>1</v>
      </c>
      <c r="AC481" s="4">
        <f>IFERROR(INDEX(楼层配置!$G$5:$G$104,MATCH($K481,楼层配置!$B$5:$B$104,0)),1)</f>
        <v>1</v>
      </c>
      <c r="AD481" s="6">
        <f t="shared" si="52"/>
        <v>-0.36948001163046</v>
      </c>
      <c r="AE481" s="6">
        <f t="shared" si="53"/>
        <v>-0.208398086817448</v>
      </c>
      <c r="AF481" s="6">
        <f t="shared" si="54"/>
        <v>0.0882460637129256</v>
      </c>
      <c r="AG481" s="4" t="str">
        <f t="shared" si="55"/>
        <v>有效</v>
      </c>
    </row>
    <row r="482" ht="14.25" customHeight="1" spans="1:33">
      <c r="A482" s="4">
        <v>478</v>
      </c>
      <c r="B482" s="4">
        <v>1008</v>
      </c>
      <c r="C482" s="4">
        <v>58</v>
      </c>
      <c r="D482" s="5">
        <f>IFERROR(ROUND($U482*$X482*$AA482*参数!$B$13,0),"")</f>
        <v>2656428</v>
      </c>
      <c r="E482" s="5">
        <f>IFERROR(ROUND($V482*$Y482*$AB482*参数!$C$13,0),"")</f>
        <v>52465</v>
      </c>
      <c r="F482" s="5">
        <f>IFERROR(ROUND($W482*$Z482*$AC482*参数!$D$13,0),"")</f>
        <v>35664</v>
      </c>
      <c r="G482" s="4">
        <v>4213075</v>
      </c>
      <c r="H482" s="4">
        <v>66277</v>
      </c>
      <c r="I482" s="4">
        <v>32772</v>
      </c>
      <c r="J482" s="4">
        <v>96</v>
      </c>
      <c r="K482" s="4">
        <v>96</v>
      </c>
      <c r="L482" s="4">
        <f>IFERROR(INDEX(楼层配置!$D$5:$D$104,MATCH($K482,楼层配置!$B$5:$B$104,0)),"")</f>
        <v>366</v>
      </c>
      <c r="M482" s="4" t="str">
        <f>IFERROR(INDEX(_角色基线!$B$2:$B$100,MATCH($B482,_角色基线!$A$2:$A$100,0)),"")</f>
        <v>薇</v>
      </c>
      <c r="N482" s="4" t="str">
        <f>IFERROR(INDEX(_角色基线!$C$2:$C$100,MATCH($B482,_角色基线!$A$2:$A$100,0)),"")</f>
        <v>DPS</v>
      </c>
      <c r="O482" s="4">
        <f>IFERROR(INDEX(_怪物基线!$B$2:$B$501,MATCH(INT($L482),_怪物基线!$A$2:$A$501,0)),"")</f>
        <v>664107</v>
      </c>
      <c r="P482" s="4">
        <f>IFERROR(INDEX(_怪物基线!$C$2:$C$501,MATCH(INT($L482),_怪物基线!$A$2:$A$501,0)),"")</f>
        <v>36434</v>
      </c>
      <c r="Q482" s="4">
        <f>IFERROR(INDEX(_怪物基线!$D$2:$D$501,MATCH(INT($L482),_怪物基线!$A$2:$A$501,0)),"")</f>
        <v>35664</v>
      </c>
      <c r="R482" s="4">
        <f>参数!$B$10</f>
        <v>4</v>
      </c>
      <c r="S482" s="4">
        <f>参数!$C$10</f>
        <v>1.2</v>
      </c>
      <c r="T482" s="4">
        <f>参数!$D$10</f>
        <v>1</v>
      </c>
      <c r="U482" s="4">
        <f t="shared" si="49"/>
        <v>2656428</v>
      </c>
      <c r="V482" s="4">
        <f t="shared" si="50"/>
        <v>43720.8</v>
      </c>
      <c r="W482" s="4">
        <f t="shared" si="51"/>
        <v>35664</v>
      </c>
      <c r="X482" s="4">
        <f>IFERROR(INDEX(参数!$B$5:$B$7,MATCH($N482,参数!$A$5:$A$7,0)),"")</f>
        <v>1</v>
      </c>
      <c r="Y482" s="4">
        <f>IFERROR(INDEX(参数!$C$5:$C$7,MATCH($N482,参数!$A$5:$A$7,0)),"")</f>
        <v>1.2</v>
      </c>
      <c r="Z482" s="4">
        <f>IFERROR(INDEX(参数!$D$5:$D$7,MATCH($N482,参数!$A$5:$A$7,0)),"")</f>
        <v>1</v>
      </c>
      <c r="AA482" s="4">
        <f>IFERROR(INDEX(楼层配置!$E$5:$E$104,MATCH($K482,楼层配置!$B$5:$B$104,0)),1)</f>
        <v>1</v>
      </c>
      <c r="AB482" s="4">
        <f>IFERROR(INDEX(楼层配置!$F$5:$F$104,MATCH($K482,楼层配置!$B$5:$B$104,0)),1)</f>
        <v>1</v>
      </c>
      <c r="AC482" s="4">
        <f>IFERROR(INDEX(楼层配置!$G$5:$G$104,MATCH($K482,楼层配置!$B$5:$B$104,0)),1)</f>
        <v>1</v>
      </c>
      <c r="AD482" s="6">
        <f t="shared" si="52"/>
        <v>-0.36948001163046</v>
      </c>
      <c r="AE482" s="6">
        <f t="shared" si="53"/>
        <v>-0.208398086817448</v>
      </c>
      <c r="AF482" s="6">
        <f t="shared" si="54"/>
        <v>0.0882460637129256</v>
      </c>
      <c r="AG482" s="4" t="str">
        <f t="shared" si="55"/>
        <v>有效</v>
      </c>
    </row>
    <row r="483" ht="14.25" customHeight="1" spans="1:33">
      <c r="A483" s="4">
        <v>479</v>
      </c>
      <c r="B483" s="4">
        <v>1007</v>
      </c>
      <c r="C483" s="4">
        <v>58</v>
      </c>
      <c r="D483" s="5">
        <f>IFERROR(ROUND($U483*$X483*$AA483*参数!$B$13,0),"")</f>
        <v>3320535</v>
      </c>
      <c r="E483" s="5">
        <f>IFERROR(ROUND($V483*$Y483*$AB483*参数!$C$13,0),"")</f>
        <v>43721</v>
      </c>
      <c r="F483" s="5">
        <f>IFERROR(ROUND($W483*$Z483*$AC483*参数!$D$13,0),"")</f>
        <v>44580</v>
      </c>
      <c r="G483" s="4">
        <v>5266344</v>
      </c>
      <c r="H483" s="4">
        <v>55231</v>
      </c>
      <c r="I483" s="4">
        <v>40965</v>
      </c>
      <c r="J483" s="4">
        <v>96</v>
      </c>
      <c r="K483" s="4">
        <v>96</v>
      </c>
      <c r="L483" s="4">
        <f>IFERROR(INDEX(楼层配置!$D$5:$D$104,MATCH($K483,楼层配置!$B$5:$B$104,0)),"")</f>
        <v>366</v>
      </c>
      <c r="M483" s="4" t="str">
        <f>IFERROR(INDEX(_角色基线!$B$2:$B$100,MATCH($B483,_角色基线!$A$2:$A$100,0)),"")</f>
        <v>萨萨莉安</v>
      </c>
      <c r="N483" s="4" t="str">
        <f>IFERROR(INDEX(_角色基线!$C$2:$C$100,MATCH($B483,_角色基线!$A$2:$A$100,0)),"")</f>
        <v>Support</v>
      </c>
      <c r="O483" s="4">
        <f>IFERROR(INDEX(_怪物基线!$B$2:$B$501,MATCH(INT($L483),_怪物基线!$A$2:$A$501,0)),"")</f>
        <v>664107</v>
      </c>
      <c r="P483" s="4">
        <f>IFERROR(INDEX(_怪物基线!$C$2:$C$501,MATCH(INT($L483),_怪物基线!$A$2:$A$501,0)),"")</f>
        <v>36434</v>
      </c>
      <c r="Q483" s="4">
        <f>IFERROR(INDEX(_怪物基线!$D$2:$D$501,MATCH(INT($L483),_怪物基线!$A$2:$A$501,0)),"")</f>
        <v>35664</v>
      </c>
      <c r="R483" s="4">
        <f>参数!$B$10</f>
        <v>4</v>
      </c>
      <c r="S483" s="4">
        <f>参数!$C$10</f>
        <v>1.2</v>
      </c>
      <c r="T483" s="4">
        <f>参数!$D$10</f>
        <v>1</v>
      </c>
      <c r="U483" s="4">
        <f t="shared" si="49"/>
        <v>2656428</v>
      </c>
      <c r="V483" s="4">
        <f t="shared" si="50"/>
        <v>43720.8</v>
      </c>
      <c r="W483" s="4">
        <f t="shared" si="51"/>
        <v>35664</v>
      </c>
      <c r="X483" s="4">
        <f>IFERROR(INDEX(参数!$B$5:$B$7,MATCH($N483,参数!$A$5:$A$7,0)),"")</f>
        <v>1.25</v>
      </c>
      <c r="Y483" s="4">
        <f>IFERROR(INDEX(参数!$C$5:$C$7,MATCH($N483,参数!$A$5:$A$7,0)),"")</f>
        <v>1</v>
      </c>
      <c r="Z483" s="4">
        <f>IFERROR(INDEX(参数!$D$5:$D$7,MATCH($N483,参数!$A$5:$A$7,0)),"")</f>
        <v>1.25</v>
      </c>
      <c r="AA483" s="4">
        <f>IFERROR(INDEX(楼层配置!$E$5:$E$104,MATCH($K483,楼层配置!$B$5:$B$104,0)),1)</f>
        <v>1</v>
      </c>
      <c r="AB483" s="4">
        <f>IFERROR(INDEX(楼层配置!$F$5:$F$104,MATCH($K483,楼层配置!$B$5:$B$104,0)),1)</f>
        <v>1</v>
      </c>
      <c r="AC483" s="4">
        <f>IFERROR(INDEX(楼层配置!$G$5:$G$104,MATCH($K483,楼层配置!$B$5:$B$104,0)),1)</f>
        <v>1</v>
      </c>
      <c r="AD483" s="6">
        <f t="shared" si="52"/>
        <v>-0.36948004156204</v>
      </c>
      <c r="AE483" s="6">
        <f t="shared" si="53"/>
        <v>-0.20839745794934</v>
      </c>
      <c r="AF483" s="6">
        <f t="shared" si="54"/>
        <v>0.0882460637129256</v>
      </c>
      <c r="AG483" s="4" t="str">
        <f t="shared" si="55"/>
        <v>有效</v>
      </c>
    </row>
    <row r="484" ht="14.25" customHeight="1" spans="1:33">
      <c r="A484" s="4">
        <v>480</v>
      </c>
      <c r="B484" s="4">
        <v>1005</v>
      </c>
      <c r="C484" s="4">
        <v>58</v>
      </c>
      <c r="D484" s="5">
        <f>IFERROR(ROUND($U484*$X484*$AA484*参数!$B$13,0),"")</f>
        <v>2656428</v>
      </c>
      <c r="E484" s="5">
        <f>IFERROR(ROUND($V484*$Y484*$AB484*参数!$C$13,0),"")</f>
        <v>52465</v>
      </c>
      <c r="F484" s="5">
        <f>IFERROR(ROUND($W484*$Z484*$AC484*参数!$D$13,0),"")</f>
        <v>35664</v>
      </c>
      <c r="G484" s="4">
        <v>4213075</v>
      </c>
      <c r="H484" s="4">
        <v>66277</v>
      </c>
      <c r="I484" s="4">
        <v>32772</v>
      </c>
      <c r="J484" s="4">
        <v>96</v>
      </c>
      <c r="K484" s="4">
        <v>96</v>
      </c>
      <c r="L484" s="4">
        <f>IFERROR(INDEX(楼层配置!$D$5:$D$104,MATCH($K484,楼层配置!$B$5:$B$104,0)),"")</f>
        <v>366</v>
      </c>
      <c r="M484" s="4" t="str">
        <f>IFERROR(INDEX(_角色基线!$B$2:$B$100,MATCH($B484,_角色基线!$A$2:$A$100,0)),"")</f>
        <v>陈单单</v>
      </c>
      <c r="N484" s="4" t="str">
        <f>IFERROR(INDEX(_角色基线!$C$2:$C$100,MATCH($B484,_角色基线!$A$2:$A$100,0)),"")</f>
        <v>DPS</v>
      </c>
      <c r="O484" s="4">
        <f>IFERROR(INDEX(_怪物基线!$B$2:$B$501,MATCH(INT($L484),_怪物基线!$A$2:$A$501,0)),"")</f>
        <v>664107</v>
      </c>
      <c r="P484" s="4">
        <f>IFERROR(INDEX(_怪物基线!$C$2:$C$501,MATCH(INT($L484),_怪物基线!$A$2:$A$501,0)),"")</f>
        <v>36434</v>
      </c>
      <c r="Q484" s="4">
        <f>IFERROR(INDEX(_怪物基线!$D$2:$D$501,MATCH(INT($L484),_怪物基线!$A$2:$A$501,0)),"")</f>
        <v>35664</v>
      </c>
      <c r="R484" s="4">
        <f>参数!$B$10</f>
        <v>4</v>
      </c>
      <c r="S484" s="4">
        <f>参数!$C$10</f>
        <v>1.2</v>
      </c>
      <c r="T484" s="4">
        <f>参数!$D$10</f>
        <v>1</v>
      </c>
      <c r="U484" s="4">
        <f t="shared" si="49"/>
        <v>2656428</v>
      </c>
      <c r="V484" s="4">
        <f t="shared" si="50"/>
        <v>43720.8</v>
      </c>
      <c r="W484" s="4">
        <f t="shared" si="51"/>
        <v>35664</v>
      </c>
      <c r="X484" s="4">
        <f>IFERROR(INDEX(参数!$B$5:$B$7,MATCH($N484,参数!$A$5:$A$7,0)),"")</f>
        <v>1</v>
      </c>
      <c r="Y484" s="4">
        <f>IFERROR(INDEX(参数!$C$5:$C$7,MATCH($N484,参数!$A$5:$A$7,0)),"")</f>
        <v>1.2</v>
      </c>
      <c r="Z484" s="4">
        <f>IFERROR(INDEX(参数!$D$5:$D$7,MATCH($N484,参数!$A$5:$A$7,0)),"")</f>
        <v>1</v>
      </c>
      <c r="AA484" s="4">
        <f>IFERROR(INDEX(楼层配置!$E$5:$E$104,MATCH($K484,楼层配置!$B$5:$B$104,0)),1)</f>
        <v>1</v>
      </c>
      <c r="AB484" s="4">
        <f>IFERROR(INDEX(楼层配置!$F$5:$F$104,MATCH($K484,楼层配置!$B$5:$B$104,0)),1)</f>
        <v>1</v>
      </c>
      <c r="AC484" s="4">
        <f>IFERROR(INDEX(楼层配置!$G$5:$G$104,MATCH($K484,楼层配置!$B$5:$B$104,0)),1)</f>
        <v>1</v>
      </c>
      <c r="AD484" s="6">
        <f t="shared" si="52"/>
        <v>-0.36948001163046</v>
      </c>
      <c r="AE484" s="6">
        <f t="shared" si="53"/>
        <v>-0.208398086817448</v>
      </c>
      <c r="AF484" s="6">
        <f t="shared" si="54"/>
        <v>0.0882460637129256</v>
      </c>
      <c r="AG484" s="4" t="str">
        <f t="shared" si="55"/>
        <v>有效</v>
      </c>
    </row>
    <row r="485" ht="14.25" customHeight="1" spans="1:33">
      <c r="A485" s="4">
        <v>481</v>
      </c>
      <c r="B485" s="4">
        <v>1004</v>
      </c>
      <c r="C485" s="4">
        <v>58</v>
      </c>
      <c r="D485" s="5">
        <f>IFERROR(ROUND($U485*$X485*$AA485*参数!$B$13,0),"")</f>
        <v>4015818</v>
      </c>
      <c r="E485" s="5">
        <f>IFERROR(ROUND($V485*$Y485*$AB485*参数!$C$13,0),"")</f>
        <v>43999</v>
      </c>
      <c r="F485" s="5">
        <f>IFERROR(ROUND($W485*$Z485*$AC485*参数!$D$13,0),"")</f>
        <v>53705</v>
      </c>
      <c r="G485" s="4">
        <v>6505956</v>
      </c>
      <c r="H485" s="4">
        <v>56638</v>
      </c>
      <c r="I485" s="4">
        <v>49868</v>
      </c>
      <c r="J485" s="4">
        <v>97</v>
      </c>
      <c r="K485" s="4">
        <v>97</v>
      </c>
      <c r="L485" s="4">
        <f>IFERROR(INDEX(楼层配置!$D$5:$D$104,MATCH($K485,楼层配置!$B$5:$B$104,0)),"")</f>
        <v>367</v>
      </c>
      <c r="M485" s="4" t="str">
        <f>IFERROR(INDEX(_角色基线!$B$2:$B$100,MATCH($B485,_角色基线!$A$2:$A$100,0)),"")</f>
        <v>阿芭</v>
      </c>
      <c r="N485" s="4" t="str">
        <f>IFERROR(INDEX(_角色基线!$C$2:$C$100,MATCH($B485,_角色基线!$A$2:$A$100,0)),"")</f>
        <v>Tank</v>
      </c>
      <c r="O485" s="4">
        <f>IFERROR(INDEX(_怪物基线!$B$2:$B$501,MATCH(INT($L485),_怪物基线!$A$2:$A$501,0)),"")</f>
        <v>669303</v>
      </c>
      <c r="P485" s="4">
        <f>IFERROR(INDEX(_怪物基线!$C$2:$C$501,MATCH(INT($L485),_怪物基线!$A$2:$A$501,0)),"")</f>
        <v>36666</v>
      </c>
      <c r="Q485" s="4">
        <f>IFERROR(INDEX(_怪物基线!$D$2:$D$501,MATCH(INT($L485),_怪物基线!$A$2:$A$501,0)),"")</f>
        <v>35803</v>
      </c>
      <c r="R485" s="4">
        <f>参数!$B$10</f>
        <v>4</v>
      </c>
      <c r="S485" s="4">
        <f>参数!$C$10</f>
        <v>1.2</v>
      </c>
      <c r="T485" s="4">
        <f>参数!$D$10</f>
        <v>1</v>
      </c>
      <c r="U485" s="4">
        <f t="shared" si="49"/>
        <v>2677212</v>
      </c>
      <c r="V485" s="4">
        <f t="shared" si="50"/>
        <v>43999.2</v>
      </c>
      <c r="W485" s="4">
        <f t="shared" si="51"/>
        <v>35803</v>
      </c>
      <c r="X485" s="4">
        <f>IFERROR(INDEX(参数!$B$5:$B$7,MATCH($N485,参数!$A$5:$A$7,0)),"")</f>
        <v>1.5</v>
      </c>
      <c r="Y485" s="4">
        <f>IFERROR(INDEX(参数!$C$5:$C$7,MATCH($N485,参数!$A$5:$A$7,0)),"")</f>
        <v>1</v>
      </c>
      <c r="Z485" s="4">
        <f>IFERROR(INDEX(参数!$D$5:$D$7,MATCH($N485,参数!$A$5:$A$7,0)),"")</f>
        <v>1.5</v>
      </c>
      <c r="AA485" s="4">
        <f>IFERROR(INDEX(楼层配置!$E$5:$E$104,MATCH($K485,楼层配置!$B$5:$B$104,0)),1)</f>
        <v>1</v>
      </c>
      <c r="AB485" s="4">
        <f>IFERROR(INDEX(楼层配置!$F$5:$F$104,MATCH($K485,楼层配置!$B$5:$B$104,0)),1)</f>
        <v>1</v>
      </c>
      <c r="AC485" s="4">
        <f>IFERROR(INDEX(楼层配置!$G$5:$G$104,MATCH($K485,楼层配置!$B$5:$B$104,0)),1)</f>
        <v>1</v>
      </c>
      <c r="AD485" s="6">
        <f t="shared" si="52"/>
        <v>-0.382747439423199</v>
      </c>
      <c r="AE485" s="6">
        <f t="shared" si="53"/>
        <v>-0.223154066174653</v>
      </c>
      <c r="AF485" s="6">
        <f t="shared" si="54"/>
        <v>0.0769431298628378</v>
      </c>
      <c r="AG485" s="4" t="str">
        <f t="shared" si="55"/>
        <v>有效</v>
      </c>
    </row>
    <row r="486" ht="14.25" customHeight="1" spans="1:33">
      <c r="A486" s="4">
        <v>482</v>
      </c>
      <c r="B486" s="4">
        <v>1017</v>
      </c>
      <c r="C486" s="4">
        <v>58</v>
      </c>
      <c r="D486" s="5">
        <f>IFERROR(ROUND($U486*$X486*$AA486*参数!$B$13,0),"")</f>
        <v>2677212</v>
      </c>
      <c r="E486" s="5">
        <f>IFERROR(ROUND($V486*$Y486*$AB486*参数!$C$13,0),"")</f>
        <v>52799</v>
      </c>
      <c r="F486" s="5">
        <f>IFERROR(ROUND($W486*$Z486*$AC486*参数!$D$13,0),"")</f>
        <v>35803</v>
      </c>
      <c r="G486" s="4">
        <v>4337304</v>
      </c>
      <c r="H486" s="4">
        <v>67965</v>
      </c>
      <c r="I486" s="4">
        <v>33245</v>
      </c>
      <c r="J486" s="4">
        <v>97</v>
      </c>
      <c r="K486" s="4">
        <v>97</v>
      </c>
      <c r="L486" s="4">
        <f>IFERROR(INDEX(楼层配置!$D$5:$D$104,MATCH($K486,楼层配置!$B$5:$B$104,0)),"")</f>
        <v>367</v>
      </c>
      <c r="M486" s="4" t="str">
        <f>IFERROR(INDEX(_角色基线!$B$2:$B$100,MATCH($B486,_角色基线!$A$2:$A$100,0)),"")</f>
        <v>伊戈尔</v>
      </c>
      <c r="N486" s="4" t="str">
        <f>IFERROR(INDEX(_角色基线!$C$2:$C$100,MATCH($B486,_角色基线!$A$2:$A$100,0)),"")</f>
        <v>DPS</v>
      </c>
      <c r="O486" s="4">
        <f>IFERROR(INDEX(_怪物基线!$B$2:$B$501,MATCH(INT($L486),_怪物基线!$A$2:$A$501,0)),"")</f>
        <v>669303</v>
      </c>
      <c r="P486" s="4">
        <f>IFERROR(INDEX(_怪物基线!$C$2:$C$501,MATCH(INT($L486),_怪物基线!$A$2:$A$501,0)),"")</f>
        <v>36666</v>
      </c>
      <c r="Q486" s="4">
        <f>IFERROR(INDEX(_怪物基线!$D$2:$D$501,MATCH(INT($L486),_怪物基线!$A$2:$A$501,0)),"")</f>
        <v>35803</v>
      </c>
      <c r="R486" s="4">
        <f>参数!$B$10</f>
        <v>4</v>
      </c>
      <c r="S486" s="4">
        <f>参数!$C$10</f>
        <v>1.2</v>
      </c>
      <c r="T486" s="4">
        <f>参数!$D$10</f>
        <v>1</v>
      </c>
      <c r="U486" s="4">
        <f t="shared" si="49"/>
        <v>2677212</v>
      </c>
      <c r="V486" s="4">
        <f t="shared" si="50"/>
        <v>43999.2</v>
      </c>
      <c r="W486" s="4">
        <f t="shared" si="51"/>
        <v>35803</v>
      </c>
      <c r="X486" s="4">
        <f>IFERROR(INDEX(参数!$B$5:$B$7,MATCH($N486,参数!$A$5:$A$7,0)),"")</f>
        <v>1</v>
      </c>
      <c r="Y486" s="4">
        <f>IFERROR(INDEX(参数!$C$5:$C$7,MATCH($N486,参数!$A$5:$A$7,0)),"")</f>
        <v>1.2</v>
      </c>
      <c r="Z486" s="4">
        <f>IFERROR(INDEX(参数!$D$5:$D$7,MATCH($N486,参数!$A$5:$A$7,0)),"")</f>
        <v>1</v>
      </c>
      <c r="AA486" s="4">
        <f>IFERROR(INDEX(楼层配置!$E$5:$E$104,MATCH($K486,楼层配置!$B$5:$B$104,0)),1)</f>
        <v>1</v>
      </c>
      <c r="AB486" s="4">
        <f>IFERROR(INDEX(楼层配置!$F$5:$F$104,MATCH($K486,楼层配置!$B$5:$B$104,0)),1)</f>
        <v>1</v>
      </c>
      <c r="AC486" s="4">
        <f>IFERROR(INDEX(楼层配置!$G$5:$G$104,MATCH($K486,楼层配置!$B$5:$B$104,0)),1)</f>
        <v>1</v>
      </c>
      <c r="AD486" s="6">
        <f t="shared" si="52"/>
        <v>-0.382747439423199</v>
      </c>
      <c r="AE486" s="6">
        <f t="shared" si="53"/>
        <v>-0.223144265430736</v>
      </c>
      <c r="AF486" s="6">
        <f t="shared" si="54"/>
        <v>0.0769439013385471</v>
      </c>
      <c r="AG486" s="4" t="str">
        <f t="shared" si="55"/>
        <v>有效</v>
      </c>
    </row>
    <row r="487" ht="14.25" customHeight="1" spans="1:33">
      <c r="A487" s="4">
        <v>483</v>
      </c>
      <c r="B487" s="4">
        <v>1007</v>
      </c>
      <c r="C487" s="4">
        <v>58</v>
      </c>
      <c r="D487" s="5">
        <f>IFERROR(ROUND($U487*$X487*$AA487*参数!$B$13,0),"")</f>
        <v>3346515</v>
      </c>
      <c r="E487" s="5">
        <f>IFERROR(ROUND($V487*$Y487*$AB487*参数!$C$13,0),"")</f>
        <v>43999</v>
      </c>
      <c r="F487" s="5">
        <f>IFERROR(ROUND($W487*$Z487*$AC487*参数!$D$13,0),"")</f>
        <v>44754</v>
      </c>
      <c r="G487" s="4">
        <v>5421630</v>
      </c>
      <c r="H487" s="4">
        <v>56638</v>
      </c>
      <c r="I487" s="4">
        <v>41557</v>
      </c>
      <c r="J487" s="4">
        <v>97</v>
      </c>
      <c r="K487" s="4">
        <v>97</v>
      </c>
      <c r="L487" s="4">
        <f>IFERROR(INDEX(楼层配置!$D$5:$D$104,MATCH($K487,楼层配置!$B$5:$B$104,0)),"")</f>
        <v>367</v>
      </c>
      <c r="M487" s="4" t="str">
        <f>IFERROR(INDEX(_角色基线!$B$2:$B$100,MATCH($B487,_角色基线!$A$2:$A$100,0)),"")</f>
        <v>萨萨莉安</v>
      </c>
      <c r="N487" s="4" t="str">
        <f>IFERROR(INDEX(_角色基线!$C$2:$C$100,MATCH($B487,_角色基线!$A$2:$A$100,0)),"")</f>
        <v>Support</v>
      </c>
      <c r="O487" s="4">
        <f>IFERROR(INDEX(_怪物基线!$B$2:$B$501,MATCH(INT($L487),_怪物基线!$A$2:$A$501,0)),"")</f>
        <v>669303</v>
      </c>
      <c r="P487" s="4">
        <f>IFERROR(INDEX(_怪物基线!$C$2:$C$501,MATCH(INT($L487),_怪物基线!$A$2:$A$501,0)),"")</f>
        <v>36666</v>
      </c>
      <c r="Q487" s="4">
        <f>IFERROR(INDEX(_怪物基线!$D$2:$D$501,MATCH(INT($L487),_怪物基线!$A$2:$A$501,0)),"")</f>
        <v>35803</v>
      </c>
      <c r="R487" s="4">
        <f>参数!$B$10</f>
        <v>4</v>
      </c>
      <c r="S487" s="4">
        <f>参数!$C$10</f>
        <v>1.2</v>
      </c>
      <c r="T487" s="4">
        <f>参数!$D$10</f>
        <v>1</v>
      </c>
      <c r="U487" s="4">
        <f t="shared" si="49"/>
        <v>2677212</v>
      </c>
      <c r="V487" s="4">
        <f t="shared" si="50"/>
        <v>43999.2</v>
      </c>
      <c r="W487" s="4">
        <f t="shared" si="51"/>
        <v>35803</v>
      </c>
      <c r="X487" s="4">
        <f>IFERROR(INDEX(参数!$B$5:$B$7,MATCH($N487,参数!$A$5:$A$7,0)),"")</f>
        <v>1.25</v>
      </c>
      <c r="Y487" s="4">
        <f>IFERROR(INDEX(参数!$C$5:$C$7,MATCH($N487,参数!$A$5:$A$7,0)),"")</f>
        <v>1</v>
      </c>
      <c r="Z487" s="4">
        <f>IFERROR(INDEX(参数!$D$5:$D$7,MATCH($N487,参数!$A$5:$A$7,0)),"")</f>
        <v>1.25</v>
      </c>
      <c r="AA487" s="4">
        <f>IFERROR(INDEX(楼层配置!$E$5:$E$104,MATCH($K487,楼层配置!$B$5:$B$104,0)),1)</f>
        <v>1</v>
      </c>
      <c r="AB487" s="4">
        <f>IFERROR(INDEX(楼层配置!$F$5:$F$104,MATCH($K487,楼层配置!$B$5:$B$104,0)),1)</f>
        <v>1</v>
      </c>
      <c r="AC487" s="4">
        <f>IFERROR(INDEX(楼层配置!$G$5:$G$104,MATCH($K487,楼层配置!$B$5:$B$104,0)),1)</f>
        <v>1</v>
      </c>
      <c r="AD487" s="6">
        <f t="shared" si="52"/>
        <v>-0.382747439423199</v>
      </c>
      <c r="AE487" s="6">
        <f t="shared" si="53"/>
        <v>-0.223154066174653</v>
      </c>
      <c r="AF487" s="6">
        <f t="shared" si="54"/>
        <v>0.0769304810260605</v>
      </c>
      <c r="AG487" s="4" t="str">
        <f t="shared" si="55"/>
        <v>有效</v>
      </c>
    </row>
    <row r="488" ht="14.25" customHeight="1" spans="1:33">
      <c r="A488" s="4">
        <v>484</v>
      </c>
      <c r="B488" s="4">
        <v>1017</v>
      </c>
      <c r="C488" s="4">
        <v>58</v>
      </c>
      <c r="D488" s="5">
        <f>IFERROR(ROUND($U488*$X488*$AA488*参数!$B$13,0),"")</f>
        <v>2677212</v>
      </c>
      <c r="E488" s="5">
        <f>IFERROR(ROUND($V488*$Y488*$AB488*参数!$C$13,0),"")</f>
        <v>52799</v>
      </c>
      <c r="F488" s="5">
        <f>IFERROR(ROUND($W488*$Z488*$AC488*参数!$D$13,0),"")</f>
        <v>35803</v>
      </c>
      <c r="G488" s="4">
        <v>4337304</v>
      </c>
      <c r="H488" s="4">
        <v>67965</v>
      </c>
      <c r="I488" s="4">
        <v>33245</v>
      </c>
      <c r="J488" s="4">
        <v>97</v>
      </c>
      <c r="K488" s="4">
        <v>97</v>
      </c>
      <c r="L488" s="4">
        <f>IFERROR(INDEX(楼层配置!$D$5:$D$104,MATCH($K488,楼层配置!$B$5:$B$104,0)),"")</f>
        <v>367</v>
      </c>
      <c r="M488" s="4" t="str">
        <f>IFERROR(INDEX(_角色基线!$B$2:$B$100,MATCH($B488,_角色基线!$A$2:$A$100,0)),"")</f>
        <v>伊戈尔</v>
      </c>
      <c r="N488" s="4" t="str">
        <f>IFERROR(INDEX(_角色基线!$C$2:$C$100,MATCH($B488,_角色基线!$A$2:$A$100,0)),"")</f>
        <v>DPS</v>
      </c>
      <c r="O488" s="4">
        <f>IFERROR(INDEX(_怪物基线!$B$2:$B$501,MATCH(INT($L488),_怪物基线!$A$2:$A$501,0)),"")</f>
        <v>669303</v>
      </c>
      <c r="P488" s="4">
        <f>IFERROR(INDEX(_怪物基线!$C$2:$C$501,MATCH(INT($L488),_怪物基线!$A$2:$A$501,0)),"")</f>
        <v>36666</v>
      </c>
      <c r="Q488" s="4">
        <f>IFERROR(INDEX(_怪物基线!$D$2:$D$501,MATCH(INT($L488),_怪物基线!$A$2:$A$501,0)),"")</f>
        <v>35803</v>
      </c>
      <c r="R488" s="4">
        <f>参数!$B$10</f>
        <v>4</v>
      </c>
      <c r="S488" s="4">
        <f>参数!$C$10</f>
        <v>1.2</v>
      </c>
      <c r="T488" s="4">
        <f>参数!$D$10</f>
        <v>1</v>
      </c>
      <c r="U488" s="4">
        <f t="shared" si="49"/>
        <v>2677212</v>
      </c>
      <c r="V488" s="4">
        <f t="shared" si="50"/>
        <v>43999.2</v>
      </c>
      <c r="W488" s="4">
        <f t="shared" si="51"/>
        <v>35803</v>
      </c>
      <c r="X488" s="4">
        <f>IFERROR(INDEX(参数!$B$5:$B$7,MATCH($N488,参数!$A$5:$A$7,0)),"")</f>
        <v>1</v>
      </c>
      <c r="Y488" s="4">
        <f>IFERROR(INDEX(参数!$C$5:$C$7,MATCH($N488,参数!$A$5:$A$7,0)),"")</f>
        <v>1.2</v>
      </c>
      <c r="Z488" s="4">
        <f>IFERROR(INDEX(参数!$D$5:$D$7,MATCH($N488,参数!$A$5:$A$7,0)),"")</f>
        <v>1</v>
      </c>
      <c r="AA488" s="4">
        <f>IFERROR(INDEX(楼层配置!$E$5:$E$104,MATCH($K488,楼层配置!$B$5:$B$104,0)),1)</f>
        <v>1</v>
      </c>
      <c r="AB488" s="4">
        <f>IFERROR(INDEX(楼层配置!$F$5:$F$104,MATCH($K488,楼层配置!$B$5:$B$104,0)),1)</f>
        <v>1</v>
      </c>
      <c r="AC488" s="4">
        <f>IFERROR(INDEX(楼层配置!$G$5:$G$104,MATCH($K488,楼层配置!$B$5:$B$104,0)),1)</f>
        <v>1</v>
      </c>
      <c r="AD488" s="6">
        <f t="shared" si="52"/>
        <v>-0.382747439423199</v>
      </c>
      <c r="AE488" s="6">
        <f t="shared" si="53"/>
        <v>-0.223144265430736</v>
      </c>
      <c r="AF488" s="6">
        <f t="shared" si="54"/>
        <v>0.0769439013385471</v>
      </c>
      <c r="AG488" s="4" t="str">
        <f t="shared" si="55"/>
        <v>有效</v>
      </c>
    </row>
    <row r="489" ht="14.25" customHeight="1" spans="1:33">
      <c r="A489" s="4">
        <v>485</v>
      </c>
      <c r="B489" s="4">
        <v>1013</v>
      </c>
      <c r="C489" s="4">
        <v>58</v>
      </c>
      <c r="D489" s="5">
        <f>IFERROR(ROUND($U489*$X489*$AA489*参数!$B$13,0),"")</f>
        <v>2677212</v>
      </c>
      <c r="E489" s="5">
        <f>IFERROR(ROUND($V489*$Y489*$AB489*参数!$C$13,0),"")</f>
        <v>52799</v>
      </c>
      <c r="F489" s="5">
        <f>IFERROR(ROUND($W489*$Z489*$AC489*参数!$D$13,0),"")</f>
        <v>35803</v>
      </c>
      <c r="G489" s="4">
        <v>4337304</v>
      </c>
      <c r="H489" s="4">
        <v>67965</v>
      </c>
      <c r="I489" s="4">
        <v>33245</v>
      </c>
      <c r="J489" s="4">
        <v>97</v>
      </c>
      <c r="K489" s="4">
        <v>97</v>
      </c>
      <c r="L489" s="4">
        <f>IFERROR(INDEX(楼层配置!$D$5:$D$104,MATCH($K489,楼层配置!$B$5:$B$104,0)),"")</f>
        <v>367</v>
      </c>
      <c r="M489" s="4" t="str">
        <f>IFERROR(INDEX(_角色基线!$B$2:$B$100,MATCH($B489,_角色基线!$A$2:$A$100,0)),"")</f>
        <v>夏缇拉</v>
      </c>
      <c r="N489" s="4" t="str">
        <f>IFERROR(INDEX(_角色基线!$C$2:$C$100,MATCH($B489,_角色基线!$A$2:$A$100,0)),"")</f>
        <v>DPS</v>
      </c>
      <c r="O489" s="4">
        <f>IFERROR(INDEX(_怪物基线!$B$2:$B$501,MATCH(INT($L489),_怪物基线!$A$2:$A$501,0)),"")</f>
        <v>669303</v>
      </c>
      <c r="P489" s="4">
        <f>IFERROR(INDEX(_怪物基线!$C$2:$C$501,MATCH(INT($L489),_怪物基线!$A$2:$A$501,0)),"")</f>
        <v>36666</v>
      </c>
      <c r="Q489" s="4">
        <f>IFERROR(INDEX(_怪物基线!$D$2:$D$501,MATCH(INT($L489),_怪物基线!$A$2:$A$501,0)),"")</f>
        <v>35803</v>
      </c>
      <c r="R489" s="4">
        <f>参数!$B$10</f>
        <v>4</v>
      </c>
      <c r="S489" s="4">
        <f>参数!$C$10</f>
        <v>1.2</v>
      </c>
      <c r="T489" s="4">
        <f>参数!$D$10</f>
        <v>1</v>
      </c>
      <c r="U489" s="4">
        <f t="shared" si="49"/>
        <v>2677212</v>
      </c>
      <c r="V489" s="4">
        <f t="shared" si="50"/>
        <v>43999.2</v>
      </c>
      <c r="W489" s="4">
        <f t="shared" si="51"/>
        <v>35803</v>
      </c>
      <c r="X489" s="4">
        <f>IFERROR(INDEX(参数!$B$5:$B$7,MATCH($N489,参数!$A$5:$A$7,0)),"")</f>
        <v>1</v>
      </c>
      <c r="Y489" s="4">
        <f>IFERROR(INDEX(参数!$C$5:$C$7,MATCH($N489,参数!$A$5:$A$7,0)),"")</f>
        <v>1.2</v>
      </c>
      <c r="Z489" s="4">
        <f>IFERROR(INDEX(参数!$D$5:$D$7,MATCH($N489,参数!$A$5:$A$7,0)),"")</f>
        <v>1</v>
      </c>
      <c r="AA489" s="4">
        <f>IFERROR(INDEX(楼层配置!$E$5:$E$104,MATCH($K489,楼层配置!$B$5:$B$104,0)),1)</f>
        <v>1</v>
      </c>
      <c r="AB489" s="4">
        <f>IFERROR(INDEX(楼层配置!$F$5:$F$104,MATCH($K489,楼层配置!$B$5:$B$104,0)),1)</f>
        <v>1</v>
      </c>
      <c r="AC489" s="4">
        <f>IFERROR(INDEX(楼层配置!$G$5:$G$104,MATCH($K489,楼层配置!$B$5:$B$104,0)),1)</f>
        <v>1</v>
      </c>
      <c r="AD489" s="6">
        <f t="shared" si="52"/>
        <v>-0.382747439423199</v>
      </c>
      <c r="AE489" s="6">
        <f t="shared" si="53"/>
        <v>-0.223144265430736</v>
      </c>
      <c r="AF489" s="6">
        <f t="shared" si="54"/>
        <v>0.0769439013385471</v>
      </c>
      <c r="AG489" s="4" t="str">
        <f t="shared" si="55"/>
        <v>有效</v>
      </c>
    </row>
    <row r="490" ht="14.25" customHeight="1" spans="1:33">
      <c r="A490" s="4">
        <v>486</v>
      </c>
      <c r="B490" s="4">
        <v>1003</v>
      </c>
      <c r="C490" s="4">
        <v>59</v>
      </c>
      <c r="D490" s="5">
        <f>IFERROR(ROUND($U490*$X490*$AA490*参数!$B$13,0),"")</f>
        <v>4047168</v>
      </c>
      <c r="E490" s="5">
        <f>IFERROR(ROUND($V490*$Y490*$AB490*参数!$C$13,0),"")</f>
        <v>44280</v>
      </c>
      <c r="F490" s="5">
        <f>IFERROR(ROUND($W490*$Z490*$AC490*参数!$D$13,0),"")</f>
        <v>53915</v>
      </c>
      <c r="G490" s="4">
        <v>6696453</v>
      </c>
      <c r="H490" s="4">
        <v>58078</v>
      </c>
      <c r="I490" s="4">
        <v>50582</v>
      </c>
      <c r="J490" s="4">
        <v>98</v>
      </c>
      <c r="K490" s="4">
        <v>98</v>
      </c>
      <c r="L490" s="4">
        <f>IFERROR(INDEX(楼层配置!$D$5:$D$104,MATCH($K490,楼层配置!$B$5:$B$104,0)),"")</f>
        <v>368</v>
      </c>
      <c r="M490" s="4" t="str">
        <f>IFERROR(INDEX(_角色基线!$B$2:$B$100,MATCH($B490,_角色基线!$A$2:$A$100,0)),"")</f>
        <v>塔拉夏</v>
      </c>
      <c r="N490" s="4" t="str">
        <f>IFERROR(INDEX(_角色基线!$C$2:$C$100,MATCH($B490,_角色基线!$A$2:$A$100,0)),"")</f>
        <v>Tank</v>
      </c>
      <c r="O490" s="4">
        <f>IFERROR(INDEX(_怪物基线!$B$2:$B$501,MATCH(INT($L490),_怪物基线!$A$2:$A$501,0)),"")</f>
        <v>674528</v>
      </c>
      <c r="P490" s="4">
        <f>IFERROR(INDEX(_怪物基线!$C$2:$C$501,MATCH(INT($L490),_怪物基线!$A$2:$A$501,0)),"")</f>
        <v>36900</v>
      </c>
      <c r="Q490" s="4">
        <f>IFERROR(INDEX(_怪物基线!$D$2:$D$501,MATCH(INT($L490),_怪物基线!$A$2:$A$501,0)),"")</f>
        <v>35943</v>
      </c>
      <c r="R490" s="4">
        <f>参数!$B$10</f>
        <v>4</v>
      </c>
      <c r="S490" s="4">
        <f>参数!$C$10</f>
        <v>1.2</v>
      </c>
      <c r="T490" s="4">
        <f>参数!$D$10</f>
        <v>1</v>
      </c>
      <c r="U490" s="4">
        <f t="shared" si="49"/>
        <v>2698112</v>
      </c>
      <c r="V490" s="4">
        <f t="shared" si="50"/>
        <v>44280</v>
      </c>
      <c r="W490" s="4">
        <f t="shared" si="51"/>
        <v>35943</v>
      </c>
      <c r="X490" s="4">
        <f>IFERROR(INDEX(参数!$B$5:$B$7,MATCH($N490,参数!$A$5:$A$7,0)),"")</f>
        <v>1.5</v>
      </c>
      <c r="Y490" s="4">
        <f>IFERROR(INDEX(参数!$C$5:$C$7,MATCH($N490,参数!$A$5:$A$7,0)),"")</f>
        <v>1</v>
      </c>
      <c r="Z490" s="4">
        <f>IFERROR(INDEX(参数!$D$5:$D$7,MATCH($N490,参数!$A$5:$A$7,0)),"")</f>
        <v>1.5</v>
      </c>
      <c r="AA490" s="4">
        <f>IFERROR(INDEX(楼层配置!$E$5:$E$104,MATCH($K490,楼层配置!$B$5:$B$104,0)),1)</f>
        <v>1</v>
      </c>
      <c r="AB490" s="4">
        <f>IFERROR(INDEX(楼层配置!$F$5:$F$104,MATCH($K490,楼层配置!$B$5:$B$104,0)),1)</f>
        <v>1</v>
      </c>
      <c r="AC490" s="4">
        <f>IFERROR(INDEX(楼层配置!$G$5:$G$104,MATCH($K490,楼层配置!$B$5:$B$104,0)),1)</f>
        <v>1</v>
      </c>
      <c r="AD490" s="6">
        <f t="shared" si="52"/>
        <v>-0.395625116759574</v>
      </c>
      <c r="AE490" s="6">
        <f t="shared" si="53"/>
        <v>-0.237577051551362</v>
      </c>
      <c r="AF490" s="6">
        <f t="shared" si="54"/>
        <v>0.0658930054169466</v>
      </c>
      <c r="AG490" s="4" t="str">
        <f t="shared" si="55"/>
        <v>有效</v>
      </c>
    </row>
    <row r="491" ht="14.25" customHeight="1" spans="1:33">
      <c r="A491" s="4">
        <v>487</v>
      </c>
      <c r="B491" s="4">
        <v>1005</v>
      </c>
      <c r="C491" s="4">
        <v>59</v>
      </c>
      <c r="D491" s="5">
        <f>IFERROR(ROUND($U491*$X491*$AA491*参数!$B$13,0),"")</f>
        <v>2698112</v>
      </c>
      <c r="E491" s="5">
        <f>IFERROR(ROUND($V491*$Y491*$AB491*参数!$C$13,0),"")</f>
        <v>53136</v>
      </c>
      <c r="F491" s="5">
        <f>IFERROR(ROUND($W491*$Z491*$AC491*参数!$D$13,0),"")</f>
        <v>35943</v>
      </c>
      <c r="G491" s="4">
        <v>4464302</v>
      </c>
      <c r="H491" s="4">
        <v>69693</v>
      </c>
      <c r="I491" s="4">
        <v>33721</v>
      </c>
      <c r="J491" s="4">
        <v>98</v>
      </c>
      <c r="K491" s="4">
        <v>98</v>
      </c>
      <c r="L491" s="4">
        <f>IFERROR(INDEX(楼层配置!$D$5:$D$104,MATCH($K491,楼层配置!$B$5:$B$104,0)),"")</f>
        <v>368</v>
      </c>
      <c r="M491" s="4" t="str">
        <f>IFERROR(INDEX(_角色基线!$B$2:$B$100,MATCH($B491,_角色基线!$A$2:$A$100,0)),"")</f>
        <v>陈单单</v>
      </c>
      <c r="N491" s="4" t="str">
        <f>IFERROR(INDEX(_角色基线!$C$2:$C$100,MATCH($B491,_角色基线!$A$2:$A$100,0)),"")</f>
        <v>DPS</v>
      </c>
      <c r="O491" s="4">
        <f>IFERROR(INDEX(_怪物基线!$B$2:$B$501,MATCH(INT($L491),_怪物基线!$A$2:$A$501,0)),"")</f>
        <v>674528</v>
      </c>
      <c r="P491" s="4">
        <f>IFERROR(INDEX(_怪物基线!$C$2:$C$501,MATCH(INT($L491),_怪物基线!$A$2:$A$501,0)),"")</f>
        <v>36900</v>
      </c>
      <c r="Q491" s="4">
        <f>IFERROR(INDEX(_怪物基线!$D$2:$D$501,MATCH(INT($L491),_怪物基线!$A$2:$A$501,0)),"")</f>
        <v>35943</v>
      </c>
      <c r="R491" s="4">
        <f>参数!$B$10</f>
        <v>4</v>
      </c>
      <c r="S491" s="4">
        <f>参数!$C$10</f>
        <v>1.2</v>
      </c>
      <c r="T491" s="4">
        <f>参数!$D$10</f>
        <v>1</v>
      </c>
      <c r="U491" s="4">
        <f t="shared" si="49"/>
        <v>2698112</v>
      </c>
      <c r="V491" s="4">
        <f t="shared" si="50"/>
        <v>44280</v>
      </c>
      <c r="W491" s="4">
        <f t="shared" si="51"/>
        <v>35943</v>
      </c>
      <c r="X491" s="4">
        <f>IFERROR(INDEX(参数!$B$5:$B$7,MATCH($N491,参数!$A$5:$A$7,0)),"")</f>
        <v>1</v>
      </c>
      <c r="Y491" s="4">
        <f>IFERROR(INDEX(参数!$C$5:$C$7,MATCH($N491,参数!$A$5:$A$7,0)),"")</f>
        <v>1.2</v>
      </c>
      <c r="Z491" s="4">
        <f>IFERROR(INDEX(参数!$D$5:$D$7,MATCH($N491,参数!$A$5:$A$7,0)),"")</f>
        <v>1</v>
      </c>
      <c r="AA491" s="4">
        <f>IFERROR(INDEX(楼层配置!$E$5:$E$104,MATCH($K491,楼层配置!$B$5:$B$104,0)),1)</f>
        <v>1</v>
      </c>
      <c r="AB491" s="4">
        <f>IFERROR(INDEX(楼层配置!$F$5:$F$104,MATCH($K491,楼层配置!$B$5:$B$104,0)),1)</f>
        <v>1</v>
      </c>
      <c r="AC491" s="4">
        <f>IFERROR(INDEX(楼层配置!$G$5:$G$104,MATCH($K491,楼层配置!$B$5:$B$104,0)),1)</f>
        <v>1</v>
      </c>
      <c r="AD491" s="6">
        <f t="shared" si="52"/>
        <v>-0.395625116759574</v>
      </c>
      <c r="AE491" s="6">
        <f t="shared" si="53"/>
        <v>-0.237570487710387</v>
      </c>
      <c r="AF491" s="6">
        <f t="shared" si="54"/>
        <v>0.0658936567717445</v>
      </c>
      <c r="AG491" s="4" t="str">
        <f t="shared" si="55"/>
        <v>有效</v>
      </c>
    </row>
    <row r="492" ht="14.25" customHeight="1" spans="1:33">
      <c r="A492" s="4">
        <v>488</v>
      </c>
      <c r="B492" s="4">
        <v>1005</v>
      </c>
      <c r="C492" s="4">
        <v>59</v>
      </c>
      <c r="D492" s="5">
        <f>IFERROR(ROUND($U492*$X492*$AA492*参数!$B$13,0),"")</f>
        <v>2698112</v>
      </c>
      <c r="E492" s="5">
        <f>IFERROR(ROUND($V492*$Y492*$AB492*参数!$C$13,0),"")</f>
        <v>53136</v>
      </c>
      <c r="F492" s="5">
        <f>IFERROR(ROUND($W492*$Z492*$AC492*参数!$D$13,0),"")</f>
        <v>35943</v>
      </c>
      <c r="G492" s="4">
        <v>4464302</v>
      </c>
      <c r="H492" s="4">
        <v>69693</v>
      </c>
      <c r="I492" s="4">
        <v>33721</v>
      </c>
      <c r="J492" s="4">
        <v>98</v>
      </c>
      <c r="K492" s="4">
        <v>98</v>
      </c>
      <c r="L492" s="4">
        <f>IFERROR(INDEX(楼层配置!$D$5:$D$104,MATCH($K492,楼层配置!$B$5:$B$104,0)),"")</f>
        <v>368</v>
      </c>
      <c r="M492" s="4" t="str">
        <f>IFERROR(INDEX(_角色基线!$B$2:$B$100,MATCH($B492,_角色基线!$A$2:$A$100,0)),"")</f>
        <v>陈单单</v>
      </c>
      <c r="N492" s="4" t="str">
        <f>IFERROR(INDEX(_角色基线!$C$2:$C$100,MATCH($B492,_角色基线!$A$2:$A$100,0)),"")</f>
        <v>DPS</v>
      </c>
      <c r="O492" s="4">
        <f>IFERROR(INDEX(_怪物基线!$B$2:$B$501,MATCH(INT($L492),_怪物基线!$A$2:$A$501,0)),"")</f>
        <v>674528</v>
      </c>
      <c r="P492" s="4">
        <f>IFERROR(INDEX(_怪物基线!$C$2:$C$501,MATCH(INT($L492),_怪物基线!$A$2:$A$501,0)),"")</f>
        <v>36900</v>
      </c>
      <c r="Q492" s="4">
        <f>IFERROR(INDEX(_怪物基线!$D$2:$D$501,MATCH(INT($L492),_怪物基线!$A$2:$A$501,0)),"")</f>
        <v>35943</v>
      </c>
      <c r="R492" s="4">
        <f>参数!$B$10</f>
        <v>4</v>
      </c>
      <c r="S492" s="4">
        <f>参数!$C$10</f>
        <v>1.2</v>
      </c>
      <c r="T492" s="4">
        <f>参数!$D$10</f>
        <v>1</v>
      </c>
      <c r="U492" s="4">
        <f t="shared" si="49"/>
        <v>2698112</v>
      </c>
      <c r="V492" s="4">
        <f t="shared" si="50"/>
        <v>44280</v>
      </c>
      <c r="W492" s="4">
        <f t="shared" si="51"/>
        <v>35943</v>
      </c>
      <c r="X492" s="4">
        <f>IFERROR(INDEX(参数!$B$5:$B$7,MATCH($N492,参数!$A$5:$A$7,0)),"")</f>
        <v>1</v>
      </c>
      <c r="Y492" s="4">
        <f>IFERROR(INDEX(参数!$C$5:$C$7,MATCH($N492,参数!$A$5:$A$7,0)),"")</f>
        <v>1.2</v>
      </c>
      <c r="Z492" s="4">
        <f>IFERROR(INDEX(参数!$D$5:$D$7,MATCH($N492,参数!$A$5:$A$7,0)),"")</f>
        <v>1</v>
      </c>
      <c r="AA492" s="4">
        <f>IFERROR(INDEX(楼层配置!$E$5:$E$104,MATCH($K492,楼层配置!$B$5:$B$104,0)),1)</f>
        <v>1</v>
      </c>
      <c r="AB492" s="4">
        <f>IFERROR(INDEX(楼层配置!$F$5:$F$104,MATCH($K492,楼层配置!$B$5:$B$104,0)),1)</f>
        <v>1</v>
      </c>
      <c r="AC492" s="4">
        <f>IFERROR(INDEX(楼层配置!$G$5:$G$104,MATCH($K492,楼层配置!$B$5:$B$104,0)),1)</f>
        <v>1</v>
      </c>
      <c r="AD492" s="6">
        <f t="shared" si="52"/>
        <v>-0.395625116759574</v>
      </c>
      <c r="AE492" s="6">
        <f t="shared" si="53"/>
        <v>-0.237570487710387</v>
      </c>
      <c r="AF492" s="6">
        <f t="shared" si="54"/>
        <v>0.0658936567717445</v>
      </c>
      <c r="AG492" s="4" t="str">
        <f t="shared" si="55"/>
        <v>有效</v>
      </c>
    </row>
    <row r="493" ht="14.25" customHeight="1" spans="1:33">
      <c r="A493" s="4">
        <v>489</v>
      </c>
      <c r="B493" s="4">
        <v>1017</v>
      </c>
      <c r="C493" s="4">
        <v>59</v>
      </c>
      <c r="D493" s="5">
        <f>IFERROR(ROUND($U493*$X493*$AA493*参数!$B$13,0),"")</f>
        <v>2698112</v>
      </c>
      <c r="E493" s="5">
        <f>IFERROR(ROUND($V493*$Y493*$AB493*参数!$C$13,0),"")</f>
        <v>53136</v>
      </c>
      <c r="F493" s="5">
        <f>IFERROR(ROUND($W493*$Z493*$AC493*参数!$D$13,0),"")</f>
        <v>35943</v>
      </c>
      <c r="G493" s="4">
        <v>4464302</v>
      </c>
      <c r="H493" s="4">
        <v>69693</v>
      </c>
      <c r="I493" s="4">
        <v>33721</v>
      </c>
      <c r="J493" s="4">
        <v>98</v>
      </c>
      <c r="K493" s="4">
        <v>98</v>
      </c>
      <c r="L493" s="4">
        <f>IFERROR(INDEX(楼层配置!$D$5:$D$104,MATCH($K493,楼层配置!$B$5:$B$104,0)),"")</f>
        <v>368</v>
      </c>
      <c r="M493" s="4" t="str">
        <f>IFERROR(INDEX(_角色基线!$B$2:$B$100,MATCH($B493,_角色基线!$A$2:$A$100,0)),"")</f>
        <v>伊戈尔</v>
      </c>
      <c r="N493" s="4" t="str">
        <f>IFERROR(INDEX(_角色基线!$C$2:$C$100,MATCH($B493,_角色基线!$A$2:$A$100,0)),"")</f>
        <v>DPS</v>
      </c>
      <c r="O493" s="4">
        <f>IFERROR(INDEX(_怪物基线!$B$2:$B$501,MATCH(INT($L493),_怪物基线!$A$2:$A$501,0)),"")</f>
        <v>674528</v>
      </c>
      <c r="P493" s="4">
        <f>IFERROR(INDEX(_怪物基线!$C$2:$C$501,MATCH(INT($L493),_怪物基线!$A$2:$A$501,0)),"")</f>
        <v>36900</v>
      </c>
      <c r="Q493" s="4">
        <f>IFERROR(INDEX(_怪物基线!$D$2:$D$501,MATCH(INT($L493),_怪物基线!$A$2:$A$501,0)),"")</f>
        <v>35943</v>
      </c>
      <c r="R493" s="4">
        <f>参数!$B$10</f>
        <v>4</v>
      </c>
      <c r="S493" s="4">
        <f>参数!$C$10</f>
        <v>1.2</v>
      </c>
      <c r="T493" s="4">
        <f>参数!$D$10</f>
        <v>1</v>
      </c>
      <c r="U493" s="4">
        <f t="shared" si="49"/>
        <v>2698112</v>
      </c>
      <c r="V493" s="4">
        <f t="shared" si="50"/>
        <v>44280</v>
      </c>
      <c r="W493" s="4">
        <f t="shared" si="51"/>
        <v>35943</v>
      </c>
      <c r="X493" s="4">
        <f>IFERROR(INDEX(参数!$B$5:$B$7,MATCH($N493,参数!$A$5:$A$7,0)),"")</f>
        <v>1</v>
      </c>
      <c r="Y493" s="4">
        <f>IFERROR(INDEX(参数!$C$5:$C$7,MATCH($N493,参数!$A$5:$A$7,0)),"")</f>
        <v>1.2</v>
      </c>
      <c r="Z493" s="4">
        <f>IFERROR(INDEX(参数!$D$5:$D$7,MATCH($N493,参数!$A$5:$A$7,0)),"")</f>
        <v>1</v>
      </c>
      <c r="AA493" s="4">
        <f>IFERROR(INDEX(楼层配置!$E$5:$E$104,MATCH($K493,楼层配置!$B$5:$B$104,0)),1)</f>
        <v>1</v>
      </c>
      <c r="AB493" s="4">
        <f>IFERROR(INDEX(楼层配置!$F$5:$F$104,MATCH($K493,楼层配置!$B$5:$B$104,0)),1)</f>
        <v>1</v>
      </c>
      <c r="AC493" s="4">
        <f>IFERROR(INDEX(楼层配置!$G$5:$G$104,MATCH($K493,楼层配置!$B$5:$B$104,0)),1)</f>
        <v>1</v>
      </c>
      <c r="AD493" s="6">
        <f t="shared" si="52"/>
        <v>-0.395625116759574</v>
      </c>
      <c r="AE493" s="6">
        <f t="shared" si="53"/>
        <v>-0.237570487710387</v>
      </c>
      <c r="AF493" s="6">
        <f t="shared" si="54"/>
        <v>0.0658936567717445</v>
      </c>
      <c r="AG493" s="4" t="str">
        <f t="shared" si="55"/>
        <v>有效</v>
      </c>
    </row>
    <row r="494" ht="14.25" customHeight="1" spans="1:33">
      <c r="A494" s="4">
        <v>490</v>
      </c>
      <c r="B494" s="4">
        <v>1007</v>
      </c>
      <c r="C494" s="4">
        <v>59</v>
      </c>
      <c r="D494" s="5">
        <f>IFERROR(ROUND($U494*$X494*$AA494*参数!$B$13,0),"")</f>
        <v>3372640</v>
      </c>
      <c r="E494" s="5">
        <f>IFERROR(ROUND($V494*$Y494*$AB494*参数!$C$13,0),"")</f>
        <v>44280</v>
      </c>
      <c r="F494" s="5">
        <f>IFERROR(ROUND($W494*$Z494*$AC494*参数!$D$13,0),"")</f>
        <v>44929</v>
      </c>
      <c r="G494" s="4">
        <v>5580378</v>
      </c>
      <c r="H494" s="4">
        <v>58078</v>
      </c>
      <c r="I494" s="4">
        <v>42152</v>
      </c>
      <c r="J494" s="4">
        <v>98</v>
      </c>
      <c r="K494" s="4">
        <v>98</v>
      </c>
      <c r="L494" s="4">
        <f>IFERROR(INDEX(楼层配置!$D$5:$D$104,MATCH($K494,楼层配置!$B$5:$B$104,0)),"")</f>
        <v>368</v>
      </c>
      <c r="M494" s="4" t="str">
        <f>IFERROR(INDEX(_角色基线!$B$2:$B$100,MATCH($B494,_角色基线!$A$2:$A$100,0)),"")</f>
        <v>萨萨莉安</v>
      </c>
      <c r="N494" s="4" t="str">
        <f>IFERROR(INDEX(_角色基线!$C$2:$C$100,MATCH($B494,_角色基线!$A$2:$A$100,0)),"")</f>
        <v>Support</v>
      </c>
      <c r="O494" s="4">
        <f>IFERROR(INDEX(_怪物基线!$B$2:$B$501,MATCH(INT($L494),_怪物基线!$A$2:$A$501,0)),"")</f>
        <v>674528</v>
      </c>
      <c r="P494" s="4">
        <f>IFERROR(INDEX(_怪物基线!$C$2:$C$501,MATCH(INT($L494),_怪物基线!$A$2:$A$501,0)),"")</f>
        <v>36900</v>
      </c>
      <c r="Q494" s="4">
        <f>IFERROR(INDEX(_怪物基线!$D$2:$D$501,MATCH(INT($L494),_怪物基线!$A$2:$A$501,0)),"")</f>
        <v>35943</v>
      </c>
      <c r="R494" s="4">
        <f>参数!$B$10</f>
        <v>4</v>
      </c>
      <c r="S494" s="4">
        <f>参数!$C$10</f>
        <v>1.2</v>
      </c>
      <c r="T494" s="4">
        <f>参数!$D$10</f>
        <v>1</v>
      </c>
      <c r="U494" s="4">
        <f t="shared" si="49"/>
        <v>2698112</v>
      </c>
      <c r="V494" s="4">
        <f t="shared" si="50"/>
        <v>44280</v>
      </c>
      <c r="W494" s="4">
        <f t="shared" si="51"/>
        <v>35943</v>
      </c>
      <c r="X494" s="4">
        <f>IFERROR(INDEX(参数!$B$5:$B$7,MATCH($N494,参数!$A$5:$A$7,0)),"")</f>
        <v>1.25</v>
      </c>
      <c r="Y494" s="4">
        <f>IFERROR(INDEX(参数!$C$5:$C$7,MATCH($N494,参数!$A$5:$A$7,0)),"")</f>
        <v>1</v>
      </c>
      <c r="Z494" s="4">
        <f>IFERROR(INDEX(参数!$D$5:$D$7,MATCH($N494,参数!$A$5:$A$7,0)),"")</f>
        <v>1.25</v>
      </c>
      <c r="AA494" s="4">
        <f>IFERROR(INDEX(楼层配置!$E$5:$E$104,MATCH($K494,楼层配置!$B$5:$B$104,0)),1)</f>
        <v>1</v>
      </c>
      <c r="AB494" s="4">
        <f>IFERROR(INDEX(楼层配置!$F$5:$F$104,MATCH($K494,楼层配置!$B$5:$B$104,0)),1)</f>
        <v>1</v>
      </c>
      <c r="AC494" s="4">
        <f>IFERROR(INDEX(楼层配置!$G$5:$G$104,MATCH($K494,楼层配置!$B$5:$B$104,0)),1)</f>
        <v>1</v>
      </c>
      <c r="AD494" s="6">
        <f t="shared" si="52"/>
        <v>-0.395625170911361</v>
      </c>
      <c r="AE494" s="6">
        <f t="shared" si="53"/>
        <v>-0.237577051551362</v>
      </c>
      <c r="AF494" s="6">
        <f t="shared" si="54"/>
        <v>0.0658806225090149</v>
      </c>
      <c r="AG494" s="4" t="str">
        <f t="shared" si="55"/>
        <v>有效</v>
      </c>
    </row>
    <row r="495" ht="14.25" customHeight="1" spans="1:33">
      <c r="A495" s="4">
        <v>491</v>
      </c>
      <c r="B495" s="4">
        <v>1003</v>
      </c>
      <c r="C495" s="4">
        <v>59</v>
      </c>
      <c r="D495" s="5">
        <f>IFERROR(ROUND($U495*$X495*$AA495*参数!$B$13,0),"")</f>
        <v>4110432</v>
      </c>
      <c r="E495" s="5">
        <f>IFERROR(ROUND($V495*$Y495*$AB495*参数!$C$13,0),"")</f>
        <v>44845</v>
      </c>
      <c r="F495" s="5">
        <f>IFERROR(ROUND($W495*$Z495*$AC495*参数!$D$13,0),"")</f>
        <v>54333</v>
      </c>
      <c r="G495" s="4">
        <v>6891192</v>
      </c>
      <c r="H495" s="4">
        <v>59554</v>
      </c>
      <c r="I495" s="4">
        <v>51301</v>
      </c>
      <c r="J495" s="4">
        <v>99</v>
      </c>
      <c r="K495" s="4">
        <v>99</v>
      </c>
      <c r="L495" s="4">
        <f>IFERROR(INDEX(楼层配置!$D$5:$D$104,MATCH($K495,楼层配置!$B$5:$B$104,0)),"")</f>
        <v>370</v>
      </c>
      <c r="M495" s="4" t="str">
        <f>IFERROR(INDEX(_角色基线!$B$2:$B$100,MATCH($B495,_角色基线!$A$2:$A$100,0)),"")</f>
        <v>塔拉夏</v>
      </c>
      <c r="N495" s="4" t="str">
        <f>IFERROR(INDEX(_角色基线!$C$2:$C$100,MATCH($B495,_角色基线!$A$2:$A$100,0)),"")</f>
        <v>Tank</v>
      </c>
      <c r="O495" s="4">
        <f>IFERROR(INDEX(_怪物基线!$B$2:$B$501,MATCH(INT($L495),_怪物基线!$A$2:$A$501,0)),"")</f>
        <v>685072</v>
      </c>
      <c r="P495" s="4">
        <f>IFERROR(INDEX(_怪物基线!$C$2:$C$501,MATCH(INT($L495),_怪物基线!$A$2:$A$501,0)),"")</f>
        <v>37371</v>
      </c>
      <c r="Q495" s="4">
        <f>IFERROR(INDEX(_怪物基线!$D$2:$D$501,MATCH(INT($L495),_怪物基线!$A$2:$A$501,0)),"")</f>
        <v>36222</v>
      </c>
      <c r="R495" s="4">
        <f>参数!$B$10</f>
        <v>4</v>
      </c>
      <c r="S495" s="4">
        <f>参数!$C$10</f>
        <v>1.2</v>
      </c>
      <c r="T495" s="4">
        <f>参数!$D$10</f>
        <v>1</v>
      </c>
      <c r="U495" s="4">
        <f t="shared" si="49"/>
        <v>2740288</v>
      </c>
      <c r="V495" s="4">
        <f t="shared" si="50"/>
        <v>44845.2</v>
      </c>
      <c r="W495" s="4">
        <f t="shared" si="51"/>
        <v>36222</v>
      </c>
      <c r="X495" s="4">
        <f>IFERROR(INDEX(参数!$B$5:$B$7,MATCH($N495,参数!$A$5:$A$7,0)),"")</f>
        <v>1.5</v>
      </c>
      <c r="Y495" s="4">
        <f>IFERROR(INDEX(参数!$C$5:$C$7,MATCH($N495,参数!$A$5:$A$7,0)),"")</f>
        <v>1</v>
      </c>
      <c r="Z495" s="4">
        <f>IFERROR(INDEX(参数!$D$5:$D$7,MATCH($N495,参数!$A$5:$A$7,0)),"")</f>
        <v>1.5</v>
      </c>
      <c r="AA495" s="4">
        <f>IFERROR(INDEX(楼层配置!$E$5:$E$104,MATCH($K495,楼层配置!$B$5:$B$104,0)),1)</f>
        <v>1</v>
      </c>
      <c r="AB495" s="4">
        <f>IFERROR(INDEX(楼层配置!$F$5:$F$104,MATCH($K495,楼层配置!$B$5:$B$104,0)),1)</f>
        <v>1</v>
      </c>
      <c r="AC495" s="4">
        <f>IFERROR(INDEX(楼层配置!$G$5:$G$104,MATCH($K495,楼层配置!$B$5:$B$104,0)),1)</f>
        <v>1</v>
      </c>
      <c r="AD495" s="6">
        <f t="shared" si="52"/>
        <v>-0.403523802558396</v>
      </c>
      <c r="AE495" s="6">
        <f t="shared" si="53"/>
        <v>-0.246985928736945</v>
      </c>
      <c r="AF495" s="6">
        <f t="shared" si="54"/>
        <v>0.0591021617512328</v>
      </c>
      <c r="AG495" s="4" t="str">
        <f t="shared" si="55"/>
        <v>有效</v>
      </c>
    </row>
    <row r="496" ht="14.25" customHeight="1" spans="1:33">
      <c r="A496" s="4">
        <v>492</v>
      </c>
      <c r="B496" s="4">
        <v>1017</v>
      </c>
      <c r="C496" s="4">
        <v>59</v>
      </c>
      <c r="D496" s="5">
        <f>IFERROR(ROUND($U496*$X496*$AA496*参数!$B$13,0),"")</f>
        <v>2740288</v>
      </c>
      <c r="E496" s="5">
        <f>IFERROR(ROUND($V496*$Y496*$AB496*参数!$C$13,0),"")</f>
        <v>53814</v>
      </c>
      <c r="F496" s="5">
        <f>IFERROR(ROUND($W496*$Z496*$AC496*参数!$D$13,0),"")</f>
        <v>36222</v>
      </c>
      <c r="G496" s="4">
        <v>4594128</v>
      </c>
      <c r="H496" s="4">
        <v>71464</v>
      </c>
      <c r="I496" s="4">
        <v>34200</v>
      </c>
      <c r="J496" s="4">
        <v>99</v>
      </c>
      <c r="K496" s="4">
        <v>99</v>
      </c>
      <c r="L496" s="4">
        <f>IFERROR(INDEX(楼层配置!$D$5:$D$104,MATCH($K496,楼层配置!$B$5:$B$104,0)),"")</f>
        <v>370</v>
      </c>
      <c r="M496" s="4" t="str">
        <f>IFERROR(INDEX(_角色基线!$B$2:$B$100,MATCH($B496,_角色基线!$A$2:$A$100,0)),"")</f>
        <v>伊戈尔</v>
      </c>
      <c r="N496" s="4" t="str">
        <f>IFERROR(INDEX(_角色基线!$C$2:$C$100,MATCH($B496,_角色基线!$A$2:$A$100,0)),"")</f>
        <v>DPS</v>
      </c>
      <c r="O496" s="4">
        <f>IFERROR(INDEX(_怪物基线!$B$2:$B$501,MATCH(INT($L496),_怪物基线!$A$2:$A$501,0)),"")</f>
        <v>685072</v>
      </c>
      <c r="P496" s="4">
        <f>IFERROR(INDEX(_怪物基线!$C$2:$C$501,MATCH(INT($L496),_怪物基线!$A$2:$A$501,0)),"")</f>
        <v>37371</v>
      </c>
      <c r="Q496" s="4">
        <f>IFERROR(INDEX(_怪物基线!$D$2:$D$501,MATCH(INT($L496),_怪物基线!$A$2:$A$501,0)),"")</f>
        <v>36222</v>
      </c>
      <c r="R496" s="4">
        <f>参数!$B$10</f>
        <v>4</v>
      </c>
      <c r="S496" s="4">
        <f>参数!$C$10</f>
        <v>1.2</v>
      </c>
      <c r="T496" s="4">
        <f>参数!$D$10</f>
        <v>1</v>
      </c>
      <c r="U496" s="4">
        <f t="shared" si="49"/>
        <v>2740288</v>
      </c>
      <c r="V496" s="4">
        <f t="shared" si="50"/>
        <v>44845.2</v>
      </c>
      <c r="W496" s="4">
        <f t="shared" si="51"/>
        <v>36222</v>
      </c>
      <c r="X496" s="4">
        <f>IFERROR(INDEX(参数!$B$5:$B$7,MATCH($N496,参数!$A$5:$A$7,0)),"")</f>
        <v>1</v>
      </c>
      <c r="Y496" s="4">
        <f>IFERROR(INDEX(参数!$C$5:$C$7,MATCH($N496,参数!$A$5:$A$7,0)),"")</f>
        <v>1.2</v>
      </c>
      <c r="Z496" s="4">
        <f>IFERROR(INDEX(参数!$D$5:$D$7,MATCH($N496,参数!$A$5:$A$7,0)),"")</f>
        <v>1</v>
      </c>
      <c r="AA496" s="4">
        <f>IFERROR(INDEX(楼层配置!$E$5:$E$104,MATCH($K496,楼层配置!$B$5:$B$104,0)),1)</f>
        <v>1</v>
      </c>
      <c r="AB496" s="4">
        <f>IFERROR(INDEX(楼层配置!$F$5:$F$104,MATCH($K496,楼层配置!$B$5:$B$104,0)),1)</f>
        <v>1</v>
      </c>
      <c r="AC496" s="4">
        <f>IFERROR(INDEX(楼层配置!$G$5:$G$104,MATCH($K496,楼层配置!$B$5:$B$104,0)),1)</f>
        <v>1</v>
      </c>
      <c r="AD496" s="6">
        <f t="shared" si="52"/>
        <v>-0.403523802558396</v>
      </c>
      <c r="AE496" s="6">
        <f t="shared" si="53"/>
        <v>-0.246977499160416</v>
      </c>
      <c r="AF496" s="6">
        <f t="shared" si="54"/>
        <v>0.0591228070175438</v>
      </c>
      <c r="AG496" s="4" t="str">
        <f t="shared" si="55"/>
        <v>有效</v>
      </c>
    </row>
    <row r="497" ht="14.25" customHeight="1" spans="1:33">
      <c r="A497" s="4">
        <v>493</v>
      </c>
      <c r="B497" s="4">
        <v>1017</v>
      </c>
      <c r="C497" s="4">
        <v>59</v>
      </c>
      <c r="D497" s="5">
        <f>IFERROR(ROUND($U497*$X497*$AA497*参数!$B$13,0),"")</f>
        <v>2740288</v>
      </c>
      <c r="E497" s="5">
        <f>IFERROR(ROUND($V497*$Y497*$AB497*参数!$C$13,0),"")</f>
        <v>53814</v>
      </c>
      <c r="F497" s="5">
        <f>IFERROR(ROUND($W497*$Z497*$AC497*参数!$D$13,0),"")</f>
        <v>36222</v>
      </c>
      <c r="G497" s="4">
        <v>4594128</v>
      </c>
      <c r="H497" s="4">
        <v>71464</v>
      </c>
      <c r="I497" s="4">
        <v>34200</v>
      </c>
      <c r="J497" s="4">
        <v>99</v>
      </c>
      <c r="K497" s="4">
        <v>99</v>
      </c>
      <c r="L497" s="4">
        <f>IFERROR(INDEX(楼层配置!$D$5:$D$104,MATCH($K497,楼层配置!$B$5:$B$104,0)),"")</f>
        <v>370</v>
      </c>
      <c r="M497" s="4" t="str">
        <f>IFERROR(INDEX(_角色基线!$B$2:$B$100,MATCH($B497,_角色基线!$A$2:$A$100,0)),"")</f>
        <v>伊戈尔</v>
      </c>
      <c r="N497" s="4" t="str">
        <f>IFERROR(INDEX(_角色基线!$C$2:$C$100,MATCH($B497,_角色基线!$A$2:$A$100,0)),"")</f>
        <v>DPS</v>
      </c>
      <c r="O497" s="4">
        <f>IFERROR(INDEX(_怪物基线!$B$2:$B$501,MATCH(INT($L497),_怪物基线!$A$2:$A$501,0)),"")</f>
        <v>685072</v>
      </c>
      <c r="P497" s="4">
        <f>IFERROR(INDEX(_怪物基线!$C$2:$C$501,MATCH(INT($L497),_怪物基线!$A$2:$A$501,0)),"")</f>
        <v>37371</v>
      </c>
      <c r="Q497" s="4">
        <f>IFERROR(INDEX(_怪物基线!$D$2:$D$501,MATCH(INT($L497),_怪物基线!$A$2:$A$501,0)),"")</f>
        <v>36222</v>
      </c>
      <c r="R497" s="4">
        <f>参数!$B$10</f>
        <v>4</v>
      </c>
      <c r="S497" s="4">
        <f>参数!$C$10</f>
        <v>1.2</v>
      </c>
      <c r="T497" s="4">
        <f>参数!$D$10</f>
        <v>1</v>
      </c>
      <c r="U497" s="4">
        <f t="shared" si="49"/>
        <v>2740288</v>
      </c>
      <c r="V497" s="4">
        <f t="shared" si="50"/>
        <v>44845.2</v>
      </c>
      <c r="W497" s="4">
        <f t="shared" si="51"/>
        <v>36222</v>
      </c>
      <c r="X497" s="4">
        <f>IFERROR(INDEX(参数!$B$5:$B$7,MATCH($N497,参数!$A$5:$A$7,0)),"")</f>
        <v>1</v>
      </c>
      <c r="Y497" s="4">
        <f>IFERROR(INDEX(参数!$C$5:$C$7,MATCH($N497,参数!$A$5:$A$7,0)),"")</f>
        <v>1.2</v>
      </c>
      <c r="Z497" s="4">
        <f>IFERROR(INDEX(参数!$D$5:$D$7,MATCH($N497,参数!$A$5:$A$7,0)),"")</f>
        <v>1</v>
      </c>
      <c r="AA497" s="4">
        <f>IFERROR(INDEX(楼层配置!$E$5:$E$104,MATCH($K497,楼层配置!$B$5:$B$104,0)),1)</f>
        <v>1</v>
      </c>
      <c r="AB497" s="4">
        <f>IFERROR(INDEX(楼层配置!$F$5:$F$104,MATCH($K497,楼层配置!$B$5:$B$104,0)),1)</f>
        <v>1</v>
      </c>
      <c r="AC497" s="4">
        <f>IFERROR(INDEX(楼层配置!$G$5:$G$104,MATCH($K497,楼层配置!$B$5:$B$104,0)),1)</f>
        <v>1</v>
      </c>
      <c r="AD497" s="6">
        <f t="shared" si="52"/>
        <v>-0.403523802558396</v>
      </c>
      <c r="AE497" s="6">
        <f t="shared" si="53"/>
        <v>-0.246977499160416</v>
      </c>
      <c r="AF497" s="6">
        <f t="shared" si="54"/>
        <v>0.0591228070175438</v>
      </c>
      <c r="AG497" s="4" t="str">
        <f t="shared" si="55"/>
        <v>有效</v>
      </c>
    </row>
    <row r="498" ht="14.25" customHeight="1" spans="1:33">
      <c r="A498" s="4">
        <v>494</v>
      </c>
      <c r="B498" s="4">
        <v>1008</v>
      </c>
      <c r="C498" s="4">
        <v>59</v>
      </c>
      <c r="D498" s="5">
        <f>IFERROR(ROUND($U498*$X498*$AA498*参数!$B$13,0),"")</f>
        <v>2740288</v>
      </c>
      <c r="E498" s="5">
        <f>IFERROR(ROUND($V498*$Y498*$AB498*参数!$C$13,0),"")</f>
        <v>53814</v>
      </c>
      <c r="F498" s="5">
        <f>IFERROR(ROUND($W498*$Z498*$AC498*参数!$D$13,0),"")</f>
        <v>36222</v>
      </c>
      <c r="G498" s="4">
        <v>4594128</v>
      </c>
      <c r="H498" s="4">
        <v>71464</v>
      </c>
      <c r="I498" s="4">
        <v>34200</v>
      </c>
      <c r="J498" s="4">
        <v>99</v>
      </c>
      <c r="K498" s="4">
        <v>99</v>
      </c>
      <c r="L498" s="4">
        <f>IFERROR(INDEX(楼层配置!$D$5:$D$104,MATCH($K498,楼层配置!$B$5:$B$104,0)),"")</f>
        <v>370</v>
      </c>
      <c r="M498" s="4" t="str">
        <f>IFERROR(INDEX(_角色基线!$B$2:$B$100,MATCH($B498,_角色基线!$A$2:$A$100,0)),"")</f>
        <v>薇</v>
      </c>
      <c r="N498" s="4" t="str">
        <f>IFERROR(INDEX(_角色基线!$C$2:$C$100,MATCH($B498,_角色基线!$A$2:$A$100,0)),"")</f>
        <v>DPS</v>
      </c>
      <c r="O498" s="4">
        <f>IFERROR(INDEX(_怪物基线!$B$2:$B$501,MATCH(INT($L498),_怪物基线!$A$2:$A$501,0)),"")</f>
        <v>685072</v>
      </c>
      <c r="P498" s="4">
        <f>IFERROR(INDEX(_怪物基线!$C$2:$C$501,MATCH(INT($L498),_怪物基线!$A$2:$A$501,0)),"")</f>
        <v>37371</v>
      </c>
      <c r="Q498" s="4">
        <f>IFERROR(INDEX(_怪物基线!$D$2:$D$501,MATCH(INT($L498),_怪物基线!$A$2:$A$501,0)),"")</f>
        <v>36222</v>
      </c>
      <c r="R498" s="4">
        <f>参数!$B$10</f>
        <v>4</v>
      </c>
      <c r="S498" s="4">
        <f>参数!$C$10</f>
        <v>1.2</v>
      </c>
      <c r="T498" s="4">
        <f>参数!$D$10</f>
        <v>1</v>
      </c>
      <c r="U498" s="4">
        <f t="shared" si="49"/>
        <v>2740288</v>
      </c>
      <c r="V498" s="4">
        <f t="shared" si="50"/>
        <v>44845.2</v>
      </c>
      <c r="W498" s="4">
        <f t="shared" si="51"/>
        <v>36222</v>
      </c>
      <c r="X498" s="4">
        <f>IFERROR(INDEX(参数!$B$5:$B$7,MATCH($N498,参数!$A$5:$A$7,0)),"")</f>
        <v>1</v>
      </c>
      <c r="Y498" s="4">
        <f>IFERROR(INDEX(参数!$C$5:$C$7,MATCH($N498,参数!$A$5:$A$7,0)),"")</f>
        <v>1.2</v>
      </c>
      <c r="Z498" s="4">
        <f>IFERROR(INDEX(参数!$D$5:$D$7,MATCH($N498,参数!$A$5:$A$7,0)),"")</f>
        <v>1</v>
      </c>
      <c r="AA498" s="4">
        <f>IFERROR(INDEX(楼层配置!$E$5:$E$104,MATCH($K498,楼层配置!$B$5:$B$104,0)),1)</f>
        <v>1</v>
      </c>
      <c r="AB498" s="4">
        <f>IFERROR(INDEX(楼层配置!$F$5:$F$104,MATCH($K498,楼层配置!$B$5:$B$104,0)),1)</f>
        <v>1</v>
      </c>
      <c r="AC498" s="4">
        <f>IFERROR(INDEX(楼层配置!$G$5:$G$104,MATCH($K498,楼层配置!$B$5:$B$104,0)),1)</f>
        <v>1</v>
      </c>
      <c r="AD498" s="6">
        <f t="shared" si="52"/>
        <v>-0.403523802558396</v>
      </c>
      <c r="AE498" s="6">
        <f t="shared" si="53"/>
        <v>-0.246977499160416</v>
      </c>
      <c r="AF498" s="6">
        <f t="shared" si="54"/>
        <v>0.0591228070175438</v>
      </c>
      <c r="AG498" s="4" t="str">
        <f t="shared" si="55"/>
        <v>有效</v>
      </c>
    </row>
    <row r="499" ht="14.25" customHeight="1" spans="1:33">
      <c r="A499" s="4">
        <v>495</v>
      </c>
      <c r="B499" s="4">
        <v>1007</v>
      </c>
      <c r="C499" s="4">
        <v>59</v>
      </c>
      <c r="D499" s="5">
        <f>IFERROR(ROUND($U499*$X499*$AA499*参数!$B$13,0),"")</f>
        <v>3425360</v>
      </c>
      <c r="E499" s="5">
        <f>IFERROR(ROUND($V499*$Y499*$AB499*参数!$C$13,0),"")</f>
        <v>44845</v>
      </c>
      <c r="F499" s="5">
        <f>IFERROR(ROUND($W499*$Z499*$AC499*参数!$D$13,0),"")</f>
        <v>45278</v>
      </c>
      <c r="G499" s="4">
        <v>5742660</v>
      </c>
      <c r="H499" s="4">
        <v>59554</v>
      </c>
      <c r="I499" s="4">
        <v>42751</v>
      </c>
      <c r="J499" s="4">
        <v>99</v>
      </c>
      <c r="K499" s="4">
        <v>99</v>
      </c>
      <c r="L499" s="4">
        <f>IFERROR(INDEX(楼层配置!$D$5:$D$104,MATCH($K499,楼层配置!$B$5:$B$104,0)),"")</f>
        <v>370</v>
      </c>
      <c r="M499" s="4" t="str">
        <f>IFERROR(INDEX(_角色基线!$B$2:$B$100,MATCH($B499,_角色基线!$A$2:$A$100,0)),"")</f>
        <v>萨萨莉安</v>
      </c>
      <c r="N499" s="4" t="str">
        <f>IFERROR(INDEX(_角色基线!$C$2:$C$100,MATCH($B499,_角色基线!$A$2:$A$100,0)),"")</f>
        <v>Support</v>
      </c>
      <c r="O499" s="4">
        <f>IFERROR(INDEX(_怪物基线!$B$2:$B$501,MATCH(INT($L499),_怪物基线!$A$2:$A$501,0)),"")</f>
        <v>685072</v>
      </c>
      <c r="P499" s="4">
        <f>IFERROR(INDEX(_怪物基线!$C$2:$C$501,MATCH(INT($L499),_怪物基线!$A$2:$A$501,0)),"")</f>
        <v>37371</v>
      </c>
      <c r="Q499" s="4">
        <f>IFERROR(INDEX(_怪物基线!$D$2:$D$501,MATCH(INT($L499),_怪物基线!$A$2:$A$501,0)),"")</f>
        <v>36222</v>
      </c>
      <c r="R499" s="4">
        <f>参数!$B$10</f>
        <v>4</v>
      </c>
      <c r="S499" s="4">
        <f>参数!$C$10</f>
        <v>1.2</v>
      </c>
      <c r="T499" s="4">
        <f>参数!$D$10</f>
        <v>1</v>
      </c>
      <c r="U499" s="4">
        <f t="shared" si="49"/>
        <v>2740288</v>
      </c>
      <c r="V499" s="4">
        <f t="shared" si="50"/>
        <v>44845.2</v>
      </c>
      <c r="W499" s="4">
        <f t="shared" si="51"/>
        <v>36222</v>
      </c>
      <c r="X499" s="4">
        <f>IFERROR(INDEX(参数!$B$5:$B$7,MATCH($N499,参数!$A$5:$A$7,0)),"")</f>
        <v>1.25</v>
      </c>
      <c r="Y499" s="4">
        <f>IFERROR(INDEX(参数!$C$5:$C$7,MATCH($N499,参数!$A$5:$A$7,0)),"")</f>
        <v>1</v>
      </c>
      <c r="Z499" s="4">
        <f>IFERROR(INDEX(参数!$D$5:$D$7,MATCH($N499,参数!$A$5:$A$7,0)),"")</f>
        <v>1.25</v>
      </c>
      <c r="AA499" s="4">
        <f>IFERROR(INDEX(楼层配置!$E$5:$E$104,MATCH($K499,楼层配置!$B$5:$B$104,0)),1)</f>
        <v>1</v>
      </c>
      <c r="AB499" s="4">
        <f>IFERROR(INDEX(楼层配置!$F$5:$F$104,MATCH($K499,楼层配置!$B$5:$B$104,0)),1)</f>
        <v>1</v>
      </c>
      <c r="AC499" s="4">
        <f>IFERROR(INDEX(楼层配置!$G$5:$G$104,MATCH($K499,楼层配置!$B$5:$B$104,0)),1)</f>
        <v>1</v>
      </c>
      <c r="AD499" s="6">
        <f t="shared" si="52"/>
        <v>-0.403523802558396</v>
      </c>
      <c r="AE499" s="6">
        <f t="shared" si="53"/>
        <v>-0.246985928736945</v>
      </c>
      <c r="AF499" s="6">
        <f t="shared" si="54"/>
        <v>0.0591097284274051</v>
      </c>
      <c r="AG499" s="4" t="str">
        <f t="shared" si="55"/>
        <v>有效</v>
      </c>
    </row>
    <row r="500" ht="14.25" customHeight="1" spans="1:33">
      <c r="A500" s="4">
        <v>496</v>
      </c>
      <c r="B500" s="4">
        <v>1003</v>
      </c>
      <c r="C500" s="4">
        <v>60</v>
      </c>
      <c r="D500" s="5">
        <f>IFERROR(ROUND($U500*$X500*$AA500*参数!$B$13,0),"")</f>
        <v>4110432</v>
      </c>
      <c r="E500" s="5">
        <f>IFERROR(ROUND($V500*$Y500*$AB500*参数!$C$13,0),"")</f>
        <v>44845</v>
      </c>
      <c r="F500" s="5">
        <f>IFERROR(ROUND($W500*$Z500*$AC500*参数!$D$13,0),"")</f>
        <v>54333</v>
      </c>
      <c r="G500" s="4">
        <v>7140672</v>
      </c>
      <c r="H500" s="4">
        <v>61451</v>
      </c>
      <c r="I500" s="4">
        <v>52206</v>
      </c>
      <c r="J500" s="4">
        <v>100</v>
      </c>
      <c r="K500" s="4">
        <v>100</v>
      </c>
      <c r="L500" s="4">
        <f>IFERROR(INDEX(楼层配置!$D$5:$D$104,MATCH($K500,楼层配置!$B$5:$B$104,0)),"")</f>
        <v>370</v>
      </c>
      <c r="M500" s="4" t="str">
        <f>IFERROR(INDEX(_角色基线!$B$2:$B$100,MATCH($B500,_角色基线!$A$2:$A$100,0)),"")</f>
        <v>塔拉夏</v>
      </c>
      <c r="N500" s="4" t="str">
        <f>IFERROR(INDEX(_角色基线!$C$2:$C$100,MATCH($B500,_角色基线!$A$2:$A$100,0)),"")</f>
        <v>Tank</v>
      </c>
      <c r="O500" s="4">
        <f>IFERROR(INDEX(_怪物基线!$B$2:$B$501,MATCH(INT($L500),_怪物基线!$A$2:$A$501,0)),"")</f>
        <v>685072</v>
      </c>
      <c r="P500" s="4">
        <f>IFERROR(INDEX(_怪物基线!$C$2:$C$501,MATCH(INT($L500),_怪物基线!$A$2:$A$501,0)),"")</f>
        <v>37371</v>
      </c>
      <c r="Q500" s="4">
        <f>IFERROR(INDEX(_怪物基线!$D$2:$D$501,MATCH(INT($L500),_怪物基线!$A$2:$A$501,0)),"")</f>
        <v>36222</v>
      </c>
      <c r="R500" s="4">
        <f>参数!$B$10</f>
        <v>4</v>
      </c>
      <c r="S500" s="4">
        <f>参数!$C$10</f>
        <v>1.2</v>
      </c>
      <c r="T500" s="4">
        <f>参数!$D$10</f>
        <v>1</v>
      </c>
      <c r="U500" s="4">
        <f t="shared" si="49"/>
        <v>2740288</v>
      </c>
      <c r="V500" s="4">
        <f t="shared" si="50"/>
        <v>44845.2</v>
      </c>
      <c r="W500" s="4">
        <f t="shared" si="51"/>
        <v>36222</v>
      </c>
      <c r="X500" s="4">
        <f>IFERROR(INDEX(参数!$B$5:$B$7,MATCH($N500,参数!$A$5:$A$7,0)),"")</f>
        <v>1.5</v>
      </c>
      <c r="Y500" s="4">
        <f>IFERROR(INDEX(参数!$C$5:$C$7,MATCH($N500,参数!$A$5:$A$7,0)),"")</f>
        <v>1</v>
      </c>
      <c r="Z500" s="4">
        <f>IFERROR(INDEX(参数!$D$5:$D$7,MATCH($N500,参数!$A$5:$A$7,0)),"")</f>
        <v>1.5</v>
      </c>
      <c r="AA500" s="4">
        <f>IFERROR(INDEX(楼层配置!$E$5:$E$104,MATCH($K500,楼层配置!$B$5:$B$104,0)),1)</f>
        <v>1</v>
      </c>
      <c r="AB500" s="4">
        <f>IFERROR(INDEX(楼层配置!$F$5:$F$104,MATCH($K500,楼层配置!$B$5:$B$104,0)),1)</f>
        <v>1</v>
      </c>
      <c r="AC500" s="4">
        <f>IFERROR(INDEX(楼层配置!$G$5:$G$104,MATCH($K500,楼层配置!$B$5:$B$104,0)),1)</f>
        <v>1</v>
      </c>
      <c r="AD500" s="6">
        <f t="shared" si="52"/>
        <v>-0.424363421257831</v>
      </c>
      <c r="AE500" s="6">
        <f t="shared" si="53"/>
        <v>-0.27023156661405</v>
      </c>
      <c r="AF500" s="6">
        <f t="shared" si="54"/>
        <v>0.0407424433973107</v>
      </c>
      <c r="AG500" s="4" t="str">
        <f t="shared" si="55"/>
        <v>有效</v>
      </c>
    </row>
    <row r="501" ht="14.25" customHeight="1" spans="1:33">
      <c r="A501" s="4">
        <v>497</v>
      </c>
      <c r="B501" s="4">
        <v>1005</v>
      </c>
      <c r="C501" s="4">
        <v>60</v>
      </c>
      <c r="D501" s="5">
        <f>IFERROR(ROUND($U501*$X501*$AA501*参数!$B$13,0),"")</f>
        <v>2740288</v>
      </c>
      <c r="E501" s="5">
        <f>IFERROR(ROUND($V501*$Y501*$AB501*参数!$C$13,0),"")</f>
        <v>53814</v>
      </c>
      <c r="F501" s="5">
        <f>IFERROR(ROUND($W501*$Z501*$AC501*参数!$D$13,0),"")</f>
        <v>36222</v>
      </c>
      <c r="G501" s="4">
        <v>4760448</v>
      </c>
      <c r="H501" s="4">
        <v>73741</v>
      </c>
      <c r="I501" s="4">
        <v>34804</v>
      </c>
      <c r="J501" s="4">
        <v>100</v>
      </c>
      <c r="K501" s="4">
        <v>100</v>
      </c>
      <c r="L501" s="4">
        <f>IFERROR(INDEX(楼层配置!$D$5:$D$104,MATCH($K501,楼层配置!$B$5:$B$104,0)),"")</f>
        <v>370</v>
      </c>
      <c r="M501" s="4" t="str">
        <f>IFERROR(INDEX(_角色基线!$B$2:$B$100,MATCH($B501,_角色基线!$A$2:$A$100,0)),"")</f>
        <v>陈单单</v>
      </c>
      <c r="N501" s="4" t="str">
        <f>IFERROR(INDEX(_角色基线!$C$2:$C$100,MATCH($B501,_角色基线!$A$2:$A$100,0)),"")</f>
        <v>DPS</v>
      </c>
      <c r="O501" s="4">
        <f>IFERROR(INDEX(_怪物基线!$B$2:$B$501,MATCH(INT($L501),_怪物基线!$A$2:$A$501,0)),"")</f>
        <v>685072</v>
      </c>
      <c r="P501" s="4">
        <f>IFERROR(INDEX(_怪物基线!$C$2:$C$501,MATCH(INT($L501),_怪物基线!$A$2:$A$501,0)),"")</f>
        <v>37371</v>
      </c>
      <c r="Q501" s="4">
        <f>IFERROR(INDEX(_怪物基线!$D$2:$D$501,MATCH(INT($L501),_怪物基线!$A$2:$A$501,0)),"")</f>
        <v>36222</v>
      </c>
      <c r="R501" s="4">
        <f>参数!$B$10</f>
        <v>4</v>
      </c>
      <c r="S501" s="4">
        <f>参数!$C$10</f>
        <v>1.2</v>
      </c>
      <c r="T501" s="4">
        <f>参数!$D$10</f>
        <v>1</v>
      </c>
      <c r="U501" s="4">
        <f t="shared" si="49"/>
        <v>2740288</v>
      </c>
      <c r="V501" s="4">
        <f t="shared" si="50"/>
        <v>44845.2</v>
      </c>
      <c r="W501" s="4">
        <f t="shared" si="51"/>
        <v>36222</v>
      </c>
      <c r="X501" s="4">
        <f>IFERROR(INDEX(参数!$B$5:$B$7,MATCH($N501,参数!$A$5:$A$7,0)),"")</f>
        <v>1</v>
      </c>
      <c r="Y501" s="4">
        <f>IFERROR(INDEX(参数!$C$5:$C$7,MATCH($N501,参数!$A$5:$A$7,0)),"")</f>
        <v>1.2</v>
      </c>
      <c r="Z501" s="4">
        <f>IFERROR(INDEX(参数!$D$5:$D$7,MATCH($N501,参数!$A$5:$A$7,0)),"")</f>
        <v>1</v>
      </c>
      <c r="AA501" s="4">
        <f>IFERROR(INDEX(楼层配置!$E$5:$E$104,MATCH($K501,楼层配置!$B$5:$B$104,0)),1)</f>
        <v>1</v>
      </c>
      <c r="AB501" s="4">
        <f>IFERROR(INDEX(楼层配置!$F$5:$F$104,MATCH($K501,楼层配置!$B$5:$B$104,0)),1)</f>
        <v>1</v>
      </c>
      <c r="AC501" s="4">
        <f>IFERROR(INDEX(楼层配置!$G$5:$G$104,MATCH($K501,楼层配置!$B$5:$B$104,0)),1)</f>
        <v>1</v>
      </c>
      <c r="AD501" s="6">
        <f t="shared" si="52"/>
        <v>-0.424363421257831</v>
      </c>
      <c r="AE501" s="6">
        <f t="shared" si="53"/>
        <v>-0.270229587339472</v>
      </c>
      <c r="AF501" s="6">
        <f t="shared" si="54"/>
        <v>0.0407424433973107</v>
      </c>
      <c r="AG501" s="4" t="str">
        <f t="shared" si="55"/>
        <v>有效</v>
      </c>
    </row>
    <row r="502" ht="14.25" customHeight="1" spans="1:33">
      <c r="A502" s="4">
        <v>498</v>
      </c>
      <c r="B502" s="4">
        <v>1005</v>
      </c>
      <c r="C502" s="4">
        <v>60</v>
      </c>
      <c r="D502" s="5">
        <f>IFERROR(ROUND($U502*$X502*$AA502*参数!$B$13,0),"")</f>
        <v>2740288</v>
      </c>
      <c r="E502" s="5">
        <f>IFERROR(ROUND($V502*$Y502*$AB502*参数!$C$13,0),"")</f>
        <v>53814</v>
      </c>
      <c r="F502" s="5">
        <f>IFERROR(ROUND($W502*$Z502*$AC502*参数!$D$13,0),"")</f>
        <v>36222</v>
      </c>
      <c r="G502" s="4">
        <v>4760448</v>
      </c>
      <c r="H502" s="4">
        <v>73741</v>
      </c>
      <c r="I502" s="4">
        <v>34804</v>
      </c>
      <c r="J502" s="4">
        <v>100</v>
      </c>
      <c r="K502" s="4">
        <v>100</v>
      </c>
      <c r="L502" s="4">
        <f>IFERROR(INDEX(楼层配置!$D$5:$D$104,MATCH($K502,楼层配置!$B$5:$B$104,0)),"")</f>
        <v>370</v>
      </c>
      <c r="M502" s="4" t="str">
        <f>IFERROR(INDEX(_角色基线!$B$2:$B$100,MATCH($B502,_角色基线!$A$2:$A$100,0)),"")</f>
        <v>陈单单</v>
      </c>
      <c r="N502" s="4" t="str">
        <f>IFERROR(INDEX(_角色基线!$C$2:$C$100,MATCH($B502,_角色基线!$A$2:$A$100,0)),"")</f>
        <v>DPS</v>
      </c>
      <c r="O502" s="4">
        <f>IFERROR(INDEX(_怪物基线!$B$2:$B$501,MATCH(INT($L502),_怪物基线!$A$2:$A$501,0)),"")</f>
        <v>685072</v>
      </c>
      <c r="P502" s="4">
        <f>IFERROR(INDEX(_怪物基线!$C$2:$C$501,MATCH(INT($L502),_怪物基线!$A$2:$A$501,0)),"")</f>
        <v>37371</v>
      </c>
      <c r="Q502" s="4">
        <f>IFERROR(INDEX(_怪物基线!$D$2:$D$501,MATCH(INT($L502),_怪物基线!$A$2:$A$501,0)),"")</f>
        <v>36222</v>
      </c>
      <c r="R502" s="4">
        <f>参数!$B$10</f>
        <v>4</v>
      </c>
      <c r="S502" s="4">
        <f>参数!$C$10</f>
        <v>1.2</v>
      </c>
      <c r="T502" s="4">
        <f>参数!$D$10</f>
        <v>1</v>
      </c>
      <c r="U502" s="4">
        <f t="shared" si="49"/>
        <v>2740288</v>
      </c>
      <c r="V502" s="4">
        <f t="shared" si="50"/>
        <v>44845.2</v>
      </c>
      <c r="W502" s="4">
        <f t="shared" si="51"/>
        <v>36222</v>
      </c>
      <c r="X502" s="4">
        <f>IFERROR(INDEX(参数!$B$5:$B$7,MATCH($N502,参数!$A$5:$A$7,0)),"")</f>
        <v>1</v>
      </c>
      <c r="Y502" s="4">
        <f>IFERROR(INDEX(参数!$C$5:$C$7,MATCH($N502,参数!$A$5:$A$7,0)),"")</f>
        <v>1.2</v>
      </c>
      <c r="Z502" s="4">
        <f>IFERROR(INDEX(参数!$D$5:$D$7,MATCH($N502,参数!$A$5:$A$7,0)),"")</f>
        <v>1</v>
      </c>
      <c r="AA502" s="4">
        <f>IFERROR(INDEX(楼层配置!$E$5:$E$104,MATCH($K502,楼层配置!$B$5:$B$104,0)),1)</f>
        <v>1</v>
      </c>
      <c r="AB502" s="4">
        <f>IFERROR(INDEX(楼层配置!$F$5:$F$104,MATCH($K502,楼层配置!$B$5:$B$104,0)),1)</f>
        <v>1</v>
      </c>
      <c r="AC502" s="4">
        <f>IFERROR(INDEX(楼层配置!$G$5:$G$104,MATCH($K502,楼层配置!$B$5:$B$104,0)),1)</f>
        <v>1</v>
      </c>
      <c r="AD502" s="6">
        <f t="shared" si="52"/>
        <v>-0.424363421257831</v>
      </c>
      <c r="AE502" s="6">
        <f t="shared" si="53"/>
        <v>-0.270229587339472</v>
      </c>
      <c r="AF502" s="6">
        <f t="shared" si="54"/>
        <v>0.0407424433973107</v>
      </c>
      <c r="AG502" s="4" t="str">
        <f t="shared" si="55"/>
        <v>有效</v>
      </c>
    </row>
    <row r="503" ht="14.25" customHeight="1" spans="1:33">
      <c r="A503" s="4">
        <v>499</v>
      </c>
      <c r="B503" s="4">
        <v>1005</v>
      </c>
      <c r="C503" s="4">
        <v>60</v>
      </c>
      <c r="D503" s="5">
        <f>IFERROR(ROUND($U503*$X503*$AA503*参数!$B$13,0),"")</f>
        <v>2740288</v>
      </c>
      <c r="E503" s="5">
        <f>IFERROR(ROUND($V503*$Y503*$AB503*参数!$C$13,0),"")</f>
        <v>53814</v>
      </c>
      <c r="F503" s="5">
        <f>IFERROR(ROUND($W503*$Z503*$AC503*参数!$D$13,0),"")</f>
        <v>36222</v>
      </c>
      <c r="G503" s="4">
        <v>4760448</v>
      </c>
      <c r="H503" s="4">
        <v>73741</v>
      </c>
      <c r="I503" s="4">
        <v>34804</v>
      </c>
      <c r="J503" s="4">
        <v>100</v>
      </c>
      <c r="K503" s="4">
        <v>100</v>
      </c>
      <c r="L503" s="4">
        <f>IFERROR(INDEX(楼层配置!$D$5:$D$104,MATCH($K503,楼层配置!$B$5:$B$104,0)),"")</f>
        <v>370</v>
      </c>
      <c r="M503" s="4" t="str">
        <f>IFERROR(INDEX(_角色基线!$B$2:$B$100,MATCH($B503,_角色基线!$A$2:$A$100,0)),"")</f>
        <v>陈单单</v>
      </c>
      <c r="N503" s="4" t="str">
        <f>IFERROR(INDEX(_角色基线!$C$2:$C$100,MATCH($B503,_角色基线!$A$2:$A$100,0)),"")</f>
        <v>DPS</v>
      </c>
      <c r="O503" s="4">
        <f>IFERROR(INDEX(_怪物基线!$B$2:$B$501,MATCH(INT($L503),_怪物基线!$A$2:$A$501,0)),"")</f>
        <v>685072</v>
      </c>
      <c r="P503" s="4">
        <f>IFERROR(INDEX(_怪物基线!$C$2:$C$501,MATCH(INT($L503),_怪物基线!$A$2:$A$501,0)),"")</f>
        <v>37371</v>
      </c>
      <c r="Q503" s="4">
        <f>IFERROR(INDEX(_怪物基线!$D$2:$D$501,MATCH(INT($L503),_怪物基线!$A$2:$A$501,0)),"")</f>
        <v>36222</v>
      </c>
      <c r="R503" s="4">
        <f>参数!$B$10</f>
        <v>4</v>
      </c>
      <c r="S503" s="4">
        <f>参数!$C$10</f>
        <v>1.2</v>
      </c>
      <c r="T503" s="4">
        <f>参数!$D$10</f>
        <v>1</v>
      </c>
      <c r="U503" s="4">
        <f t="shared" si="49"/>
        <v>2740288</v>
      </c>
      <c r="V503" s="4">
        <f t="shared" si="50"/>
        <v>44845.2</v>
      </c>
      <c r="W503" s="4">
        <f t="shared" si="51"/>
        <v>36222</v>
      </c>
      <c r="X503" s="4">
        <f>IFERROR(INDEX(参数!$B$5:$B$7,MATCH($N503,参数!$A$5:$A$7,0)),"")</f>
        <v>1</v>
      </c>
      <c r="Y503" s="4">
        <f>IFERROR(INDEX(参数!$C$5:$C$7,MATCH($N503,参数!$A$5:$A$7,0)),"")</f>
        <v>1.2</v>
      </c>
      <c r="Z503" s="4">
        <f>IFERROR(INDEX(参数!$D$5:$D$7,MATCH($N503,参数!$A$5:$A$7,0)),"")</f>
        <v>1</v>
      </c>
      <c r="AA503" s="4">
        <f>IFERROR(INDEX(楼层配置!$E$5:$E$104,MATCH($K503,楼层配置!$B$5:$B$104,0)),1)</f>
        <v>1</v>
      </c>
      <c r="AB503" s="4">
        <f>IFERROR(INDEX(楼层配置!$F$5:$F$104,MATCH($K503,楼层配置!$B$5:$B$104,0)),1)</f>
        <v>1</v>
      </c>
      <c r="AC503" s="4">
        <f>IFERROR(INDEX(楼层配置!$G$5:$G$104,MATCH($K503,楼层配置!$B$5:$B$104,0)),1)</f>
        <v>1</v>
      </c>
      <c r="AD503" s="6">
        <f t="shared" si="52"/>
        <v>-0.424363421257831</v>
      </c>
      <c r="AE503" s="6">
        <f t="shared" si="53"/>
        <v>-0.270229587339472</v>
      </c>
      <c r="AF503" s="6">
        <f t="shared" si="54"/>
        <v>0.0407424433973107</v>
      </c>
      <c r="AG503" s="4" t="str">
        <f t="shared" si="55"/>
        <v>有效</v>
      </c>
    </row>
    <row r="504" ht="14.25" customHeight="1" spans="1:33">
      <c r="A504" s="4">
        <v>500</v>
      </c>
      <c r="B504" s="4">
        <v>1029</v>
      </c>
      <c r="C504" s="4">
        <v>60</v>
      </c>
      <c r="D504" s="5">
        <f>IFERROR(ROUND($U504*$X504*$AA504*参数!$B$13,0),"")</f>
        <v>3425360</v>
      </c>
      <c r="E504" s="5">
        <f>IFERROR(ROUND($V504*$Y504*$AB504*参数!$C$13,0),"")</f>
        <v>44845</v>
      </c>
      <c r="F504" s="5">
        <f>IFERROR(ROUND($W504*$Z504*$AC504*参数!$D$13,0),"")</f>
        <v>45278</v>
      </c>
      <c r="G504" s="4">
        <v>5950560</v>
      </c>
      <c r="H504" s="4">
        <v>61451</v>
      </c>
      <c r="I504" s="4">
        <v>43505</v>
      </c>
      <c r="J504" s="4">
        <v>100</v>
      </c>
      <c r="K504" s="4">
        <v>100</v>
      </c>
      <c r="L504" s="4">
        <f>IFERROR(INDEX(楼层配置!$D$5:$D$104,MATCH($K504,楼层配置!$B$5:$B$104,0)),"")</f>
        <v>370</v>
      </c>
      <c r="M504" s="4" t="str">
        <f>IFERROR(INDEX(_角色基线!$B$2:$B$100,MATCH($B504,_角色基线!$A$2:$A$100,0)),"")</f>
        <v>凯兰</v>
      </c>
      <c r="N504" s="4" t="str">
        <f>IFERROR(INDEX(_角色基线!$C$2:$C$100,MATCH($B504,_角色基线!$A$2:$A$100,0)),"")</f>
        <v>Support</v>
      </c>
      <c r="O504" s="4">
        <f>IFERROR(INDEX(_怪物基线!$B$2:$B$501,MATCH(INT($L504),_怪物基线!$A$2:$A$501,0)),"")</f>
        <v>685072</v>
      </c>
      <c r="P504" s="4">
        <f>IFERROR(INDEX(_怪物基线!$C$2:$C$501,MATCH(INT($L504),_怪物基线!$A$2:$A$501,0)),"")</f>
        <v>37371</v>
      </c>
      <c r="Q504" s="4">
        <f>IFERROR(INDEX(_怪物基线!$D$2:$D$501,MATCH(INT($L504),_怪物基线!$A$2:$A$501,0)),"")</f>
        <v>36222</v>
      </c>
      <c r="R504" s="4">
        <f>参数!$B$10</f>
        <v>4</v>
      </c>
      <c r="S504" s="4">
        <f>参数!$C$10</f>
        <v>1.2</v>
      </c>
      <c r="T504" s="4">
        <f>参数!$D$10</f>
        <v>1</v>
      </c>
      <c r="U504" s="4">
        <f t="shared" si="49"/>
        <v>2740288</v>
      </c>
      <c r="V504" s="4">
        <f t="shared" si="50"/>
        <v>44845.2</v>
      </c>
      <c r="W504" s="4">
        <f t="shared" si="51"/>
        <v>36222</v>
      </c>
      <c r="X504" s="4">
        <f>IFERROR(INDEX(参数!$B$5:$B$7,MATCH($N504,参数!$A$5:$A$7,0)),"")</f>
        <v>1.25</v>
      </c>
      <c r="Y504" s="4">
        <f>IFERROR(INDEX(参数!$C$5:$C$7,MATCH($N504,参数!$A$5:$A$7,0)),"")</f>
        <v>1</v>
      </c>
      <c r="Z504" s="4">
        <f>IFERROR(INDEX(参数!$D$5:$D$7,MATCH($N504,参数!$A$5:$A$7,0)),"")</f>
        <v>1.25</v>
      </c>
      <c r="AA504" s="4">
        <f>IFERROR(INDEX(楼层配置!$E$5:$E$104,MATCH($K504,楼层配置!$B$5:$B$104,0)),1)</f>
        <v>1</v>
      </c>
      <c r="AB504" s="4">
        <f>IFERROR(INDEX(楼层配置!$F$5:$F$104,MATCH($K504,楼层配置!$B$5:$B$104,0)),1)</f>
        <v>1</v>
      </c>
      <c r="AC504" s="4">
        <f>IFERROR(INDEX(楼层配置!$G$5:$G$104,MATCH($K504,楼层配置!$B$5:$B$104,0)),1)</f>
        <v>1</v>
      </c>
      <c r="AD504" s="6">
        <f t="shared" si="52"/>
        <v>-0.424363421257831</v>
      </c>
      <c r="AE504" s="6">
        <f t="shared" si="53"/>
        <v>-0.27023156661405</v>
      </c>
      <c r="AF504" s="6">
        <f t="shared" si="54"/>
        <v>0.0407539363291576</v>
      </c>
      <c r="AG504" s="4" t="str">
        <f t="shared" si="55"/>
        <v>有效</v>
      </c>
    </row>
  </sheetData>
  <autoFilter xmlns:etc="http://www.wps.cn/officeDocument/2017/etCustomData" ref="A4:AG504" etc:filterBottomFollowUsedRange="0">
    <extLst/>
  </autoFilter>
  <mergeCells count="2">
    <mergeCell ref="A1:AG1"/>
    <mergeCell ref="A2:AG2"/>
  </mergeCells>
  <conditionalFormatting sqref="AG5:AG504">
    <cfRule type="expression" dxfId="0" priority="1">
      <formula>$AG5="异常"</formula>
    </cfRule>
  </conditionalFormatting>
  <pageMargins left="0.25" right="0.25" top="0.5" bottom="0.5" header="0.5" footer="0.5"/>
  <pageSetup paperSize="1" fitToHeight="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  <pageSetUpPr fitToPage="1"/>
  </sheetPr>
  <dimension ref="A1:J504"/>
  <sheetViews>
    <sheetView showGridLines="0" tabSelected="1" zoomScale="90" zoomScaleNormal="90" workbookViewId="0">
      <pane xSplit="3" ySplit="4" topLeftCell="D5" activePane="bottomRight" state="frozen"/>
      <selection/>
      <selection pane="topRight"/>
      <selection pane="bottomLeft"/>
      <selection pane="bottomRight" activeCell="I23" sqref="I23"/>
    </sheetView>
  </sheetViews>
  <sheetFormatPr defaultColWidth="9" defaultRowHeight="13.5"/>
  <cols>
    <col min="1" max="3" width="14" customWidth="1"/>
    <col min="4" max="6" width="16" customWidth="1"/>
    <col min="7" max="7" width="12" customWidth="1"/>
    <col min="8" max="8" width="14" customWidth="1"/>
    <col min="9" max="10" width="16" customWidth="1"/>
  </cols>
  <sheetData>
    <row r="1" ht="30" customHeight="1" spans="1:10">
      <c r="A1" s="1" t="s">
        <v>729</v>
      </c>
    </row>
    <row r="2" ht="32" customHeight="1" spans="1:10">
      <c r="A2" s="2" t="s">
        <v>730</v>
      </c>
    </row>
    <row r="4" ht="38" customHeight="1" spans="1:10">
      <c r="A4" s="3" t="s">
        <v>704</v>
      </c>
      <c r="B4" s="3" t="s">
        <v>731</v>
      </c>
      <c r="C4" s="3" t="s">
        <v>732</v>
      </c>
      <c r="D4" s="3" t="s">
        <v>733</v>
      </c>
      <c r="E4" s="3" t="s">
        <v>734</v>
      </c>
      <c r="F4" s="3" t="s">
        <v>735</v>
      </c>
      <c r="G4" s="3" t="s">
        <v>728</v>
      </c>
      <c r="H4" s="3" t="s">
        <v>710</v>
      </c>
      <c r="I4" s="3" t="s">
        <v>711</v>
      </c>
      <c r="J4" s="3" t="s">
        <v>712</v>
      </c>
    </row>
    <row r="5" ht="14.25" customHeight="1" spans="1:10">
      <c r="A5" s="4">
        <f>TeamHero生成!A5</f>
        <v>1</v>
      </c>
      <c r="B5" s="4">
        <f>TeamHero生成!B5</f>
        <v>1002</v>
      </c>
      <c r="C5" s="4">
        <f>TeamHero生成!C5</f>
        <v>10</v>
      </c>
      <c r="D5" s="5">
        <f>TeamHero生成!D5</f>
        <v>34956</v>
      </c>
      <c r="E5" s="5">
        <f>TeamHero生成!E5</f>
        <v>1642</v>
      </c>
      <c r="F5" s="5">
        <f>TeamHero生成!F5</f>
        <v>3332</v>
      </c>
      <c r="G5" s="4" t="str">
        <f>TeamHero生成!AG5</f>
        <v>有效</v>
      </c>
      <c r="H5" s="4">
        <f>TeamHero生成!G5</f>
        <v>17474</v>
      </c>
      <c r="I5" s="4">
        <f>TeamHero生成!H5</f>
        <v>847</v>
      </c>
      <c r="J5" s="4">
        <f>TeamHero生成!I5</f>
        <v>1394</v>
      </c>
    </row>
    <row r="6" ht="14.25" customHeight="1" spans="1:10">
      <c r="A6" s="4">
        <f>TeamHero生成!A6</f>
        <v>2</v>
      </c>
      <c r="B6" s="4">
        <f>TeamHero生成!B6</f>
        <v>1001</v>
      </c>
      <c r="C6" s="4">
        <f>TeamHero生成!C6</f>
        <v>10</v>
      </c>
      <c r="D6" s="5">
        <f>TeamHero生成!D6</f>
        <v>23304</v>
      </c>
      <c r="E6" s="5">
        <f>TeamHero生成!E6</f>
        <v>1970</v>
      </c>
      <c r="F6" s="5">
        <f>TeamHero生成!F6</f>
        <v>2221</v>
      </c>
      <c r="G6" s="4" t="str">
        <f>TeamHero生成!AG6</f>
        <v>有效</v>
      </c>
      <c r="H6" s="4">
        <f>TeamHero生成!G6</f>
        <v>11649</v>
      </c>
      <c r="I6" s="4">
        <f>TeamHero生成!H6</f>
        <v>1016</v>
      </c>
      <c r="J6" s="4">
        <f>TeamHero生成!I6</f>
        <v>929</v>
      </c>
    </row>
    <row r="7" ht="14.25" customHeight="1" spans="1:10">
      <c r="A7" s="4">
        <f>TeamHero生成!A7</f>
        <v>3</v>
      </c>
      <c r="B7" s="4">
        <f>TeamHero生成!B7</f>
        <v>1001</v>
      </c>
      <c r="C7" s="4">
        <f>TeamHero生成!C7</f>
        <v>10</v>
      </c>
      <c r="D7" s="5">
        <f>TeamHero生成!D7</f>
        <v>23304</v>
      </c>
      <c r="E7" s="5">
        <f>TeamHero生成!E7</f>
        <v>1970</v>
      </c>
      <c r="F7" s="5">
        <f>TeamHero生成!F7</f>
        <v>2221</v>
      </c>
      <c r="G7" s="4" t="str">
        <f>TeamHero生成!AG7</f>
        <v>有效</v>
      </c>
      <c r="H7" s="4">
        <f>TeamHero生成!G7</f>
        <v>11649</v>
      </c>
      <c r="I7" s="4">
        <f>TeamHero生成!H7</f>
        <v>1016</v>
      </c>
      <c r="J7" s="4">
        <f>TeamHero生成!I7</f>
        <v>929</v>
      </c>
    </row>
    <row r="8" ht="14.25" customHeight="1" spans="1:10">
      <c r="A8" s="4">
        <f>TeamHero生成!A8</f>
        <v>4</v>
      </c>
      <c r="B8" s="4">
        <f>TeamHero生成!B8</f>
        <v>1001</v>
      </c>
      <c r="C8" s="4">
        <f>TeamHero生成!C8</f>
        <v>10</v>
      </c>
      <c r="D8" s="5">
        <f>TeamHero生成!D8</f>
        <v>23304</v>
      </c>
      <c r="E8" s="5">
        <f>TeamHero生成!E8</f>
        <v>1970</v>
      </c>
      <c r="F8" s="5">
        <f>TeamHero生成!F8</f>
        <v>2221</v>
      </c>
      <c r="G8" s="4" t="str">
        <f>TeamHero生成!AG8</f>
        <v>有效</v>
      </c>
      <c r="H8" s="4">
        <f>TeamHero生成!G8</f>
        <v>11649</v>
      </c>
      <c r="I8" s="4">
        <f>TeamHero生成!H8</f>
        <v>1016</v>
      </c>
      <c r="J8" s="4">
        <f>TeamHero生成!I8</f>
        <v>929</v>
      </c>
    </row>
    <row r="9" ht="14.25" customHeight="1" spans="1:10">
      <c r="A9" s="4">
        <f>TeamHero生成!A9</f>
        <v>5</v>
      </c>
      <c r="B9" s="4">
        <f>TeamHero生成!B9</f>
        <v>1040</v>
      </c>
      <c r="C9" s="4">
        <f>TeamHero生成!C9</f>
        <v>10</v>
      </c>
      <c r="D9" s="5">
        <f>TeamHero生成!D9</f>
        <v>29130</v>
      </c>
      <c r="E9" s="5">
        <f>TeamHero生成!E9</f>
        <v>1642</v>
      </c>
      <c r="F9" s="5">
        <f>TeamHero生成!F9</f>
        <v>2776</v>
      </c>
      <c r="G9" s="4" t="str">
        <f>TeamHero生成!AG9</f>
        <v>有效</v>
      </c>
      <c r="H9" s="4">
        <f>TeamHero生成!G9</f>
        <v>14562</v>
      </c>
      <c r="I9" s="4">
        <f>TeamHero生成!H9</f>
        <v>847</v>
      </c>
      <c r="J9" s="4">
        <f>TeamHero生成!I9</f>
        <v>1162</v>
      </c>
    </row>
    <row r="10" ht="14.25" customHeight="1" spans="1:10">
      <c r="A10" s="4">
        <f>TeamHero生成!A10</f>
        <v>6</v>
      </c>
      <c r="B10" s="4">
        <f>TeamHero生成!B10</f>
        <v>1038</v>
      </c>
      <c r="C10" s="4">
        <f>TeamHero生成!C10</f>
        <v>11</v>
      </c>
      <c r="D10" s="5">
        <f>TeamHero生成!D10</f>
        <v>45528</v>
      </c>
      <c r="E10" s="5">
        <f>TeamHero生成!E10</f>
        <v>1990</v>
      </c>
      <c r="F10" s="5">
        <f>TeamHero生成!F10</f>
        <v>4014</v>
      </c>
      <c r="G10" s="4" t="str">
        <f>TeamHero生成!AG10</f>
        <v>有效</v>
      </c>
      <c r="H10" s="4">
        <f>TeamHero生成!G10</f>
        <v>22442</v>
      </c>
      <c r="I10" s="4">
        <f>TeamHero生成!H10</f>
        <v>1028</v>
      </c>
      <c r="J10" s="4">
        <f>TeamHero生成!I10</f>
        <v>1686</v>
      </c>
    </row>
    <row r="11" ht="14.25" customHeight="1" spans="1:10">
      <c r="A11" s="4">
        <f>TeamHero生成!A11</f>
        <v>7</v>
      </c>
      <c r="B11" s="4">
        <f>TeamHero生成!B11</f>
        <v>1035</v>
      </c>
      <c r="C11" s="4">
        <f>TeamHero生成!C11</f>
        <v>11</v>
      </c>
      <c r="D11" s="5">
        <f>TeamHero生成!D11</f>
        <v>30352</v>
      </c>
      <c r="E11" s="5">
        <f>TeamHero生成!E11</f>
        <v>2388</v>
      </c>
      <c r="F11" s="5">
        <f>TeamHero生成!F11</f>
        <v>2676</v>
      </c>
      <c r="G11" s="4" t="str">
        <f>TeamHero生成!AG11</f>
        <v>有效</v>
      </c>
      <c r="H11" s="4">
        <f>TeamHero生成!G11</f>
        <v>14961</v>
      </c>
      <c r="I11" s="4">
        <f>TeamHero生成!H11</f>
        <v>1233</v>
      </c>
      <c r="J11" s="4">
        <f>TeamHero生成!I11</f>
        <v>1124</v>
      </c>
    </row>
    <row r="12" ht="14.25" customHeight="1" spans="1:10">
      <c r="A12" s="4">
        <f>TeamHero生成!A12</f>
        <v>8</v>
      </c>
      <c r="B12" s="4">
        <f>TeamHero生成!B12</f>
        <v>1035</v>
      </c>
      <c r="C12" s="4">
        <f>TeamHero生成!C12</f>
        <v>11</v>
      </c>
      <c r="D12" s="5">
        <f>TeamHero生成!D12</f>
        <v>30352</v>
      </c>
      <c r="E12" s="5">
        <f>TeamHero生成!E12</f>
        <v>2388</v>
      </c>
      <c r="F12" s="5">
        <f>TeamHero生成!F12</f>
        <v>2676</v>
      </c>
      <c r="G12" s="4" t="str">
        <f>TeamHero生成!AG12</f>
        <v>有效</v>
      </c>
      <c r="H12" s="4">
        <f>TeamHero生成!G12</f>
        <v>14961</v>
      </c>
      <c r="I12" s="4">
        <f>TeamHero生成!H12</f>
        <v>1233</v>
      </c>
      <c r="J12" s="4">
        <f>TeamHero生成!I12</f>
        <v>1124</v>
      </c>
    </row>
    <row r="13" ht="14.25" customHeight="1" spans="1:10">
      <c r="A13" s="4">
        <f>TeamHero生成!A13</f>
        <v>9</v>
      </c>
      <c r="B13" s="4">
        <f>TeamHero生成!B13</f>
        <v>1035</v>
      </c>
      <c r="C13" s="4">
        <f>TeamHero生成!C13</f>
        <v>11</v>
      </c>
      <c r="D13" s="5">
        <f>TeamHero生成!D13</f>
        <v>30352</v>
      </c>
      <c r="E13" s="5">
        <f>TeamHero生成!E13</f>
        <v>2388</v>
      </c>
      <c r="F13" s="5">
        <f>TeamHero生成!F13</f>
        <v>2676</v>
      </c>
      <c r="G13" s="4" t="str">
        <f>TeamHero生成!AG13</f>
        <v>有效</v>
      </c>
      <c r="H13" s="4">
        <f>TeamHero生成!G13</f>
        <v>14961</v>
      </c>
      <c r="I13" s="4">
        <f>TeamHero生成!H13</f>
        <v>1233</v>
      </c>
      <c r="J13" s="4">
        <f>TeamHero生成!I13</f>
        <v>1124</v>
      </c>
    </row>
    <row r="14" ht="14.25" customHeight="1" spans="1:10">
      <c r="A14" s="4">
        <f>TeamHero生成!A14</f>
        <v>10</v>
      </c>
      <c r="B14" s="4">
        <f>TeamHero生成!B14</f>
        <v>1036</v>
      </c>
      <c r="C14" s="4">
        <f>TeamHero生成!C14</f>
        <v>11</v>
      </c>
      <c r="D14" s="5">
        <f>TeamHero生成!D14</f>
        <v>30352</v>
      </c>
      <c r="E14" s="5">
        <f>TeamHero生成!E14</f>
        <v>2388</v>
      </c>
      <c r="F14" s="5">
        <f>TeamHero生成!F14</f>
        <v>2676</v>
      </c>
      <c r="G14" s="4" t="str">
        <f>TeamHero生成!AG14</f>
        <v>有效</v>
      </c>
      <c r="H14" s="4">
        <f>TeamHero生成!G14</f>
        <v>14961</v>
      </c>
      <c r="I14" s="4">
        <f>TeamHero生成!H14</f>
        <v>1233</v>
      </c>
      <c r="J14" s="4">
        <f>TeamHero生成!I14</f>
        <v>1124</v>
      </c>
    </row>
    <row r="15" ht="14.25" customHeight="1" spans="1:10">
      <c r="A15" s="4">
        <f>TeamHero生成!A15</f>
        <v>11</v>
      </c>
      <c r="B15" s="4">
        <f>TeamHero生成!B15</f>
        <v>1002</v>
      </c>
      <c r="C15" s="4">
        <f>TeamHero生成!C15</f>
        <v>11</v>
      </c>
      <c r="D15" s="5">
        <f>TeamHero生成!D15</f>
        <v>57432</v>
      </c>
      <c r="E15" s="5">
        <f>TeamHero生成!E15</f>
        <v>2350</v>
      </c>
      <c r="F15" s="5">
        <f>TeamHero生成!F15</f>
        <v>4713</v>
      </c>
      <c r="G15" s="4" t="str">
        <f>TeamHero生成!AG15</f>
        <v>有效</v>
      </c>
      <c r="H15" s="4">
        <f>TeamHero生成!G15</f>
        <v>27900</v>
      </c>
      <c r="I15" s="4">
        <f>TeamHero生成!H15</f>
        <v>1213</v>
      </c>
      <c r="J15" s="4">
        <f>TeamHero生成!I15</f>
        <v>1982</v>
      </c>
    </row>
    <row r="16" ht="14.25" customHeight="1" spans="1:10">
      <c r="A16" s="4">
        <f>TeamHero生成!A16</f>
        <v>12</v>
      </c>
      <c r="B16" s="4">
        <f>TeamHero生成!B16</f>
        <v>1002</v>
      </c>
      <c r="C16" s="4">
        <f>TeamHero生成!C16</f>
        <v>11</v>
      </c>
      <c r="D16" s="5">
        <f>TeamHero生成!D16</f>
        <v>57432</v>
      </c>
      <c r="E16" s="5">
        <f>TeamHero生成!E16</f>
        <v>2350</v>
      </c>
      <c r="F16" s="5">
        <f>TeamHero生成!F16</f>
        <v>4713</v>
      </c>
      <c r="G16" s="4" t="str">
        <f>TeamHero生成!AG16</f>
        <v>有效</v>
      </c>
      <c r="H16" s="4">
        <f>TeamHero生成!G16</f>
        <v>27900</v>
      </c>
      <c r="I16" s="4">
        <f>TeamHero生成!H16</f>
        <v>1213</v>
      </c>
      <c r="J16" s="4">
        <f>TeamHero生成!I16</f>
        <v>1982</v>
      </c>
    </row>
    <row r="17" ht="14.25" customHeight="1" spans="1:10">
      <c r="A17" s="4">
        <f>TeamHero生成!A17</f>
        <v>13</v>
      </c>
      <c r="B17" s="4">
        <f>TeamHero生成!B17</f>
        <v>1002</v>
      </c>
      <c r="C17" s="4">
        <f>TeamHero生成!C17</f>
        <v>11</v>
      </c>
      <c r="D17" s="5">
        <f>TeamHero生成!D17</f>
        <v>57432</v>
      </c>
      <c r="E17" s="5">
        <f>TeamHero生成!E17</f>
        <v>2350</v>
      </c>
      <c r="F17" s="5">
        <f>TeamHero生成!F17</f>
        <v>4713</v>
      </c>
      <c r="G17" s="4" t="str">
        <f>TeamHero生成!AG17</f>
        <v>有效</v>
      </c>
      <c r="H17" s="4">
        <f>TeamHero生成!G17</f>
        <v>27900</v>
      </c>
      <c r="I17" s="4">
        <f>TeamHero生成!H17</f>
        <v>1213</v>
      </c>
      <c r="J17" s="4">
        <f>TeamHero生成!I17</f>
        <v>1982</v>
      </c>
    </row>
    <row r="18" ht="14.25" customHeight="1" spans="1:10">
      <c r="A18" s="4">
        <f>TeamHero生成!A18</f>
        <v>14</v>
      </c>
      <c r="B18" s="4">
        <f>TeamHero生成!B18</f>
        <v>1011</v>
      </c>
      <c r="C18" s="4">
        <f>TeamHero生成!C18</f>
        <v>11</v>
      </c>
      <c r="D18" s="5">
        <f>TeamHero生成!D18</f>
        <v>47860</v>
      </c>
      <c r="E18" s="5">
        <f>TeamHero生成!E18</f>
        <v>2350</v>
      </c>
      <c r="F18" s="5">
        <f>TeamHero生成!F18</f>
        <v>3928</v>
      </c>
      <c r="G18" s="4" t="str">
        <f>TeamHero生成!AG18</f>
        <v>有效</v>
      </c>
      <c r="H18" s="4">
        <f>TeamHero生成!G18</f>
        <v>23250</v>
      </c>
      <c r="I18" s="4">
        <f>TeamHero生成!H18</f>
        <v>1213</v>
      </c>
      <c r="J18" s="4">
        <f>TeamHero生成!I18</f>
        <v>1652</v>
      </c>
    </row>
    <row r="19" ht="14.25" customHeight="1" spans="1:10">
      <c r="A19" s="4">
        <f>TeamHero生成!A19</f>
        <v>15</v>
      </c>
      <c r="B19" s="4">
        <f>TeamHero生成!B19</f>
        <v>1015</v>
      </c>
      <c r="C19" s="4">
        <f>TeamHero生成!C19</f>
        <v>11</v>
      </c>
      <c r="D19" s="5">
        <f>TeamHero生成!D19</f>
        <v>47860</v>
      </c>
      <c r="E19" s="5">
        <f>TeamHero生成!E19</f>
        <v>2350</v>
      </c>
      <c r="F19" s="5">
        <f>TeamHero生成!F19</f>
        <v>3928</v>
      </c>
      <c r="G19" s="4" t="str">
        <f>TeamHero生成!AG19</f>
        <v>有效</v>
      </c>
      <c r="H19" s="4">
        <f>TeamHero生成!G19</f>
        <v>23250</v>
      </c>
      <c r="I19" s="4">
        <f>TeamHero生成!H19</f>
        <v>1213</v>
      </c>
      <c r="J19" s="4">
        <f>TeamHero生成!I19</f>
        <v>1652</v>
      </c>
    </row>
    <row r="20" ht="14.25" customHeight="1" spans="1:10">
      <c r="A20" s="4">
        <f>TeamHero生成!A20</f>
        <v>16</v>
      </c>
      <c r="B20" s="4">
        <f>TeamHero生成!B20</f>
        <v>1035</v>
      </c>
      <c r="C20" s="4">
        <f>TeamHero生成!C20</f>
        <v>12</v>
      </c>
      <c r="D20" s="5">
        <f>TeamHero生成!D20</f>
        <v>48512</v>
      </c>
      <c r="E20" s="5">
        <f>TeamHero生成!E20</f>
        <v>3332</v>
      </c>
      <c r="F20" s="5">
        <f>TeamHero生成!F20</f>
        <v>3689</v>
      </c>
      <c r="G20" s="4" t="str">
        <f>TeamHero生成!AG20</f>
        <v>有效</v>
      </c>
      <c r="H20" s="4">
        <f>TeamHero生成!G20</f>
        <v>22555</v>
      </c>
      <c r="I20" s="4">
        <f>TeamHero生成!H20</f>
        <v>1680</v>
      </c>
      <c r="J20" s="4">
        <f>TeamHero生成!I20</f>
        <v>1522</v>
      </c>
    </row>
    <row r="21" ht="14.25" customHeight="1" spans="1:10">
      <c r="A21" s="4">
        <f>TeamHero生成!A21</f>
        <v>17</v>
      </c>
      <c r="B21" s="4">
        <f>TeamHero生成!B21</f>
        <v>1037</v>
      </c>
      <c r="C21" s="4">
        <f>TeamHero生成!C21</f>
        <v>12</v>
      </c>
      <c r="D21" s="5">
        <f>TeamHero生成!D21</f>
        <v>48512</v>
      </c>
      <c r="E21" s="5">
        <f>TeamHero生成!E21</f>
        <v>3332</v>
      </c>
      <c r="F21" s="5">
        <f>TeamHero生成!F21</f>
        <v>3689</v>
      </c>
      <c r="G21" s="4" t="str">
        <f>TeamHero生成!AG21</f>
        <v>有效</v>
      </c>
      <c r="H21" s="4">
        <f>TeamHero生成!G21</f>
        <v>22555</v>
      </c>
      <c r="I21" s="4">
        <f>TeamHero生成!H21</f>
        <v>1680</v>
      </c>
      <c r="J21" s="4">
        <f>TeamHero生成!I21</f>
        <v>1522</v>
      </c>
    </row>
    <row r="22" ht="14.25" customHeight="1" spans="1:10">
      <c r="A22" s="4">
        <f>TeamHero生成!A22</f>
        <v>18</v>
      </c>
      <c r="B22" s="4">
        <f>TeamHero生成!B22</f>
        <v>1014</v>
      </c>
      <c r="C22" s="4">
        <f>TeamHero生成!C22</f>
        <v>12</v>
      </c>
      <c r="D22" s="5">
        <f>TeamHero生成!D22</f>
        <v>48512</v>
      </c>
      <c r="E22" s="5">
        <f>TeamHero生成!E22</f>
        <v>3332</v>
      </c>
      <c r="F22" s="5">
        <f>TeamHero生成!F22</f>
        <v>3689</v>
      </c>
      <c r="G22" s="4" t="str">
        <f>TeamHero生成!AG22</f>
        <v>有效</v>
      </c>
      <c r="H22" s="4">
        <f>TeamHero生成!G22</f>
        <v>22555</v>
      </c>
      <c r="I22" s="4">
        <f>TeamHero生成!H22</f>
        <v>1680</v>
      </c>
      <c r="J22" s="4">
        <f>TeamHero生成!I22</f>
        <v>1522</v>
      </c>
    </row>
    <row r="23" ht="14.25" customHeight="1" spans="1:10">
      <c r="A23" s="4">
        <f>TeamHero生成!A23</f>
        <v>19</v>
      </c>
      <c r="B23" s="4">
        <f>TeamHero生成!B23</f>
        <v>1036</v>
      </c>
      <c r="C23" s="4">
        <f>TeamHero生成!C23</f>
        <v>12</v>
      </c>
      <c r="D23" s="5">
        <f>TeamHero生成!D23</f>
        <v>48512</v>
      </c>
      <c r="E23" s="5">
        <f>TeamHero生成!E23</f>
        <v>3332</v>
      </c>
      <c r="F23" s="5">
        <f>TeamHero生成!F23</f>
        <v>3689</v>
      </c>
      <c r="G23" s="4" t="str">
        <f>TeamHero生成!AG23</f>
        <v>有效</v>
      </c>
      <c r="H23" s="4">
        <f>TeamHero生成!G23</f>
        <v>22555</v>
      </c>
      <c r="I23" s="4">
        <f>TeamHero生成!H23</f>
        <v>1680</v>
      </c>
      <c r="J23" s="4">
        <f>TeamHero生成!I23</f>
        <v>1522</v>
      </c>
    </row>
    <row r="24" ht="14.25" customHeight="1" spans="1:10">
      <c r="A24" s="4">
        <f>TeamHero生成!A24</f>
        <v>20</v>
      </c>
      <c r="B24" s="4">
        <f>TeamHero生成!B24</f>
        <v>1015</v>
      </c>
      <c r="C24" s="4">
        <f>TeamHero生成!C24</f>
        <v>12</v>
      </c>
      <c r="D24" s="5">
        <f>TeamHero生成!D24</f>
        <v>60640</v>
      </c>
      <c r="E24" s="5">
        <f>TeamHero生成!E24</f>
        <v>2777</v>
      </c>
      <c r="F24" s="5">
        <f>TeamHero生成!F24</f>
        <v>4611</v>
      </c>
      <c r="G24" s="4" t="str">
        <f>TeamHero生成!AG24</f>
        <v>有效</v>
      </c>
      <c r="H24" s="4">
        <f>TeamHero生成!G24</f>
        <v>28194</v>
      </c>
      <c r="I24" s="4">
        <f>TeamHero生成!H24</f>
        <v>1400</v>
      </c>
      <c r="J24" s="4">
        <f>TeamHero生成!I24</f>
        <v>1903</v>
      </c>
    </row>
    <row r="25" ht="14.25" customHeight="1" spans="1:10">
      <c r="A25" s="4">
        <f>TeamHero生成!A25</f>
        <v>21</v>
      </c>
      <c r="B25" s="4">
        <f>TeamHero生成!B25</f>
        <v>1002</v>
      </c>
      <c r="C25" s="4">
        <f>TeamHero生成!C25</f>
        <v>12</v>
      </c>
      <c r="D25" s="5">
        <f>TeamHero生成!D25</f>
        <v>85548</v>
      </c>
      <c r="E25" s="5">
        <f>TeamHero生成!E25</f>
        <v>3109</v>
      </c>
      <c r="F25" s="5">
        <f>TeamHero生成!F25</f>
        <v>6164</v>
      </c>
      <c r="G25" s="4" t="str">
        <f>TeamHero生成!AG25</f>
        <v>有效</v>
      </c>
      <c r="H25" s="4">
        <f>TeamHero生成!G25</f>
        <v>40262</v>
      </c>
      <c r="I25" s="4">
        <f>TeamHero生成!H25</f>
        <v>1594</v>
      </c>
      <c r="J25" s="4">
        <f>TeamHero生成!I25</f>
        <v>2588</v>
      </c>
    </row>
    <row r="26" ht="14.25" customHeight="1" spans="1:10">
      <c r="A26" s="4">
        <f>TeamHero生成!A26</f>
        <v>22</v>
      </c>
      <c r="B26" s="4">
        <f>TeamHero生成!B26</f>
        <v>1005</v>
      </c>
      <c r="C26" s="4">
        <f>TeamHero生成!C26</f>
        <v>12</v>
      </c>
      <c r="D26" s="5">
        <f>TeamHero生成!D26</f>
        <v>57032</v>
      </c>
      <c r="E26" s="5">
        <f>TeamHero生成!E26</f>
        <v>3731</v>
      </c>
      <c r="F26" s="5">
        <f>TeamHero生成!F26</f>
        <v>4109</v>
      </c>
      <c r="G26" s="4" t="str">
        <f>TeamHero生成!AG26</f>
        <v>有效</v>
      </c>
      <c r="H26" s="4">
        <f>TeamHero生成!G26</f>
        <v>26841</v>
      </c>
      <c r="I26" s="4">
        <f>TeamHero生成!H26</f>
        <v>1912</v>
      </c>
      <c r="J26" s="4">
        <f>TeamHero生成!I26</f>
        <v>1725</v>
      </c>
    </row>
    <row r="27" ht="14.25" customHeight="1" spans="1:10">
      <c r="A27" s="4">
        <f>TeamHero生成!A27</f>
        <v>23</v>
      </c>
      <c r="B27" s="4">
        <f>TeamHero生成!B27</f>
        <v>1029</v>
      </c>
      <c r="C27" s="4">
        <f>TeamHero生成!C27</f>
        <v>12</v>
      </c>
      <c r="D27" s="5">
        <f>TeamHero生成!D27</f>
        <v>71290</v>
      </c>
      <c r="E27" s="5">
        <f>TeamHero生成!E27</f>
        <v>3109</v>
      </c>
      <c r="F27" s="5">
        <f>TeamHero生成!F27</f>
        <v>5136</v>
      </c>
      <c r="G27" s="4" t="str">
        <f>TeamHero生成!AG27</f>
        <v>有效</v>
      </c>
      <c r="H27" s="4">
        <f>TeamHero生成!G27</f>
        <v>33552</v>
      </c>
      <c r="I27" s="4">
        <f>TeamHero生成!H27</f>
        <v>1594</v>
      </c>
      <c r="J27" s="4">
        <f>TeamHero生成!I27</f>
        <v>2157</v>
      </c>
    </row>
    <row r="28" ht="14.25" customHeight="1" spans="1:10">
      <c r="A28" s="4">
        <f>TeamHero生成!A28</f>
        <v>24</v>
      </c>
      <c r="B28" s="4">
        <f>TeamHero生成!B28</f>
        <v>1012</v>
      </c>
      <c r="C28" s="4">
        <f>TeamHero生成!C28</f>
        <v>12</v>
      </c>
      <c r="D28" s="5">
        <f>TeamHero生成!D28</f>
        <v>71290</v>
      </c>
      <c r="E28" s="5">
        <f>TeamHero生成!E28</f>
        <v>3109</v>
      </c>
      <c r="F28" s="5">
        <f>TeamHero生成!F28</f>
        <v>5136</v>
      </c>
      <c r="G28" s="4" t="str">
        <f>TeamHero生成!AG28</f>
        <v>有效</v>
      </c>
      <c r="H28" s="4">
        <f>TeamHero生成!G28</f>
        <v>33552</v>
      </c>
      <c r="I28" s="4">
        <f>TeamHero生成!H28</f>
        <v>1594</v>
      </c>
      <c r="J28" s="4">
        <f>TeamHero生成!I28</f>
        <v>2157</v>
      </c>
    </row>
    <row r="29" ht="14.25" customHeight="1" spans="1:10">
      <c r="A29" s="4">
        <f>TeamHero生成!A29</f>
        <v>25</v>
      </c>
      <c r="B29" s="4">
        <f>TeamHero生成!B29</f>
        <v>1011</v>
      </c>
      <c r="C29" s="4">
        <f>TeamHero生成!C29</f>
        <v>12</v>
      </c>
      <c r="D29" s="5">
        <f>TeamHero生成!D29</f>
        <v>71290</v>
      </c>
      <c r="E29" s="5">
        <f>TeamHero生成!E29</f>
        <v>3109</v>
      </c>
      <c r="F29" s="5">
        <f>TeamHero生成!F29</f>
        <v>5136</v>
      </c>
      <c r="G29" s="4" t="str">
        <f>TeamHero生成!AG29</f>
        <v>有效</v>
      </c>
      <c r="H29" s="4">
        <f>TeamHero生成!G29</f>
        <v>33552</v>
      </c>
      <c r="I29" s="4">
        <f>TeamHero生成!H29</f>
        <v>1594</v>
      </c>
      <c r="J29" s="4">
        <f>TeamHero生成!I29</f>
        <v>2157</v>
      </c>
    </row>
    <row r="30" ht="14.25" customHeight="1" spans="1:10">
      <c r="A30" s="4">
        <f>TeamHero生成!A30</f>
        <v>26</v>
      </c>
      <c r="B30" s="4">
        <f>TeamHero生成!B30</f>
        <v>1030</v>
      </c>
      <c r="C30" s="4">
        <f>TeamHero生成!C30</f>
        <v>13</v>
      </c>
      <c r="D30" s="5">
        <f>TeamHero生成!D30</f>
        <v>104400</v>
      </c>
      <c r="E30" s="5">
        <f>TeamHero生成!E30</f>
        <v>3568</v>
      </c>
      <c r="F30" s="5">
        <f>TeamHero生成!F30</f>
        <v>7022</v>
      </c>
      <c r="G30" s="4" t="str">
        <f>TeamHero生成!AG30</f>
        <v>有效</v>
      </c>
      <c r="H30" s="4">
        <f>TeamHero生成!G30</f>
        <v>47188</v>
      </c>
      <c r="I30" s="4">
        <f>TeamHero生成!H30</f>
        <v>1789</v>
      </c>
      <c r="J30" s="4">
        <f>TeamHero生成!I30</f>
        <v>2898</v>
      </c>
    </row>
    <row r="31" ht="14.25" customHeight="1" spans="1:10">
      <c r="A31" s="4">
        <f>TeamHero生成!A31</f>
        <v>27</v>
      </c>
      <c r="B31" s="4">
        <f>TeamHero生成!B31</f>
        <v>1021</v>
      </c>
      <c r="C31" s="4">
        <f>TeamHero生成!C31</f>
        <v>13</v>
      </c>
      <c r="D31" s="5">
        <f>TeamHero生成!D31</f>
        <v>69600</v>
      </c>
      <c r="E31" s="5">
        <f>TeamHero生成!E31</f>
        <v>4281</v>
      </c>
      <c r="F31" s="5">
        <f>TeamHero生成!F31</f>
        <v>4681</v>
      </c>
      <c r="G31" s="4" t="str">
        <f>TeamHero生成!AG31</f>
        <v>有效</v>
      </c>
      <c r="H31" s="4">
        <f>TeamHero生成!G31</f>
        <v>31459</v>
      </c>
      <c r="I31" s="4">
        <f>TeamHero生成!H31</f>
        <v>2146</v>
      </c>
      <c r="J31" s="4">
        <f>TeamHero生成!I31</f>
        <v>1932</v>
      </c>
    </row>
    <row r="32" ht="14.25" customHeight="1" spans="1:10">
      <c r="A32" s="4">
        <f>TeamHero生成!A32</f>
        <v>28</v>
      </c>
      <c r="B32" s="4">
        <f>TeamHero生成!B32</f>
        <v>1021</v>
      </c>
      <c r="C32" s="4">
        <f>TeamHero生成!C32</f>
        <v>13</v>
      </c>
      <c r="D32" s="5">
        <f>TeamHero生成!D32</f>
        <v>69600</v>
      </c>
      <c r="E32" s="5">
        <f>TeamHero生成!E32</f>
        <v>4281</v>
      </c>
      <c r="F32" s="5">
        <f>TeamHero生成!F32</f>
        <v>4681</v>
      </c>
      <c r="G32" s="4" t="str">
        <f>TeamHero生成!AG32</f>
        <v>有效</v>
      </c>
      <c r="H32" s="4">
        <f>TeamHero生成!G32</f>
        <v>31459</v>
      </c>
      <c r="I32" s="4">
        <f>TeamHero生成!H32</f>
        <v>2146</v>
      </c>
      <c r="J32" s="4">
        <f>TeamHero生成!I32</f>
        <v>1932</v>
      </c>
    </row>
    <row r="33" ht="14.25" customHeight="1" spans="1:10">
      <c r="A33" s="4">
        <f>TeamHero生成!A33</f>
        <v>29</v>
      </c>
      <c r="B33" s="4">
        <f>TeamHero生成!B33</f>
        <v>1021</v>
      </c>
      <c r="C33" s="4">
        <f>TeamHero生成!C33</f>
        <v>13</v>
      </c>
      <c r="D33" s="5">
        <f>TeamHero生成!D33</f>
        <v>69600</v>
      </c>
      <c r="E33" s="5">
        <f>TeamHero生成!E33</f>
        <v>4281</v>
      </c>
      <c r="F33" s="5">
        <f>TeamHero生成!F33</f>
        <v>4681</v>
      </c>
      <c r="G33" s="4" t="str">
        <f>TeamHero生成!AG33</f>
        <v>有效</v>
      </c>
      <c r="H33" s="4">
        <f>TeamHero生成!G33</f>
        <v>31459</v>
      </c>
      <c r="I33" s="4">
        <f>TeamHero生成!H33</f>
        <v>2146</v>
      </c>
      <c r="J33" s="4">
        <f>TeamHero生成!I33</f>
        <v>1932</v>
      </c>
    </row>
    <row r="34" ht="14.25" customHeight="1" spans="1:10">
      <c r="A34" s="4">
        <f>TeamHero生成!A34</f>
        <v>30</v>
      </c>
      <c r="B34" s="4">
        <f>TeamHero生成!B34</f>
        <v>1020</v>
      </c>
      <c r="C34" s="4">
        <f>TeamHero生成!C34</f>
        <v>13</v>
      </c>
      <c r="D34" s="5">
        <f>TeamHero生成!D34</f>
        <v>87000</v>
      </c>
      <c r="E34" s="5">
        <f>TeamHero生成!E34</f>
        <v>3568</v>
      </c>
      <c r="F34" s="5">
        <f>TeamHero生成!F34</f>
        <v>5851</v>
      </c>
      <c r="G34" s="4" t="str">
        <f>TeamHero生成!AG34</f>
        <v>有效</v>
      </c>
      <c r="H34" s="4">
        <f>TeamHero生成!G34</f>
        <v>39324</v>
      </c>
      <c r="I34" s="4">
        <f>TeamHero生成!H34</f>
        <v>1789</v>
      </c>
      <c r="J34" s="4">
        <f>TeamHero生成!I34</f>
        <v>2415</v>
      </c>
    </row>
    <row r="35" ht="14.25" customHeight="1" spans="1:10">
      <c r="A35" s="4">
        <f>TeamHero生成!A35</f>
        <v>31</v>
      </c>
      <c r="B35" s="4">
        <f>TeamHero生成!B35</f>
        <v>1030</v>
      </c>
      <c r="C35" s="4">
        <f>TeamHero生成!C35</f>
        <v>13</v>
      </c>
      <c r="D35" s="5">
        <f>TeamHero生成!D35</f>
        <v>119982</v>
      </c>
      <c r="E35" s="5">
        <f>TeamHero生成!E35</f>
        <v>3924</v>
      </c>
      <c r="F35" s="5">
        <f>TeamHero生成!F35</f>
        <v>7679</v>
      </c>
      <c r="G35" s="4" t="str">
        <f>TeamHero生成!AG35</f>
        <v>有效</v>
      </c>
      <c r="H35" s="4">
        <f>TeamHero生成!G35</f>
        <v>54633</v>
      </c>
      <c r="I35" s="4">
        <f>TeamHero生成!H35</f>
        <v>1990</v>
      </c>
      <c r="J35" s="4">
        <f>TeamHero生成!I35</f>
        <v>3211</v>
      </c>
    </row>
    <row r="36" ht="14.25" customHeight="1" spans="1:10">
      <c r="A36" s="4">
        <f>TeamHero生成!A36</f>
        <v>32</v>
      </c>
      <c r="B36" s="4">
        <f>TeamHero生成!B36</f>
        <v>1026</v>
      </c>
      <c r="C36" s="4">
        <f>TeamHero生成!C36</f>
        <v>13</v>
      </c>
      <c r="D36" s="5">
        <f>TeamHero生成!D36</f>
        <v>79988</v>
      </c>
      <c r="E36" s="5">
        <f>TeamHero生成!E36</f>
        <v>4709</v>
      </c>
      <c r="F36" s="5">
        <f>TeamHero生成!F36</f>
        <v>5119</v>
      </c>
      <c r="G36" s="4" t="str">
        <f>TeamHero生成!AG36</f>
        <v>有效</v>
      </c>
      <c r="H36" s="4">
        <f>TeamHero生成!G36</f>
        <v>36422</v>
      </c>
      <c r="I36" s="4">
        <f>TeamHero生成!H36</f>
        <v>2388</v>
      </c>
      <c r="J36" s="4">
        <f>TeamHero生成!I36</f>
        <v>2140</v>
      </c>
    </row>
    <row r="37" ht="14.25" customHeight="1" spans="1:10">
      <c r="A37" s="4">
        <f>TeamHero生成!A37</f>
        <v>33</v>
      </c>
      <c r="B37" s="4">
        <f>TeamHero生成!B37</f>
        <v>1015</v>
      </c>
      <c r="C37" s="4">
        <f>TeamHero生成!C37</f>
        <v>13</v>
      </c>
      <c r="D37" s="5">
        <f>TeamHero生成!D37</f>
        <v>99985</v>
      </c>
      <c r="E37" s="5">
        <f>TeamHero生成!E37</f>
        <v>3924</v>
      </c>
      <c r="F37" s="5">
        <f>TeamHero生成!F37</f>
        <v>6399</v>
      </c>
      <c r="G37" s="4" t="str">
        <f>TeamHero生成!AG37</f>
        <v>有效</v>
      </c>
      <c r="H37" s="4">
        <f>TeamHero生成!G37</f>
        <v>45528</v>
      </c>
      <c r="I37" s="4">
        <f>TeamHero生成!H37</f>
        <v>1990</v>
      </c>
      <c r="J37" s="4">
        <f>TeamHero生成!I37</f>
        <v>2676</v>
      </c>
    </row>
    <row r="38" ht="14.25" customHeight="1" spans="1:10">
      <c r="A38" s="4">
        <f>TeamHero生成!A38</f>
        <v>34</v>
      </c>
      <c r="B38" s="4">
        <f>TeamHero生成!B38</f>
        <v>1023</v>
      </c>
      <c r="C38" s="4">
        <f>TeamHero生成!C38</f>
        <v>13</v>
      </c>
      <c r="D38" s="5">
        <f>TeamHero生成!D38</f>
        <v>99985</v>
      </c>
      <c r="E38" s="5">
        <f>TeamHero生成!E38</f>
        <v>3924</v>
      </c>
      <c r="F38" s="5">
        <f>TeamHero生成!F38</f>
        <v>6399</v>
      </c>
      <c r="G38" s="4" t="str">
        <f>TeamHero生成!AG38</f>
        <v>有效</v>
      </c>
      <c r="H38" s="4">
        <f>TeamHero生成!G38</f>
        <v>45528</v>
      </c>
      <c r="I38" s="4">
        <f>TeamHero生成!H38</f>
        <v>1990</v>
      </c>
      <c r="J38" s="4">
        <f>TeamHero生成!I38</f>
        <v>2676</v>
      </c>
    </row>
    <row r="39" ht="14.25" customHeight="1" spans="1:10">
      <c r="A39" s="4">
        <f>TeamHero生成!A39</f>
        <v>35</v>
      </c>
      <c r="B39" s="4">
        <f>TeamHero生成!B39</f>
        <v>1035</v>
      </c>
      <c r="C39" s="4">
        <f>TeamHero生成!C39</f>
        <v>13</v>
      </c>
      <c r="D39" s="5">
        <f>TeamHero生成!D39</f>
        <v>79988</v>
      </c>
      <c r="E39" s="5">
        <f>TeamHero生成!E39</f>
        <v>4709</v>
      </c>
      <c r="F39" s="5">
        <f>TeamHero生成!F39</f>
        <v>5119</v>
      </c>
      <c r="G39" s="4" t="str">
        <f>TeamHero生成!AG39</f>
        <v>有效</v>
      </c>
      <c r="H39" s="4">
        <f>TeamHero生成!G39</f>
        <v>36422</v>
      </c>
      <c r="I39" s="4">
        <f>TeamHero生成!H39</f>
        <v>2388</v>
      </c>
      <c r="J39" s="4">
        <f>TeamHero生成!I39</f>
        <v>2140</v>
      </c>
    </row>
    <row r="40" ht="14.25" customHeight="1" spans="1:10">
      <c r="A40" s="4">
        <f>TeamHero生成!A40</f>
        <v>36</v>
      </c>
      <c r="B40" s="4">
        <f>TeamHero生成!B40</f>
        <v>1002</v>
      </c>
      <c r="C40" s="4">
        <f>TeamHero生成!C40</f>
        <v>14</v>
      </c>
      <c r="D40" s="5">
        <f>TeamHero生成!D40</f>
        <v>139824</v>
      </c>
      <c r="E40" s="5">
        <f>TeamHero生成!E40</f>
        <v>4352</v>
      </c>
      <c r="F40" s="5">
        <f>TeamHero生成!F40</f>
        <v>8462</v>
      </c>
      <c r="G40" s="4" t="str">
        <f>TeamHero生成!AG40</f>
        <v>有效</v>
      </c>
      <c r="H40" s="4">
        <f>TeamHero生成!G40</f>
        <v>62589</v>
      </c>
      <c r="I40" s="4">
        <f>TeamHero生成!H40</f>
        <v>2194</v>
      </c>
      <c r="J40" s="4">
        <f>TeamHero生成!I40</f>
        <v>3529</v>
      </c>
    </row>
    <row r="41" ht="14.25" customHeight="1" spans="1:10">
      <c r="A41" s="4">
        <f>TeamHero生成!A41</f>
        <v>37</v>
      </c>
      <c r="B41" s="4">
        <f>TeamHero生成!B41</f>
        <v>1011</v>
      </c>
      <c r="C41" s="4">
        <f>TeamHero生成!C41</f>
        <v>14</v>
      </c>
      <c r="D41" s="5">
        <f>TeamHero生成!D41</f>
        <v>116520</v>
      </c>
      <c r="E41" s="5">
        <f>TeamHero生成!E41</f>
        <v>4352</v>
      </c>
      <c r="F41" s="5">
        <f>TeamHero生成!F41</f>
        <v>7051</v>
      </c>
      <c r="G41" s="4" t="str">
        <f>TeamHero生成!AG41</f>
        <v>有效</v>
      </c>
      <c r="H41" s="4">
        <f>TeamHero生成!G41</f>
        <v>52158</v>
      </c>
      <c r="I41" s="4">
        <f>TeamHero生成!H41</f>
        <v>2194</v>
      </c>
      <c r="J41" s="4">
        <f>TeamHero生成!I41</f>
        <v>2941</v>
      </c>
    </row>
    <row r="42" ht="14.25" customHeight="1" spans="1:10">
      <c r="A42" s="4">
        <f>TeamHero生成!A42</f>
        <v>38</v>
      </c>
      <c r="B42" s="4">
        <f>TeamHero生成!B42</f>
        <v>1015</v>
      </c>
      <c r="C42" s="4">
        <f>TeamHero生成!C42</f>
        <v>14</v>
      </c>
      <c r="D42" s="5">
        <f>TeamHero生成!D42</f>
        <v>116520</v>
      </c>
      <c r="E42" s="5">
        <f>TeamHero生成!E42</f>
        <v>4352</v>
      </c>
      <c r="F42" s="5">
        <f>TeamHero生成!F42</f>
        <v>7051</v>
      </c>
      <c r="G42" s="4" t="str">
        <f>TeamHero生成!AG42</f>
        <v>有效</v>
      </c>
      <c r="H42" s="4">
        <f>TeamHero生成!G42</f>
        <v>52158</v>
      </c>
      <c r="I42" s="4">
        <f>TeamHero生成!H42</f>
        <v>2194</v>
      </c>
      <c r="J42" s="4">
        <f>TeamHero生成!I42</f>
        <v>2941</v>
      </c>
    </row>
    <row r="43" ht="14.25" customHeight="1" spans="1:10">
      <c r="A43" s="4">
        <f>TeamHero生成!A43</f>
        <v>39</v>
      </c>
      <c r="B43" s="4">
        <f>TeamHero生成!B43</f>
        <v>1018</v>
      </c>
      <c r="C43" s="4">
        <f>TeamHero生成!C43</f>
        <v>14</v>
      </c>
      <c r="D43" s="5">
        <f>TeamHero生成!D43</f>
        <v>116520</v>
      </c>
      <c r="E43" s="5">
        <f>TeamHero生成!E43</f>
        <v>4352</v>
      </c>
      <c r="F43" s="5">
        <f>TeamHero生成!F43</f>
        <v>7051</v>
      </c>
      <c r="G43" s="4" t="str">
        <f>TeamHero生成!AG43</f>
        <v>有效</v>
      </c>
      <c r="H43" s="4">
        <f>TeamHero生成!G43</f>
        <v>52158</v>
      </c>
      <c r="I43" s="4">
        <f>TeamHero生成!H43</f>
        <v>2194</v>
      </c>
      <c r="J43" s="4">
        <f>TeamHero生成!I43</f>
        <v>2941</v>
      </c>
    </row>
    <row r="44" ht="14.25" customHeight="1" spans="1:10">
      <c r="A44" s="4">
        <f>TeamHero生成!A44</f>
        <v>40</v>
      </c>
      <c r="B44" s="4">
        <f>TeamHero生成!B44</f>
        <v>1040</v>
      </c>
      <c r="C44" s="4">
        <f>TeamHero生成!C44</f>
        <v>14</v>
      </c>
      <c r="D44" s="5">
        <f>TeamHero生成!D44</f>
        <v>116520</v>
      </c>
      <c r="E44" s="5">
        <f>TeamHero生成!E44</f>
        <v>4352</v>
      </c>
      <c r="F44" s="5">
        <f>TeamHero生成!F44</f>
        <v>7051</v>
      </c>
      <c r="G44" s="4" t="str">
        <f>TeamHero生成!AG44</f>
        <v>有效</v>
      </c>
      <c r="H44" s="4">
        <f>TeamHero生成!G44</f>
        <v>52158</v>
      </c>
      <c r="I44" s="4">
        <f>TeamHero生成!H44</f>
        <v>2194</v>
      </c>
      <c r="J44" s="4">
        <f>TeamHero生成!I44</f>
        <v>2941</v>
      </c>
    </row>
    <row r="45" ht="14.25" customHeight="1" spans="1:10">
      <c r="A45" s="4">
        <f>TeamHero生成!A45</f>
        <v>41</v>
      </c>
      <c r="B45" s="4">
        <f>TeamHero生成!B45</f>
        <v>1038</v>
      </c>
      <c r="C45" s="4">
        <f>TeamHero生成!C45</f>
        <v>14</v>
      </c>
      <c r="D45" s="5">
        <f>TeamHero生成!D45</f>
        <v>161562</v>
      </c>
      <c r="E45" s="5">
        <f>TeamHero生成!E45</f>
        <v>4798</v>
      </c>
      <c r="F45" s="5">
        <f>TeamHero生成!F45</f>
        <v>9263</v>
      </c>
      <c r="G45" s="4" t="str">
        <f>TeamHero生成!AG45</f>
        <v>有效</v>
      </c>
      <c r="H45" s="4">
        <f>TeamHero生成!G45</f>
        <v>71092</v>
      </c>
      <c r="I45" s="4">
        <f>TeamHero生成!H45</f>
        <v>2402</v>
      </c>
      <c r="J45" s="4">
        <f>TeamHero生成!I45</f>
        <v>3852</v>
      </c>
    </row>
    <row r="46" ht="14.25" customHeight="1" spans="1:10">
      <c r="A46" s="4">
        <f>TeamHero生成!A46</f>
        <v>42</v>
      </c>
      <c r="B46" s="4">
        <f>TeamHero生成!B46</f>
        <v>1039</v>
      </c>
      <c r="C46" s="4">
        <f>TeamHero生成!C46</f>
        <v>14</v>
      </c>
      <c r="D46" s="5">
        <f>TeamHero生成!D46</f>
        <v>107708</v>
      </c>
      <c r="E46" s="5">
        <f>TeamHero生成!E46</f>
        <v>5757</v>
      </c>
      <c r="F46" s="5">
        <f>TeamHero生成!F46</f>
        <v>6175</v>
      </c>
      <c r="G46" s="4" t="str">
        <f>TeamHero生成!AG46</f>
        <v>有效</v>
      </c>
      <c r="H46" s="4">
        <f>TeamHero生成!G46</f>
        <v>47395</v>
      </c>
      <c r="I46" s="4">
        <f>TeamHero生成!H46</f>
        <v>2882</v>
      </c>
      <c r="J46" s="4">
        <f>TeamHero生成!I46</f>
        <v>2568</v>
      </c>
    </row>
    <row r="47" ht="14.25" customHeight="1" spans="1:10">
      <c r="A47" s="4">
        <f>TeamHero生成!A47</f>
        <v>43</v>
      </c>
      <c r="B47" s="4">
        <f>TeamHero生成!B47</f>
        <v>1020</v>
      </c>
      <c r="C47" s="4">
        <f>TeamHero生成!C47</f>
        <v>14</v>
      </c>
      <c r="D47" s="5">
        <f>TeamHero生成!D47</f>
        <v>134635</v>
      </c>
      <c r="E47" s="5">
        <f>TeamHero生成!E47</f>
        <v>4798</v>
      </c>
      <c r="F47" s="5">
        <f>TeamHero生成!F47</f>
        <v>7719</v>
      </c>
      <c r="G47" s="4" t="str">
        <f>TeamHero生成!AG47</f>
        <v>有效</v>
      </c>
      <c r="H47" s="4">
        <f>TeamHero生成!G47</f>
        <v>59244</v>
      </c>
      <c r="I47" s="4">
        <f>TeamHero生成!H47</f>
        <v>2402</v>
      </c>
      <c r="J47" s="4">
        <f>TeamHero生成!I47</f>
        <v>3210</v>
      </c>
    </row>
    <row r="48" ht="14.25" customHeight="1" spans="1:10">
      <c r="A48" s="4">
        <f>TeamHero生成!A48</f>
        <v>44</v>
      </c>
      <c r="B48" s="4">
        <f>TeamHero生成!B48</f>
        <v>1023</v>
      </c>
      <c r="C48" s="4">
        <f>TeamHero生成!C48</f>
        <v>14</v>
      </c>
      <c r="D48" s="5">
        <f>TeamHero生成!D48</f>
        <v>134635</v>
      </c>
      <c r="E48" s="5">
        <f>TeamHero生成!E48</f>
        <v>4798</v>
      </c>
      <c r="F48" s="5">
        <f>TeamHero生成!F48</f>
        <v>7719</v>
      </c>
      <c r="G48" s="4" t="str">
        <f>TeamHero生成!AG48</f>
        <v>有效</v>
      </c>
      <c r="H48" s="4">
        <f>TeamHero生成!G48</f>
        <v>59244</v>
      </c>
      <c r="I48" s="4">
        <f>TeamHero生成!H48</f>
        <v>2402</v>
      </c>
      <c r="J48" s="4">
        <f>TeamHero生成!I48</f>
        <v>3210</v>
      </c>
    </row>
    <row r="49" ht="14.25" customHeight="1" spans="1:10">
      <c r="A49" s="4">
        <f>TeamHero生成!A49</f>
        <v>45</v>
      </c>
      <c r="B49" s="4">
        <f>TeamHero生成!B49</f>
        <v>1024</v>
      </c>
      <c r="C49" s="4">
        <f>TeamHero生成!C49</f>
        <v>14</v>
      </c>
      <c r="D49" s="5">
        <f>TeamHero生成!D49</f>
        <v>107708</v>
      </c>
      <c r="E49" s="5">
        <f>TeamHero生成!E49</f>
        <v>5757</v>
      </c>
      <c r="F49" s="5">
        <f>TeamHero生成!F49</f>
        <v>6175</v>
      </c>
      <c r="G49" s="4" t="str">
        <f>TeamHero生成!AG49</f>
        <v>有效</v>
      </c>
      <c r="H49" s="4">
        <f>TeamHero生成!G49</f>
        <v>47395</v>
      </c>
      <c r="I49" s="4">
        <f>TeamHero生成!H49</f>
        <v>2882</v>
      </c>
      <c r="J49" s="4">
        <f>TeamHero生成!I49</f>
        <v>2568</v>
      </c>
    </row>
    <row r="50" ht="14.25" customHeight="1" spans="1:10">
      <c r="A50" s="4">
        <f>TeamHero生成!A50</f>
        <v>46</v>
      </c>
      <c r="B50" s="4">
        <f>TeamHero生成!B50</f>
        <v>1007</v>
      </c>
      <c r="C50" s="4">
        <f>TeamHero生成!C50</f>
        <v>15</v>
      </c>
      <c r="D50" s="5">
        <f>TeamHero生成!D50</f>
        <v>154420</v>
      </c>
      <c r="E50" s="5">
        <f>TeamHero生成!E50</f>
        <v>5257</v>
      </c>
      <c r="F50" s="5">
        <f>TeamHero生成!F50</f>
        <v>8399</v>
      </c>
      <c r="G50" s="4" t="str">
        <f>TeamHero生成!AG50</f>
        <v>有效</v>
      </c>
      <c r="H50" s="4">
        <f>TeamHero生成!G50</f>
        <v>66792</v>
      </c>
      <c r="I50" s="4">
        <f>TeamHero生成!H50</f>
        <v>2615</v>
      </c>
      <c r="J50" s="4">
        <f>TeamHero生成!I50</f>
        <v>3482</v>
      </c>
    </row>
    <row r="51" ht="14.25" customHeight="1" spans="1:10">
      <c r="A51" s="4">
        <f>TeamHero生成!A51</f>
        <v>47</v>
      </c>
      <c r="B51" s="4">
        <f>TeamHero生成!B51</f>
        <v>1005</v>
      </c>
      <c r="C51" s="4">
        <f>TeamHero生成!C51</f>
        <v>15</v>
      </c>
      <c r="D51" s="5">
        <f>TeamHero生成!D51</f>
        <v>123536</v>
      </c>
      <c r="E51" s="5">
        <f>TeamHero生成!E51</f>
        <v>6309</v>
      </c>
      <c r="F51" s="5">
        <f>TeamHero生成!F51</f>
        <v>6719</v>
      </c>
      <c r="G51" s="4" t="str">
        <f>TeamHero生成!AG51</f>
        <v>有效</v>
      </c>
      <c r="H51" s="4">
        <f>TeamHero生成!G51</f>
        <v>53433</v>
      </c>
      <c r="I51" s="4">
        <f>TeamHero生成!H51</f>
        <v>3138</v>
      </c>
      <c r="J51" s="4">
        <f>TeamHero生成!I51</f>
        <v>2785</v>
      </c>
    </row>
    <row r="52" ht="14.25" customHeight="1" spans="1:10">
      <c r="A52" s="4">
        <f>TeamHero生成!A52</f>
        <v>48</v>
      </c>
      <c r="B52" s="4">
        <f>TeamHero生成!B52</f>
        <v>1005</v>
      </c>
      <c r="C52" s="4">
        <f>TeamHero生成!C52</f>
        <v>15</v>
      </c>
      <c r="D52" s="5">
        <f>TeamHero生成!D52</f>
        <v>123536</v>
      </c>
      <c r="E52" s="5">
        <f>TeamHero生成!E52</f>
        <v>6309</v>
      </c>
      <c r="F52" s="5">
        <f>TeamHero生成!F52</f>
        <v>6719</v>
      </c>
      <c r="G52" s="4" t="str">
        <f>TeamHero生成!AG52</f>
        <v>有效</v>
      </c>
      <c r="H52" s="4">
        <f>TeamHero生成!G52</f>
        <v>53433</v>
      </c>
      <c r="I52" s="4">
        <f>TeamHero生成!H52</f>
        <v>3138</v>
      </c>
      <c r="J52" s="4">
        <f>TeamHero生成!I52</f>
        <v>2785</v>
      </c>
    </row>
    <row r="53" ht="14.25" customHeight="1" spans="1:10">
      <c r="A53" s="4">
        <f>TeamHero生成!A53</f>
        <v>49</v>
      </c>
      <c r="B53" s="4">
        <f>TeamHero生成!B53</f>
        <v>1005</v>
      </c>
      <c r="C53" s="4">
        <f>TeamHero生成!C53</f>
        <v>15</v>
      </c>
      <c r="D53" s="5">
        <f>TeamHero生成!D53</f>
        <v>123536</v>
      </c>
      <c r="E53" s="5">
        <f>TeamHero生成!E53</f>
        <v>6309</v>
      </c>
      <c r="F53" s="5">
        <f>TeamHero生成!F53</f>
        <v>6719</v>
      </c>
      <c r="G53" s="4" t="str">
        <f>TeamHero生成!AG53</f>
        <v>有效</v>
      </c>
      <c r="H53" s="4">
        <f>TeamHero生成!G53</f>
        <v>53433</v>
      </c>
      <c r="I53" s="4">
        <f>TeamHero生成!H53</f>
        <v>3138</v>
      </c>
      <c r="J53" s="4">
        <f>TeamHero生成!I53</f>
        <v>2785</v>
      </c>
    </row>
    <row r="54" ht="14.25" customHeight="1" spans="1:10">
      <c r="A54" s="4">
        <f>TeamHero生成!A54</f>
        <v>50</v>
      </c>
      <c r="B54" s="4">
        <f>TeamHero生成!B54</f>
        <v>1029</v>
      </c>
      <c r="C54" s="4">
        <f>TeamHero生成!C54</f>
        <v>15</v>
      </c>
      <c r="D54" s="5">
        <f>TeamHero生成!D54</f>
        <v>154420</v>
      </c>
      <c r="E54" s="5">
        <f>TeamHero生成!E54</f>
        <v>5257</v>
      </c>
      <c r="F54" s="5">
        <f>TeamHero生成!F54</f>
        <v>8399</v>
      </c>
      <c r="G54" s="4" t="str">
        <f>TeamHero生成!AG54</f>
        <v>有效</v>
      </c>
      <c r="H54" s="4">
        <f>TeamHero生成!G54</f>
        <v>66792</v>
      </c>
      <c r="I54" s="4">
        <f>TeamHero生成!H54</f>
        <v>2615</v>
      </c>
      <c r="J54" s="4">
        <f>TeamHero生成!I54</f>
        <v>3482</v>
      </c>
    </row>
    <row r="55" ht="14.25" customHeight="1" spans="1:10">
      <c r="A55" s="4">
        <f>TeamHero生成!A55</f>
        <v>51</v>
      </c>
      <c r="B55" s="4">
        <f>TeamHero生成!B55</f>
        <v>1012</v>
      </c>
      <c r="C55" s="4">
        <f>TeamHero生成!C55</f>
        <v>15</v>
      </c>
      <c r="D55" s="5">
        <f>TeamHero生成!D55</f>
        <v>172790</v>
      </c>
      <c r="E55" s="5">
        <f>TeamHero生成!E55</f>
        <v>5664</v>
      </c>
      <c r="F55" s="5">
        <f>TeamHero生成!F55</f>
        <v>8993</v>
      </c>
      <c r="G55" s="4" t="str">
        <f>TeamHero生成!AG55</f>
        <v>有效</v>
      </c>
      <c r="H55" s="4">
        <f>TeamHero生成!G55</f>
        <v>74820</v>
      </c>
      <c r="I55" s="4">
        <f>TeamHero生成!H55</f>
        <v>2832</v>
      </c>
      <c r="J55" s="4">
        <f>TeamHero生成!I55</f>
        <v>3758</v>
      </c>
    </row>
    <row r="56" ht="14.25" customHeight="1" spans="1:10">
      <c r="A56" s="4">
        <f>TeamHero生成!A56</f>
        <v>52</v>
      </c>
      <c r="B56" s="4">
        <f>TeamHero生成!B56</f>
        <v>1035</v>
      </c>
      <c r="C56" s="4">
        <f>TeamHero生成!C56</f>
        <v>15</v>
      </c>
      <c r="D56" s="5">
        <f>TeamHero生成!D56</f>
        <v>138232</v>
      </c>
      <c r="E56" s="5">
        <f>TeamHero生成!E56</f>
        <v>6797</v>
      </c>
      <c r="F56" s="5">
        <f>TeamHero生成!F56</f>
        <v>7194</v>
      </c>
      <c r="G56" s="4" t="str">
        <f>TeamHero生成!AG56</f>
        <v>有效</v>
      </c>
      <c r="H56" s="4">
        <f>TeamHero生成!G56</f>
        <v>59856</v>
      </c>
      <c r="I56" s="4">
        <f>TeamHero生成!H56</f>
        <v>3398</v>
      </c>
      <c r="J56" s="4">
        <f>TeamHero生成!I56</f>
        <v>3006</v>
      </c>
    </row>
    <row r="57" ht="14.25" customHeight="1" spans="1:10">
      <c r="A57" s="4">
        <f>TeamHero生成!A57</f>
        <v>53</v>
      </c>
      <c r="B57" s="4">
        <f>TeamHero生成!B57</f>
        <v>1036</v>
      </c>
      <c r="C57" s="4">
        <f>TeamHero生成!C57</f>
        <v>15</v>
      </c>
      <c r="D57" s="5">
        <f>TeamHero生成!D57</f>
        <v>138232</v>
      </c>
      <c r="E57" s="5">
        <f>TeamHero生成!E57</f>
        <v>6797</v>
      </c>
      <c r="F57" s="5">
        <f>TeamHero生成!F57</f>
        <v>7194</v>
      </c>
      <c r="G57" s="4" t="str">
        <f>TeamHero生成!AG57</f>
        <v>有效</v>
      </c>
      <c r="H57" s="4">
        <f>TeamHero生成!G57</f>
        <v>59856</v>
      </c>
      <c r="I57" s="4">
        <f>TeamHero生成!H57</f>
        <v>3398</v>
      </c>
      <c r="J57" s="4">
        <f>TeamHero生成!I57</f>
        <v>3006</v>
      </c>
    </row>
    <row r="58" ht="14.25" customHeight="1" spans="1:10">
      <c r="A58" s="4">
        <f>TeamHero生成!A58</f>
        <v>54</v>
      </c>
      <c r="B58" s="4">
        <f>TeamHero生成!B58</f>
        <v>1015</v>
      </c>
      <c r="C58" s="4">
        <f>TeamHero生成!C58</f>
        <v>15</v>
      </c>
      <c r="D58" s="5">
        <f>TeamHero生成!D58</f>
        <v>172790</v>
      </c>
      <c r="E58" s="5">
        <f>TeamHero生成!E58</f>
        <v>5664</v>
      </c>
      <c r="F58" s="5">
        <f>TeamHero生成!F58</f>
        <v>8993</v>
      </c>
      <c r="G58" s="4" t="str">
        <f>TeamHero生成!AG58</f>
        <v>有效</v>
      </c>
      <c r="H58" s="4">
        <f>TeamHero生成!G58</f>
        <v>74820</v>
      </c>
      <c r="I58" s="4">
        <f>TeamHero生成!H58</f>
        <v>2832</v>
      </c>
      <c r="J58" s="4">
        <f>TeamHero生成!I58</f>
        <v>3758</v>
      </c>
    </row>
    <row r="59" ht="14.25" customHeight="1" spans="1:10">
      <c r="A59" s="4">
        <f>TeamHero生成!A59</f>
        <v>55</v>
      </c>
      <c r="B59" s="4">
        <f>TeamHero生成!B59</f>
        <v>1036</v>
      </c>
      <c r="C59" s="4">
        <f>TeamHero生成!C59</f>
        <v>15</v>
      </c>
      <c r="D59" s="5">
        <f>TeamHero生成!D59</f>
        <v>138232</v>
      </c>
      <c r="E59" s="5">
        <f>TeamHero生成!E59</f>
        <v>6797</v>
      </c>
      <c r="F59" s="5">
        <f>TeamHero生成!F59</f>
        <v>7194</v>
      </c>
      <c r="G59" s="4" t="str">
        <f>TeamHero生成!AG59</f>
        <v>有效</v>
      </c>
      <c r="H59" s="4">
        <f>TeamHero生成!G59</f>
        <v>59856</v>
      </c>
      <c r="I59" s="4">
        <f>TeamHero生成!H59</f>
        <v>3398</v>
      </c>
      <c r="J59" s="4">
        <f>TeamHero生成!I59</f>
        <v>3006</v>
      </c>
    </row>
    <row r="60" ht="14.25" customHeight="1" spans="1:10">
      <c r="A60" s="4">
        <f>TeamHero生成!A60</f>
        <v>56</v>
      </c>
      <c r="B60" s="4">
        <f>TeamHero生成!B60</f>
        <v>1038</v>
      </c>
      <c r="C60" s="4">
        <f>TeamHero生成!C60</f>
        <v>16</v>
      </c>
      <c r="D60" s="5">
        <f>TeamHero生成!D60</f>
        <v>235140</v>
      </c>
      <c r="E60" s="5">
        <f>TeamHero生成!E60</f>
        <v>6155</v>
      </c>
      <c r="F60" s="5">
        <f>TeamHero生成!F60</f>
        <v>11639</v>
      </c>
      <c r="G60" s="4" t="str">
        <f>TeamHero生成!AG60</f>
        <v>有效</v>
      </c>
      <c r="H60" s="4">
        <f>TeamHero生成!G60</f>
        <v>100000</v>
      </c>
      <c r="I60" s="4">
        <f>TeamHero生成!H60</f>
        <v>3053</v>
      </c>
      <c r="J60" s="4">
        <f>TeamHero生成!I60</f>
        <v>4845</v>
      </c>
    </row>
    <row r="61" ht="14.25" customHeight="1" spans="1:10">
      <c r="A61" s="4">
        <f>TeamHero生成!A61</f>
        <v>57</v>
      </c>
      <c r="B61" s="4">
        <f>TeamHero生成!B61</f>
        <v>1036</v>
      </c>
      <c r="C61" s="4">
        <f>TeamHero生成!C61</f>
        <v>16</v>
      </c>
      <c r="D61" s="5">
        <f>TeamHero生成!D61</f>
        <v>156760</v>
      </c>
      <c r="E61" s="5">
        <f>TeamHero生成!E61</f>
        <v>7386</v>
      </c>
      <c r="F61" s="5">
        <f>TeamHero生成!F61</f>
        <v>7759</v>
      </c>
      <c r="G61" s="4" t="str">
        <f>TeamHero生成!AG61</f>
        <v>有效</v>
      </c>
      <c r="H61" s="4">
        <f>TeamHero生成!G61</f>
        <v>66667</v>
      </c>
      <c r="I61" s="4">
        <f>TeamHero生成!H61</f>
        <v>3663</v>
      </c>
      <c r="J61" s="4">
        <f>TeamHero生成!I61</f>
        <v>3230</v>
      </c>
    </row>
    <row r="62" ht="14.25" customHeight="1" spans="1:10">
      <c r="A62" s="4">
        <f>TeamHero生成!A62</f>
        <v>58</v>
      </c>
      <c r="B62" s="4">
        <f>TeamHero生成!B62</f>
        <v>1015</v>
      </c>
      <c r="C62" s="4">
        <f>TeamHero生成!C62</f>
        <v>16</v>
      </c>
      <c r="D62" s="5">
        <f>TeamHero生成!D62</f>
        <v>195950</v>
      </c>
      <c r="E62" s="5">
        <f>TeamHero生成!E62</f>
        <v>6155</v>
      </c>
      <c r="F62" s="5">
        <f>TeamHero生成!F62</f>
        <v>9699</v>
      </c>
      <c r="G62" s="4" t="str">
        <f>TeamHero生成!AG62</f>
        <v>有效</v>
      </c>
      <c r="H62" s="4">
        <f>TeamHero生成!G62</f>
        <v>83334</v>
      </c>
      <c r="I62" s="4">
        <f>TeamHero生成!H62</f>
        <v>3053</v>
      </c>
      <c r="J62" s="4">
        <f>TeamHero生成!I62</f>
        <v>4038</v>
      </c>
    </row>
    <row r="63" ht="14.25" customHeight="1" spans="1:10">
      <c r="A63" s="4">
        <f>TeamHero生成!A63</f>
        <v>59</v>
      </c>
      <c r="B63" s="4">
        <f>TeamHero生成!B63</f>
        <v>1018</v>
      </c>
      <c r="C63" s="4">
        <f>TeamHero生成!C63</f>
        <v>16</v>
      </c>
      <c r="D63" s="5">
        <f>TeamHero生成!D63</f>
        <v>195950</v>
      </c>
      <c r="E63" s="5">
        <f>TeamHero生成!E63</f>
        <v>6155</v>
      </c>
      <c r="F63" s="5">
        <f>TeamHero生成!F63</f>
        <v>9699</v>
      </c>
      <c r="G63" s="4" t="str">
        <f>TeamHero生成!AG63</f>
        <v>有效</v>
      </c>
      <c r="H63" s="4">
        <f>TeamHero生成!G63</f>
        <v>83334</v>
      </c>
      <c r="I63" s="4">
        <f>TeamHero生成!H63</f>
        <v>3053</v>
      </c>
      <c r="J63" s="4">
        <f>TeamHero生成!I63</f>
        <v>4038</v>
      </c>
    </row>
    <row r="64" ht="14.25" customHeight="1" spans="1:10">
      <c r="A64" s="4">
        <f>TeamHero生成!A64</f>
        <v>60</v>
      </c>
      <c r="B64" s="4">
        <f>TeamHero生成!B64</f>
        <v>1036</v>
      </c>
      <c r="C64" s="4">
        <f>TeamHero生成!C64</f>
        <v>16</v>
      </c>
      <c r="D64" s="5">
        <f>TeamHero生成!D64</f>
        <v>156760</v>
      </c>
      <c r="E64" s="5">
        <f>TeamHero生成!E64</f>
        <v>7386</v>
      </c>
      <c r="F64" s="5">
        <f>TeamHero生成!F64</f>
        <v>7759</v>
      </c>
      <c r="G64" s="4" t="str">
        <f>TeamHero生成!AG64</f>
        <v>有效</v>
      </c>
      <c r="H64" s="4">
        <f>TeamHero生成!G64</f>
        <v>66667</v>
      </c>
      <c r="I64" s="4">
        <f>TeamHero生成!H64</f>
        <v>3663</v>
      </c>
      <c r="J64" s="4">
        <f>TeamHero生成!I64</f>
        <v>3230</v>
      </c>
    </row>
    <row r="65" ht="14.25" customHeight="1" spans="1:10">
      <c r="A65" s="4">
        <f>TeamHero生成!A65</f>
        <v>61</v>
      </c>
      <c r="B65" s="4">
        <f>TeamHero生成!B65</f>
        <v>1037</v>
      </c>
      <c r="C65" s="4">
        <f>TeamHero生成!C65</f>
        <v>16</v>
      </c>
      <c r="D65" s="5">
        <f>TeamHero生成!D65</f>
        <v>176856</v>
      </c>
      <c r="E65" s="5">
        <f>TeamHero生成!E65</f>
        <v>7995</v>
      </c>
      <c r="F65" s="5">
        <f>TeamHero生成!F65</f>
        <v>8336</v>
      </c>
      <c r="G65" s="4" t="str">
        <f>TeamHero生成!AG65</f>
        <v>有效</v>
      </c>
      <c r="H65" s="4">
        <f>TeamHero生成!G65</f>
        <v>73891</v>
      </c>
      <c r="I65" s="4">
        <f>TeamHero生成!H65</f>
        <v>3936</v>
      </c>
      <c r="J65" s="4">
        <f>TeamHero生成!I65</f>
        <v>3456</v>
      </c>
    </row>
    <row r="66" ht="14.25" customHeight="1" spans="1:10">
      <c r="A66" s="4">
        <f>TeamHero生成!A66</f>
        <v>62</v>
      </c>
      <c r="B66" s="4">
        <f>TeamHero生成!B66</f>
        <v>1015</v>
      </c>
      <c r="C66" s="4">
        <f>TeamHero生成!C66</f>
        <v>16</v>
      </c>
      <c r="D66" s="5">
        <f>TeamHero生成!D66</f>
        <v>221070</v>
      </c>
      <c r="E66" s="5">
        <f>TeamHero生成!E66</f>
        <v>6662</v>
      </c>
      <c r="F66" s="5">
        <f>TeamHero生成!F66</f>
        <v>10420</v>
      </c>
      <c r="G66" s="4" t="str">
        <f>TeamHero生成!AG66</f>
        <v>有效</v>
      </c>
      <c r="H66" s="4">
        <f>TeamHero生成!G66</f>
        <v>92364</v>
      </c>
      <c r="I66" s="4">
        <f>TeamHero生成!H66</f>
        <v>3280</v>
      </c>
      <c r="J66" s="4">
        <f>TeamHero生成!I66</f>
        <v>4321</v>
      </c>
    </row>
    <row r="67" ht="14.25" customHeight="1" spans="1:10">
      <c r="A67" s="4">
        <f>TeamHero生成!A67</f>
        <v>63</v>
      </c>
      <c r="B67" s="4">
        <f>TeamHero生成!B67</f>
        <v>1036</v>
      </c>
      <c r="C67" s="4">
        <f>TeamHero生成!C67</f>
        <v>16</v>
      </c>
      <c r="D67" s="5">
        <f>TeamHero生成!D67</f>
        <v>176856</v>
      </c>
      <c r="E67" s="5">
        <f>TeamHero生成!E67</f>
        <v>7995</v>
      </c>
      <c r="F67" s="5">
        <f>TeamHero生成!F67</f>
        <v>8336</v>
      </c>
      <c r="G67" s="4" t="str">
        <f>TeamHero生成!AG67</f>
        <v>有效</v>
      </c>
      <c r="H67" s="4">
        <f>TeamHero生成!G67</f>
        <v>73891</v>
      </c>
      <c r="I67" s="4">
        <f>TeamHero生成!H67</f>
        <v>3936</v>
      </c>
      <c r="J67" s="4">
        <f>TeamHero生成!I67</f>
        <v>3456</v>
      </c>
    </row>
    <row r="68" ht="14.25" customHeight="1" spans="1:10">
      <c r="A68" s="4">
        <f>TeamHero生成!A68</f>
        <v>64</v>
      </c>
      <c r="B68" s="4">
        <f>TeamHero生成!B68</f>
        <v>1039</v>
      </c>
      <c r="C68" s="4">
        <f>TeamHero生成!C68</f>
        <v>16</v>
      </c>
      <c r="D68" s="5">
        <f>TeamHero生成!D68</f>
        <v>176856</v>
      </c>
      <c r="E68" s="5">
        <f>TeamHero生成!E68</f>
        <v>7995</v>
      </c>
      <c r="F68" s="5">
        <f>TeamHero生成!F68</f>
        <v>8336</v>
      </c>
      <c r="G68" s="4" t="str">
        <f>TeamHero生成!AG68</f>
        <v>有效</v>
      </c>
      <c r="H68" s="4">
        <f>TeamHero生成!G68</f>
        <v>73891</v>
      </c>
      <c r="I68" s="4">
        <f>TeamHero生成!H68</f>
        <v>3936</v>
      </c>
      <c r="J68" s="4">
        <f>TeamHero生成!I68</f>
        <v>3456</v>
      </c>
    </row>
    <row r="69" ht="14.25" customHeight="1" spans="1:10">
      <c r="A69" s="4">
        <f>TeamHero生成!A69</f>
        <v>65</v>
      </c>
      <c r="B69" s="4">
        <f>TeamHero生成!B69</f>
        <v>1035</v>
      </c>
      <c r="C69" s="4">
        <f>TeamHero生成!C69</f>
        <v>16</v>
      </c>
      <c r="D69" s="5">
        <f>TeamHero生成!D69</f>
        <v>176856</v>
      </c>
      <c r="E69" s="5">
        <f>TeamHero生成!E69</f>
        <v>7995</v>
      </c>
      <c r="F69" s="5">
        <f>TeamHero生成!F69</f>
        <v>8336</v>
      </c>
      <c r="G69" s="4" t="str">
        <f>TeamHero生成!AG69</f>
        <v>有效</v>
      </c>
      <c r="H69" s="4">
        <f>TeamHero生成!G69</f>
        <v>73891</v>
      </c>
      <c r="I69" s="4">
        <f>TeamHero生成!H69</f>
        <v>3936</v>
      </c>
      <c r="J69" s="4">
        <f>TeamHero生成!I69</f>
        <v>3456</v>
      </c>
    </row>
    <row r="70" ht="14.25" customHeight="1" spans="1:10">
      <c r="A70" s="4">
        <f>TeamHero生成!A70</f>
        <v>66</v>
      </c>
      <c r="B70" s="4">
        <f>TeamHero生成!B70</f>
        <v>1002</v>
      </c>
      <c r="C70" s="4">
        <f>TeamHero生成!C70</f>
        <v>17</v>
      </c>
      <c r="D70" s="5">
        <f>TeamHero生成!D70</f>
        <v>293094</v>
      </c>
      <c r="E70" s="5">
        <f>TeamHero生成!E70</f>
        <v>7111</v>
      </c>
      <c r="F70" s="5">
        <f>TeamHero生成!F70</f>
        <v>13257</v>
      </c>
      <c r="G70" s="4" t="str">
        <f>TeamHero生成!AG70</f>
        <v>有效</v>
      </c>
      <c r="H70" s="4">
        <f>TeamHero生成!G70</f>
        <v>122313</v>
      </c>
      <c r="I70" s="4">
        <f>TeamHero生成!H70</f>
        <v>3510</v>
      </c>
      <c r="J70" s="4">
        <f>TeamHero生成!I70</f>
        <v>5529</v>
      </c>
    </row>
    <row r="71" ht="14.25" customHeight="1" spans="1:10">
      <c r="A71" s="4">
        <f>TeamHero生成!A71</f>
        <v>67</v>
      </c>
      <c r="B71" s="4">
        <f>TeamHero生成!B71</f>
        <v>1015</v>
      </c>
      <c r="C71" s="4">
        <f>TeamHero生成!C71</f>
        <v>17</v>
      </c>
      <c r="D71" s="5">
        <f>TeamHero生成!D71</f>
        <v>244245</v>
      </c>
      <c r="E71" s="5">
        <f>TeamHero生成!E71</f>
        <v>7111</v>
      </c>
      <c r="F71" s="5">
        <f>TeamHero生成!F71</f>
        <v>11048</v>
      </c>
      <c r="G71" s="4" t="str">
        <f>TeamHero生成!AG71</f>
        <v>有效</v>
      </c>
      <c r="H71" s="4">
        <f>TeamHero生成!G71</f>
        <v>101928</v>
      </c>
      <c r="I71" s="4">
        <f>TeamHero生成!H71</f>
        <v>3510</v>
      </c>
      <c r="J71" s="4">
        <f>TeamHero生成!I71</f>
        <v>4608</v>
      </c>
    </row>
    <row r="72" ht="14.25" customHeight="1" spans="1:10">
      <c r="A72" s="4">
        <f>TeamHero生成!A72</f>
        <v>68</v>
      </c>
      <c r="B72" s="4">
        <f>TeamHero生成!B72</f>
        <v>1039</v>
      </c>
      <c r="C72" s="4">
        <f>TeamHero生成!C72</f>
        <v>17</v>
      </c>
      <c r="D72" s="5">
        <f>TeamHero生成!D72</f>
        <v>195396</v>
      </c>
      <c r="E72" s="5">
        <f>TeamHero生成!E72</f>
        <v>8533</v>
      </c>
      <c r="F72" s="5">
        <f>TeamHero生成!F72</f>
        <v>8838</v>
      </c>
      <c r="G72" s="4" t="str">
        <f>TeamHero生成!AG72</f>
        <v>有效</v>
      </c>
      <c r="H72" s="4">
        <f>TeamHero生成!G72</f>
        <v>81542</v>
      </c>
      <c r="I72" s="4">
        <f>TeamHero生成!H72</f>
        <v>4212</v>
      </c>
      <c r="J72" s="4">
        <f>TeamHero生成!I72</f>
        <v>3686</v>
      </c>
    </row>
    <row r="73" ht="14.25" customHeight="1" spans="1:10">
      <c r="A73" s="4">
        <f>TeamHero生成!A73</f>
        <v>69</v>
      </c>
      <c r="B73" s="4">
        <f>TeamHero生成!B73</f>
        <v>1012</v>
      </c>
      <c r="C73" s="4">
        <f>TeamHero生成!C73</f>
        <v>17</v>
      </c>
      <c r="D73" s="5">
        <f>TeamHero生成!D73</f>
        <v>244245</v>
      </c>
      <c r="E73" s="5">
        <f>TeamHero生成!E73</f>
        <v>7111</v>
      </c>
      <c r="F73" s="5">
        <f>TeamHero生成!F73</f>
        <v>11048</v>
      </c>
      <c r="G73" s="4" t="str">
        <f>TeamHero生成!AG73</f>
        <v>有效</v>
      </c>
      <c r="H73" s="4">
        <f>TeamHero生成!G73</f>
        <v>101928</v>
      </c>
      <c r="I73" s="4">
        <f>TeamHero生成!H73</f>
        <v>3510</v>
      </c>
      <c r="J73" s="4">
        <f>TeamHero生成!I73</f>
        <v>4608</v>
      </c>
    </row>
    <row r="74" ht="14.25" customHeight="1" spans="1:10">
      <c r="A74" s="4">
        <f>TeamHero生成!A74</f>
        <v>70</v>
      </c>
      <c r="B74" s="4">
        <f>TeamHero生成!B74</f>
        <v>1011</v>
      </c>
      <c r="C74" s="4">
        <f>TeamHero生成!C74</f>
        <v>17</v>
      </c>
      <c r="D74" s="5">
        <f>TeamHero生成!D74</f>
        <v>244245</v>
      </c>
      <c r="E74" s="5">
        <f>TeamHero生成!E74</f>
        <v>7111</v>
      </c>
      <c r="F74" s="5">
        <f>TeamHero生成!F74</f>
        <v>11048</v>
      </c>
      <c r="G74" s="4" t="str">
        <f>TeamHero生成!AG74</f>
        <v>有效</v>
      </c>
      <c r="H74" s="4">
        <f>TeamHero生成!G74</f>
        <v>101928</v>
      </c>
      <c r="I74" s="4">
        <f>TeamHero生成!H74</f>
        <v>3510</v>
      </c>
      <c r="J74" s="4">
        <f>TeamHero生成!I74</f>
        <v>4608</v>
      </c>
    </row>
    <row r="75" ht="14.25" customHeight="1" spans="1:10">
      <c r="A75" s="4">
        <f>TeamHero生成!A75</f>
        <v>71</v>
      </c>
      <c r="B75" s="4">
        <f>TeamHero生成!B75</f>
        <v>1003</v>
      </c>
      <c r="C75" s="4">
        <f>TeamHero生成!C75</f>
        <v>17</v>
      </c>
      <c r="D75" s="5">
        <f>TeamHero生成!D75</f>
        <v>327948</v>
      </c>
      <c r="E75" s="5">
        <f>TeamHero生成!E75</f>
        <v>7652</v>
      </c>
      <c r="F75" s="5">
        <f>TeamHero生成!F75</f>
        <v>14153</v>
      </c>
      <c r="G75" s="4" t="str">
        <f>TeamHero生成!AG75</f>
        <v>有效</v>
      </c>
      <c r="H75" s="4">
        <f>TeamHero生成!G75</f>
        <v>134438</v>
      </c>
      <c r="I75" s="4">
        <f>TeamHero生成!H75</f>
        <v>3744</v>
      </c>
      <c r="J75" s="4">
        <f>TeamHero生成!I75</f>
        <v>5878</v>
      </c>
    </row>
    <row r="76" ht="14.25" customHeight="1" spans="1:10">
      <c r="A76" s="4">
        <f>TeamHero生成!A76</f>
        <v>72</v>
      </c>
      <c r="B76" s="4">
        <f>TeamHero生成!B76</f>
        <v>1021</v>
      </c>
      <c r="C76" s="4">
        <f>TeamHero生成!C76</f>
        <v>17</v>
      </c>
      <c r="D76" s="5">
        <f>TeamHero生成!D76</f>
        <v>218632</v>
      </c>
      <c r="E76" s="5">
        <f>TeamHero生成!E76</f>
        <v>9183</v>
      </c>
      <c r="F76" s="5">
        <f>TeamHero生成!F76</f>
        <v>9435</v>
      </c>
      <c r="G76" s="4" t="str">
        <f>TeamHero生成!AG76</f>
        <v>有效</v>
      </c>
      <c r="H76" s="4">
        <f>TeamHero生成!G76</f>
        <v>89625</v>
      </c>
      <c r="I76" s="4">
        <f>TeamHero生成!H76</f>
        <v>4492</v>
      </c>
      <c r="J76" s="4">
        <f>TeamHero生成!I76</f>
        <v>3919</v>
      </c>
    </row>
    <row r="77" ht="14.25" customHeight="1" spans="1:10">
      <c r="A77" s="4">
        <f>TeamHero生成!A77</f>
        <v>73</v>
      </c>
      <c r="B77" s="4">
        <f>TeamHero生成!B77</f>
        <v>1007</v>
      </c>
      <c r="C77" s="4">
        <f>TeamHero生成!C77</f>
        <v>17</v>
      </c>
      <c r="D77" s="5">
        <f>TeamHero生成!D77</f>
        <v>273290</v>
      </c>
      <c r="E77" s="5">
        <f>TeamHero生成!E77</f>
        <v>7652</v>
      </c>
      <c r="F77" s="5">
        <f>TeamHero生成!F77</f>
        <v>11794</v>
      </c>
      <c r="G77" s="4" t="str">
        <f>TeamHero生成!AG77</f>
        <v>有效</v>
      </c>
      <c r="H77" s="4">
        <f>TeamHero生成!G77</f>
        <v>112032</v>
      </c>
      <c r="I77" s="4">
        <f>TeamHero生成!H77</f>
        <v>3744</v>
      </c>
      <c r="J77" s="4">
        <f>TeamHero生成!I77</f>
        <v>4899</v>
      </c>
    </row>
    <row r="78" ht="14.25" customHeight="1" spans="1:10">
      <c r="A78" s="4">
        <f>TeamHero生成!A78</f>
        <v>74</v>
      </c>
      <c r="B78" s="4">
        <f>TeamHero生成!B78</f>
        <v>1008</v>
      </c>
      <c r="C78" s="4">
        <f>TeamHero生成!C78</f>
        <v>17</v>
      </c>
      <c r="D78" s="5">
        <f>TeamHero生成!D78</f>
        <v>218632</v>
      </c>
      <c r="E78" s="5">
        <f>TeamHero生成!E78</f>
        <v>9183</v>
      </c>
      <c r="F78" s="5">
        <f>TeamHero生成!F78</f>
        <v>9435</v>
      </c>
      <c r="G78" s="4" t="str">
        <f>TeamHero生成!AG78</f>
        <v>有效</v>
      </c>
      <c r="H78" s="4">
        <f>TeamHero生成!G78</f>
        <v>89625</v>
      </c>
      <c r="I78" s="4">
        <f>TeamHero生成!H78</f>
        <v>4492</v>
      </c>
      <c r="J78" s="4">
        <f>TeamHero生成!I78</f>
        <v>3919</v>
      </c>
    </row>
    <row r="79" ht="14.25" customHeight="1" spans="1:10">
      <c r="A79" s="4">
        <f>TeamHero生成!A79</f>
        <v>75</v>
      </c>
      <c r="B79" s="4">
        <f>TeamHero生成!B79</f>
        <v>1029</v>
      </c>
      <c r="C79" s="4">
        <f>TeamHero生成!C79</f>
        <v>17</v>
      </c>
      <c r="D79" s="5">
        <f>TeamHero生成!D79</f>
        <v>273290</v>
      </c>
      <c r="E79" s="5">
        <f>TeamHero生成!E79</f>
        <v>7652</v>
      </c>
      <c r="F79" s="5">
        <f>TeamHero生成!F79</f>
        <v>11794</v>
      </c>
      <c r="G79" s="4" t="str">
        <f>TeamHero生成!AG79</f>
        <v>有效</v>
      </c>
      <c r="H79" s="4">
        <f>TeamHero生成!G79</f>
        <v>112032</v>
      </c>
      <c r="I79" s="4">
        <f>TeamHero生成!H79</f>
        <v>3744</v>
      </c>
      <c r="J79" s="4">
        <f>TeamHero生成!I79</f>
        <v>4899</v>
      </c>
    </row>
    <row r="80" ht="14.25" customHeight="1" spans="1:10">
      <c r="A80" s="4">
        <f>TeamHero生成!A80</f>
        <v>76</v>
      </c>
      <c r="B80" s="4">
        <f>TeamHero生成!B80</f>
        <v>1030</v>
      </c>
      <c r="C80" s="4">
        <f>TeamHero生成!C80</f>
        <v>18</v>
      </c>
      <c r="D80" s="5">
        <f>TeamHero生成!D80</f>
        <v>371124</v>
      </c>
      <c r="E80" s="5">
        <f>TeamHero生成!E80</f>
        <v>8296</v>
      </c>
      <c r="F80" s="5">
        <f>TeamHero生成!F80</f>
        <v>15197</v>
      </c>
      <c r="G80" s="4" t="str">
        <f>TeamHero生成!AG80</f>
        <v>有效</v>
      </c>
      <c r="H80" s="4">
        <f>TeamHero生成!G80</f>
        <v>147247</v>
      </c>
      <c r="I80" s="4">
        <f>TeamHero生成!H80</f>
        <v>3984</v>
      </c>
      <c r="J80" s="4">
        <f>TeamHero生成!I80</f>
        <v>6231</v>
      </c>
    </row>
    <row r="81" ht="14.25" customHeight="1" spans="1:10">
      <c r="A81" s="4">
        <f>TeamHero生成!A81</f>
        <v>77</v>
      </c>
      <c r="B81" s="4">
        <f>TeamHero生成!B81</f>
        <v>1002</v>
      </c>
      <c r="C81" s="4">
        <f>TeamHero生成!C81</f>
        <v>18</v>
      </c>
      <c r="D81" s="5">
        <f>TeamHero生成!D81</f>
        <v>371124</v>
      </c>
      <c r="E81" s="5">
        <f>TeamHero生成!E81</f>
        <v>8296</v>
      </c>
      <c r="F81" s="5">
        <f>TeamHero生成!F81</f>
        <v>15197</v>
      </c>
      <c r="G81" s="4" t="str">
        <f>TeamHero生成!AG81</f>
        <v>有效</v>
      </c>
      <c r="H81" s="4">
        <f>TeamHero生成!G81</f>
        <v>147247</v>
      </c>
      <c r="I81" s="4">
        <f>TeamHero生成!H81</f>
        <v>3984</v>
      </c>
      <c r="J81" s="4">
        <f>TeamHero生成!I81</f>
        <v>6231</v>
      </c>
    </row>
    <row r="82" ht="14.25" customHeight="1" spans="1:10">
      <c r="A82" s="4">
        <f>TeamHero生成!A82</f>
        <v>78</v>
      </c>
      <c r="B82" s="4">
        <f>TeamHero生成!B82</f>
        <v>1012</v>
      </c>
      <c r="C82" s="4">
        <f>TeamHero生成!C82</f>
        <v>18</v>
      </c>
      <c r="D82" s="5">
        <f>TeamHero生成!D82</f>
        <v>309270</v>
      </c>
      <c r="E82" s="5">
        <f>TeamHero生成!E82</f>
        <v>8296</v>
      </c>
      <c r="F82" s="5">
        <f>TeamHero生成!F82</f>
        <v>12664</v>
      </c>
      <c r="G82" s="4" t="str">
        <f>TeamHero生成!AG82</f>
        <v>有效</v>
      </c>
      <c r="H82" s="4">
        <f>TeamHero生成!G82</f>
        <v>122706</v>
      </c>
      <c r="I82" s="4">
        <f>TeamHero生成!H82</f>
        <v>3984</v>
      </c>
      <c r="J82" s="4">
        <f>TeamHero生成!I82</f>
        <v>5193</v>
      </c>
    </row>
    <row r="83" ht="14.25" customHeight="1" spans="1:10">
      <c r="A83" s="4">
        <f>TeamHero生成!A83</f>
        <v>79</v>
      </c>
      <c r="B83" s="4">
        <f>TeamHero生成!B83</f>
        <v>1035</v>
      </c>
      <c r="C83" s="4">
        <f>TeamHero生成!C83</f>
        <v>18</v>
      </c>
      <c r="D83" s="5">
        <f>TeamHero生成!D83</f>
        <v>247416</v>
      </c>
      <c r="E83" s="5">
        <f>TeamHero生成!E83</f>
        <v>9955</v>
      </c>
      <c r="F83" s="5">
        <f>TeamHero生成!F83</f>
        <v>10131</v>
      </c>
      <c r="G83" s="4" t="str">
        <f>TeamHero生成!AG83</f>
        <v>有效</v>
      </c>
      <c r="H83" s="4">
        <f>TeamHero生成!G83</f>
        <v>98164</v>
      </c>
      <c r="I83" s="4">
        <f>TeamHero生成!H83</f>
        <v>4780</v>
      </c>
      <c r="J83" s="4">
        <f>TeamHero生成!I83</f>
        <v>4154</v>
      </c>
    </row>
    <row r="84" ht="14.25" customHeight="1" spans="1:10">
      <c r="A84" s="4">
        <f>TeamHero生成!A84</f>
        <v>80</v>
      </c>
      <c r="B84" s="4">
        <f>TeamHero生成!B84</f>
        <v>1036</v>
      </c>
      <c r="C84" s="4">
        <f>TeamHero生成!C84</f>
        <v>18</v>
      </c>
      <c r="D84" s="5">
        <f>TeamHero生成!D84</f>
        <v>247416</v>
      </c>
      <c r="E84" s="5">
        <f>TeamHero生成!E84</f>
        <v>9955</v>
      </c>
      <c r="F84" s="5">
        <f>TeamHero生成!F84</f>
        <v>10131</v>
      </c>
      <c r="G84" s="4" t="str">
        <f>TeamHero生成!AG84</f>
        <v>有效</v>
      </c>
      <c r="H84" s="4">
        <f>TeamHero生成!G84</f>
        <v>98164</v>
      </c>
      <c r="I84" s="4">
        <f>TeamHero生成!H84</f>
        <v>4780</v>
      </c>
      <c r="J84" s="4">
        <f>TeamHero生成!I84</f>
        <v>4154</v>
      </c>
    </row>
    <row r="85" ht="14.25" customHeight="1" spans="1:10">
      <c r="A85" s="4">
        <f>TeamHero生成!A85</f>
        <v>81</v>
      </c>
      <c r="B85" s="4">
        <f>TeamHero生成!B85</f>
        <v>1038</v>
      </c>
      <c r="C85" s="4">
        <f>TeamHero生成!C85</f>
        <v>18</v>
      </c>
      <c r="D85" s="5">
        <f>TeamHero生成!D85</f>
        <v>411972</v>
      </c>
      <c r="E85" s="5">
        <f>TeamHero生成!E85</f>
        <v>8879</v>
      </c>
      <c r="F85" s="5">
        <f>TeamHero生成!F85</f>
        <v>16128</v>
      </c>
      <c r="G85" s="4" t="str">
        <f>TeamHero生成!AG85</f>
        <v>有效</v>
      </c>
      <c r="H85" s="4">
        <f>TeamHero生成!G85</f>
        <v>160761</v>
      </c>
      <c r="I85" s="4">
        <f>TeamHero生成!H85</f>
        <v>4229</v>
      </c>
      <c r="J85" s="4">
        <f>TeamHero生成!I85</f>
        <v>6589</v>
      </c>
    </row>
    <row r="86" ht="14.25" customHeight="1" spans="1:10">
      <c r="A86" s="4">
        <f>TeamHero生成!A86</f>
        <v>82</v>
      </c>
      <c r="B86" s="4">
        <f>TeamHero生成!B86</f>
        <v>1038</v>
      </c>
      <c r="C86" s="4">
        <f>TeamHero生成!C86</f>
        <v>18</v>
      </c>
      <c r="D86" s="5">
        <f>TeamHero生成!D86</f>
        <v>411972</v>
      </c>
      <c r="E86" s="5">
        <f>TeamHero生成!E86</f>
        <v>8879</v>
      </c>
      <c r="F86" s="5">
        <f>TeamHero生成!F86</f>
        <v>16128</v>
      </c>
      <c r="G86" s="4" t="str">
        <f>TeamHero生成!AG86</f>
        <v>有效</v>
      </c>
      <c r="H86" s="4">
        <f>TeamHero生成!G86</f>
        <v>160761</v>
      </c>
      <c r="I86" s="4">
        <f>TeamHero生成!H86</f>
        <v>4229</v>
      </c>
      <c r="J86" s="4">
        <f>TeamHero生成!I86</f>
        <v>6589</v>
      </c>
    </row>
    <row r="87" ht="14.25" customHeight="1" spans="1:10">
      <c r="A87" s="4">
        <f>TeamHero生成!A87</f>
        <v>83</v>
      </c>
      <c r="B87" s="4">
        <f>TeamHero生成!B87</f>
        <v>1039</v>
      </c>
      <c r="C87" s="4">
        <f>TeamHero生成!C87</f>
        <v>18</v>
      </c>
      <c r="D87" s="5">
        <f>TeamHero生成!D87</f>
        <v>274648</v>
      </c>
      <c r="E87" s="5">
        <f>TeamHero生成!E87</f>
        <v>10655</v>
      </c>
      <c r="F87" s="5">
        <f>TeamHero生成!F87</f>
        <v>10752</v>
      </c>
      <c r="G87" s="4" t="str">
        <f>TeamHero生成!AG87</f>
        <v>有效</v>
      </c>
      <c r="H87" s="4">
        <f>TeamHero生成!G87</f>
        <v>107174</v>
      </c>
      <c r="I87" s="4">
        <f>TeamHero生成!H87</f>
        <v>5074</v>
      </c>
      <c r="J87" s="4">
        <f>TeamHero生成!I87</f>
        <v>4392</v>
      </c>
    </row>
    <row r="88" ht="14.25" customHeight="1" spans="1:10">
      <c r="A88" s="4">
        <f>TeamHero生成!A88</f>
        <v>84</v>
      </c>
      <c r="B88" s="4">
        <f>TeamHero生成!B88</f>
        <v>1035</v>
      </c>
      <c r="C88" s="4">
        <f>TeamHero生成!C88</f>
        <v>18</v>
      </c>
      <c r="D88" s="5">
        <f>TeamHero生成!D88</f>
        <v>274648</v>
      </c>
      <c r="E88" s="5">
        <f>TeamHero生成!E88</f>
        <v>10655</v>
      </c>
      <c r="F88" s="5">
        <f>TeamHero生成!F88</f>
        <v>10752</v>
      </c>
      <c r="G88" s="4" t="str">
        <f>TeamHero生成!AG88</f>
        <v>有效</v>
      </c>
      <c r="H88" s="4">
        <f>TeamHero生成!G88</f>
        <v>107174</v>
      </c>
      <c r="I88" s="4">
        <f>TeamHero生成!H88</f>
        <v>5074</v>
      </c>
      <c r="J88" s="4">
        <f>TeamHero生成!I88</f>
        <v>4392</v>
      </c>
    </row>
    <row r="89" ht="14.25" customHeight="1" spans="1:10">
      <c r="A89" s="4">
        <f>TeamHero生成!A89</f>
        <v>85</v>
      </c>
      <c r="B89" s="4">
        <f>TeamHero生成!B89</f>
        <v>1015</v>
      </c>
      <c r="C89" s="4">
        <f>TeamHero生成!C89</f>
        <v>18</v>
      </c>
      <c r="D89" s="5">
        <f>TeamHero生成!D89</f>
        <v>343310</v>
      </c>
      <c r="E89" s="5">
        <f>TeamHero生成!E89</f>
        <v>8879</v>
      </c>
      <c r="F89" s="5">
        <f>TeamHero生成!F89</f>
        <v>13440</v>
      </c>
      <c r="G89" s="4" t="str">
        <f>TeamHero生成!AG89</f>
        <v>有效</v>
      </c>
      <c r="H89" s="4">
        <f>TeamHero生成!G89</f>
        <v>133968</v>
      </c>
      <c r="I89" s="4">
        <f>TeamHero生成!H89</f>
        <v>4229</v>
      </c>
      <c r="J89" s="4">
        <f>TeamHero生成!I89</f>
        <v>5491</v>
      </c>
    </row>
    <row r="90" ht="14.25" customHeight="1" spans="1:10">
      <c r="A90" s="4">
        <f>TeamHero生成!A90</f>
        <v>86</v>
      </c>
      <c r="B90" s="4">
        <f>TeamHero生成!B90</f>
        <v>1035</v>
      </c>
      <c r="C90" s="4">
        <f>TeamHero生成!C90</f>
        <v>19</v>
      </c>
      <c r="D90" s="5">
        <f>TeamHero生成!D90</f>
        <v>303884</v>
      </c>
      <c r="E90" s="5">
        <f>TeamHero生成!E90</f>
        <v>11379</v>
      </c>
      <c r="F90" s="5">
        <f>TeamHero生成!F90</f>
        <v>11384</v>
      </c>
      <c r="G90" s="4" t="str">
        <f>TeamHero生成!AG90</f>
        <v>有效</v>
      </c>
      <c r="H90" s="4">
        <f>TeamHero生成!G90</f>
        <v>116668</v>
      </c>
      <c r="I90" s="4">
        <f>TeamHero生成!H90</f>
        <v>5373</v>
      </c>
      <c r="J90" s="4">
        <f>TeamHero生成!I90</f>
        <v>4634</v>
      </c>
    </row>
    <row r="91" ht="14.25" customHeight="1" spans="1:10">
      <c r="A91" s="4">
        <f>TeamHero生成!A91</f>
        <v>87</v>
      </c>
      <c r="B91" s="4">
        <f>TeamHero生成!B91</f>
        <v>1015</v>
      </c>
      <c r="C91" s="4">
        <f>TeamHero生成!C91</f>
        <v>19</v>
      </c>
      <c r="D91" s="5">
        <f>TeamHero生成!D91</f>
        <v>379855</v>
      </c>
      <c r="E91" s="5">
        <f>TeamHero生成!E91</f>
        <v>9482</v>
      </c>
      <c r="F91" s="5">
        <f>TeamHero生成!F91</f>
        <v>14230</v>
      </c>
      <c r="G91" s="4" t="str">
        <f>TeamHero生成!AG91</f>
        <v>有效</v>
      </c>
      <c r="H91" s="4">
        <f>TeamHero生成!G91</f>
        <v>145836</v>
      </c>
      <c r="I91" s="4">
        <f>TeamHero生成!H91</f>
        <v>4478</v>
      </c>
      <c r="J91" s="4">
        <f>TeamHero生成!I91</f>
        <v>5793</v>
      </c>
    </row>
    <row r="92" ht="14.25" customHeight="1" spans="1:10">
      <c r="A92" s="4">
        <f>TeamHero生成!A92</f>
        <v>88</v>
      </c>
      <c r="B92" s="4">
        <f>TeamHero生成!B92</f>
        <v>1037</v>
      </c>
      <c r="C92" s="4">
        <f>TeamHero生成!C92</f>
        <v>19</v>
      </c>
      <c r="D92" s="5">
        <f>TeamHero生成!D92</f>
        <v>303884</v>
      </c>
      <c r="E92" s="5">
        <f>TeamHero生成!E92</f>
        <v>11379</v>
      </c>
      <c r="F92" s="5">
        <f>TeamHero生成!F92</f>
        <v>11384</v>
      </c>
      <c r="G92" s="4" t="str">
        <f>TeamHero生成!AG92</f>
        <v>有效</v>
      </c>
      <c r="H92" s="4">
        <f>TeamHero生成!G92</f>
        <v>116668</v>
      </c>
      <c r="I92" s="4">
        <f>TeamHero生成!H92</f>
        <v>5373</v>
      </c>
      <c r="J92" s="4">
        <f>TeamHero生成!I92</f>
        <v>4634</v>
      </c>
    </row>
    <row r="93" ht="14.25" customHeight="1" spans="1:10">
      <c r="A93" s="4">
        <f>TeamHero生成!A93</f>
        <v>89</v>
      </c>
      <c r="B93" s="4">
        <f>TeamHero生成!B93</f>
        <v>1018</v>
      </c>
      <c r="C93" s="4">
        <f>TeamHero生成!C93</f>
        <v>19</v>
      </c>
      <c r="D93" s="5">
        <f>TeamHero生成!D93</f>
        <v>379855</v>
      </c>
      <c r="E93" s="5">
        <f>TeamHero生成!E93</f>
        <v>9482</v>
      </c>
      <c r="F93" s="5">
        <f>TeamHero生成!F93</f>
        <v>14230</v>
      </c>
      <c r="G93" s="4" t="str">
        <f>TeamHero生成!AG93</f>
        <v>有效</v>
      </c>
      <c r="H93" s="4">
        <f>TeamHero生成!G93</f>
        <v>145836</v>
      </c>
      <c r="I93" s="4">
        <f>TeamHero生成!H93</f>
        <v>4478</v>
      </c>
      <c r="J93" s="4">
        <f>TeamHero生成!I93</f>
        <v>5793</v>
      </c>
    </row>
    <row r="94" ht="14.25" customHeight="1" spans="1:10">
      <c r="A94" s="4">
        <f>TeamHero生成!A94</f>
        <v>90</v>
      </c>
      <c r="B94" s="4">
        <f>TeamHero生成!B94</f>
        <v>1012</v>
      </c>
      <c r="C94" s="4">
        <f>TeamHero生成!C94</f>
        <v>19</v>
      </c>
      <c r="D94" s="5">
        <f>TeamHero生成!D94</f>
        <v>379855</v>
      </c>
      <c r="E94" s="5">
        <f>TeamHero生成!E94</f>
        <v>9482</v>
      </c>
      <c r="F94" s="5">
        <f>TeamHero生成!F94</f>
        <v>14230</v>
      </c>
      <c r="G94" s="4" t="str">
        <f>TeamHero生成!AG94</f>
        <v>有效</v>
      </c>
      <c r="H94" s="4">
        <f>TeamHero生成!G94</f>
        <v>145836</v>
      </c>
      <c r="I94" s="4">
        <f>TeamHero生成!H94</f>
        <v>4478</v>
      </c>
      <c r="J94" s="4">
        <f>TeamHero生成!I94</f>
        <v>5793</v>
      </c>
    </row>
    <row r="95" ht="14.25" customHeight="1" spans="1:10">
      <c r="A95" s="4">
        <f>TeamHero生成!A95</f>
        <v>91</v>
      </c>
      <c r="B95" s="4">
        <f>TeamHero生成!B95</f>
        <v>1002</v>
      </c>
      <c r="C95" s="4">
        <f>TeamHero生成!C95</f>
        <v>19</v>
      </c>
      <c r="D95" s="5">
        <f>TeamHero生成!D95</f>
        <v>502824</v>
      </c>
      <c r="E95" s="5">
        <f>TeamHero生成!E95</f>
        <v>10109</v>
      </c>
      <c r="F95" s="5">
        <f>TeamHero生成!F95</f>
        <v>18041</v>
      </c>
      <c r="G95" s="4" t="str">
        <f>TeamHero生成!AG95</f>
        <v>有效</v>
      </c>
      <c r="H95" s="4">
        <f>TeamHero生成!G95</f>
        <v>190000</v>
      </c>
      <c r="I95" s="4">
        <f>TeamHero生成!H95</f>
        <v>4733</v>
      </c>
      <c r="J95" s="4">
        <f>TeamHero生成!I95</f>
        <v>7317</v>
      </c>
    </row>
    <row r="96" ht="14.25" customHeight="1" spans="1:10">
      <c r="A96" s="4">
        <f>TeamHero生成!A96</f>
        <v>92</v>
      </c>
      <c r="B96" s="4">
        <f>TeamHero生成!B96</f>
        <v>1018</v>
      </c>
      <c r="C96" s="4">
        <f>TeamHero生成!C96</f>
        <v>19</v>
      </c>
      <c r="D96" s="5">
        <f>TeamHero生成!D96</f>
        <v>419020</v>
      </c>
      <c r="E96" s="5">
        <f>TeamHero生成!E96</f>
        <v>10109</v>
      </c>
      <c r="F96" s="5">
        <f>TeamHero生成!F96</f>
        <v>15034</v>
      </c>
      <c r="G96" s="4" t="str">
        <f>TeamHero生成!AG96</f>
        <v>有效</v>
      </c>
      <c r="H96" s="4">
        <f>TeamHero生成!G96</f>
        <v>158334</v>
      </c>
      <c r="I96" s="4">
        <f>TeamHero生成!H96</f>
        <v>4733</v>
      </c>
      <c r="J96" s="4">
        <f>TeamHero生成!I96</f>
        <v>6098</v>
      </c>
    </row>
    <row r="97" ht="14.25" customHeight="1" spans="1:10">
      <c r="A97" s="4">
        <f>TeamHero生成!A97</f>
        <v>93</v>
      </c>
      <c r="B97" s="4">
        <f>TeamHero生成!B97</f>
        <v>1018</v>
      </c>
      <c r="C97" s="4">
        <f>TeamHero生成!C97</f>
        <v>19</v>
      </c>
      <c r="D97" s="5">
        <f>TeamHero生成!D97</f>
        <v>419020</v>
      </c>
      <c r="E97" s="5">
        <f>TeamHero生成!E97</f>
        <v>10109</v>
      </c>
      <c r="F97" s="5">
        <f>TeamHero生成!F97</f>
        <v>15034</v>
      </c>
      <c r="G97" s="4" t="str">
        <f>TeamHero生成!AG97</f>
        <v>有效</v>
      </c>
      <c r="H97" s="4">
        <f>TeamHero生成!G97</f>
        <v>158334</v>
      </c>
      <c r="I97" s="4">
        <f>TeamHero生成!H97</f>
        <v>4733</v>
      </c>
      <c r="J97" s="4">
        <f>TeamHero生成!I97</f>
        <v>6098</v>
      </c>
    </row>
    <row r="98" ht="14.25" customHeight="1" spans="1:10">
      <c r="A98" s="4">
        <f>TeamHero生成!A98</f>
        <v>94</v>
      </c>
      <c r="B98" s="4">
        <f>TeamHero生成!B98</f>
        <v>1012</v>
      </c>
      <c r="C98" s="4">
        <f>TeamHero生成!C98</f>
        <v>19</v>
      </c>
      <c r="D98" s="5">
        <f>TeamHero生成!D98</f>
        <v>419020</v>
      </c>
      <c r="E98" s="5">
        <f>TeamHero生成!E98</f>
        <v>10109</v>
      </c>
      <c r="F98" s="5">
        <f>TeamHero生成!F98</f>
        <v>15034</v>
      </c>
      <c r="G98" s="4" t="str">
        <f>TeamHero生成!AG98</f>
        <v>有效</v>
      </c>
      <c r="H98" s="4">
        <f>TeamHero生成!G98</f>
        <v>158334</v>
      </c>
      <c r="I98" s="4">
        <f>TeamHero生成!H98</f>
        <v>4733</v>
      </c>
      <c r="J98" s="4">
        <f>TeamHero生成!I98</f>
        <v>6098</v>
      </c>
    </row>
    <row r="99" ht="14.25" customHeight="1" spans="1:10">
      <c r="A99" s="4">
        <f>TeamHero生成!A99</f>
        <v>95</v>
      </c>
      <c r="B99" s="4">
        <f>TeamHero生成!B99</f>
        <v>1036</v>
      </c>
      <c r="C99" s="4">
        <f>TeamHero生成!C99</f>
        <v>19</v>
      </c>
      <c r="D99" s="5">
        <f>TeamHero生成!D99</f>
        <v>335216</v>
      </c>
      <c r="E99" s="5">
        <f>TeamHero生成!E99</f>
        <v>12131</v>
      </c>
      <c r="F99" s="5">
        <f>TeamHero生成!F99</f>
        <v>12027</v>
      </c>
      <c r="G99" s="4" t="str">
        <f>TeamHero生成!AG99</f>
        <v>有效</v>
      </c>
      <c r="H99" s="4">
        <f>TeamHero生成!G99</f>
        <v>126667</v>
      </c>
      <c r="I99" s="4">
        <f>TeamHero生成!H99</f>
        <v>5679</v>
      </c>
      <c r="J99" s="4">
        <f>TeamHero生成!I99</f>
        <v>4878</v>
      </c>
    </row>
    <row r="100" ht="14.25" customHeight="1" spans="1:10">
      <c r="A100" s="4">
        <f>TeamHero生成!A100</f>
        <v>96</v>
      </c>
      <c r="B100" s="4">
        <f>TeamHero生成!B100</f>
        <v>1008</v>
      </c>
      <c r="C100" s="4">
        <f>TeamHero生成!C100</f>
        <v>20</v>
      </c>
      <c r="D100" s="5">
        <f>TeamHero生成!D100</f>
        <v>368736</v>
      </c>
      <c r="E100" s="5">
        <f>TeamHero生成!E100</f>
        <v>12908</v>
      </c>
      <c r="F100" s="5">
        <f>TeamHero生成!F100</f>
        <v>12681</v>
      </c>
      <c r="G100" s="4" t="str">
        <f>TeamHero生成!AG100</f>
        <v>有效</v>
      </c>
      <c r="H100" s="4">
        <f>TeamHero生成!G100</f>
        <v>137188</v>
      </c>
      <c r="I100" s="4">
        <f>TeamHero生成!H100</f>
        <v>5990</v>
      </c>
      <c r="J100" s="4">
        <f>TeamHero生成!I100</f>
        <v>5124</v>
      </c>
    </row>
    <row r="101" ht="14.25" customHeight="1" spans="1:10">
      <c r="A101" s="4">
        <f>TeamHero生成!A101</f>
        <v>97</v>
      </c>
      <c r="B101" s="4">
        <f>TeamHero生成!B101</f>
        <v>1008</v>
      </c>
      <c r="C101" s="4">
        <f>TeamHero生成!C101</f>
        <v>20</v>
      </c>
      <c r="D101" s="5">
        <f>TeamHero生成!D101</f>
        <v>368736</v>
      </c>
      <c r="E101" s="5">
        <f>TeamHero生成!E101</f>
        <v>12908</v>
      </c>
      <c r="F101" s="5">
        <f>TeamHero生成!F101</f>
        <v>12681</v>
      </c>
      <c r="G101" s="4" t="str">
        <f>TeamHero生成!AG101</f>
        <v>有效</v>
      </c>
      <c r="H101" s="4">
        <f>TeamHero生成!G101</f>
        <v>137188</v>
      </c>
      <c r="I101" s="4">
        <f>TeamHero生成!H101</f>
        <v>5990</v>
      </c>
      <c r="J101" s="4">
        <f>TeamHero生成!I101</f>
        <v>5124</v>
      </c>
    </row>
    <row r="102" ht="14.25" customHeight="1" spans="1:10">
      <c r="A102" s="4">
        <f>TeamHero生成!A102</f>
        <v>98</v>
      </c>
      <c r="B102" s="4">
        <f>TeamHero生成!B102</f>
        <v>1008</v>
      </c>
      <c r="C102" s="4">
        <f>TeamHero生成!C102</f>
        <v>20</v>
      </c>
      <c r="D102" s="5">
        <f>TeamHero生成!D102</f>
        <v>368736</v>
      </c>
      <c r="E102" s="5">
        <f>TeamHero生成!E102</f>
        <v>12908</v>
      </c>
      <c r="F102" s="5">
        <f>TeamHero生成!F102</f>
        <v>12681</v>
      </c>
      <c r="G102" s="4" t="str">
        <f>TeamHero生成!AG102</f>
        <v>有效</v>
      </c>
      <c r="H102" s="4">
        <f>TeamHero生成!G102</f>
        <v>137188</v>
      </c>
      <c r="I102" s="4">
        <f>TeamHero生成!H102</f>
        <v>5990</v>
      </c>
      <c r="J102" s="4">
        <f>TeamHero生成!I102</f>
        <v>5124</v>
      </c>
    </row>
    <row r="103" ht="14.25" customHeight="1" spans="1:10">
      <c r="A103" s="4">
        <f>TeamHero生成!A103</f>
        <v>99</v>
      </c>
      <c r="B103" s="4">
        <f>TeamHero生成!B103</f>
        <v>1007</v>
      </c>
      <c r="C103" s="4">
        <f>TeamHero生成!C103</f>
        <v>20</v>
      </c>
      <c r="D103" s="5">
        <f>TeamHero生成!D103</f>
        <v>460920</v>
      </c>
      <c r="E103" s="5">
        <f>TeamHero生成!E103</f>
        <v>10757</v>
      </c>
      <c r="F103" s="5">
        <f>TeamHero生成!F103</f>
        <v>15851</v>
      </c>
      <c r="G103" s="4" t="str">
        <f>TeamHero生成!AG103</f>
        <v>有效</v>
      </c>
      <c r="H103" s="4">
        <f>TeamHero生成!G103</f>
        <v>171486</v>
      </c>
      <c r="I103" s="4">
        <f>TeamHero生成!H103</f>
        <v>4992</v>
      </c>
      <c r="J103" s="4">
        <f>TeamHero生成!I103</f>
        <v>6406</v>
      </c>
    </row>
    <row r="104" ht="14.25" customHeight="1" spans="1:10">
      <c r="A104" s="4">
        <f>TeamHero生成!A104</f>
        <v>100</v>
      </c>
      <c r="B104" s="4">
        <f>TeamHero生成!B104</f>
        <v>1007</v>
      </c>
      <c r="C104" s="4">
        <f>TeamHero生成!C104</f>
        <v>20</v>
      </c>
      <c r="D104" s="5">
        <f>TeamHero生成!D104</f>
        <v>460920</v>
      </c>
      <c r="E104" s="5">
        <f>TeamHero生成!E104</f>
        <v>10757</v>
      </c>
      <c r="F104" s="5">
        <f>TeamHero生成!F104</f>
        <v>15851</v>
      </c>
      <c r="G104" s="4" t="str">
        <f>TeamHero生成!AG104</f>
        <v>有效</v>
      </c>
      <c r="H104" s="4">
        <f>TeamHero生成!G104</f>
        <v>171486</v>
      </c>
      <c r="I104" s="4">
        <f>TeamHero生成!H104</f>
        <v>4992</v>
      </c>
      <c r="J104" s="4">
        <f>TeamHero生成!I104</f>
        <v>6406</v>
      </c>
    </row>
    <row r="105" ht="14.25" customHeight="1" spans="1:10">
      <c r="A105" s="4">
        <f>TeamHero生成!A105</f>
        <v>101</v>
      </c>
      <c r="B105" s="4">
        <f>TeamHero生成!B105</f>
        <v>1038</v>
      </c>
      <c r="C105" s="4">
        <f>TeamHero生成!C105</f>
        <v>20</v>
      </c>
      <c r="D105" s="5">
        <f>TeamHero生成!D105</f>
        <v>606804</v>
      </c>
      <c r="E105" s="5">
        <f>TeamHero生成!E105</f>
        <v>11429</v>
      </c>
      <c r="F105" s="5">
        <f>TeamHero生成!F105</f>
        <v>20021</v>
      </c>
      <c r="G105" s="4" t="str">
        <f>TeamHero生成!AG105</f>
        <v>有效</v>
      </c>
      <c r="H105" s="4">
        <f>TeamHero生成!G105</f>
        <v>222364</v>
      </c>
      <c r="I105" s="4">
        <f>TeamHero生成!H105</f>
        <v>5257</v>
      </c>
      <c r="J105" s="4">
        <f>TeamHero生成!I105</f>
        <v>8062</v>
      </c>
    </row>
    <row r="106" ht="14.25" customHeight="1" spans="1:10">
      <c r="A106" s="4">
        <f>TeamHero生成!A106</f>
        <v>102</v>
      </c>
      <c r="B106" s="4">
        <f>TeamHero生成!B106</f>
        <v>1030</v>
      </c>
      <c r="C106" s="4">
        <f>TeamHero生成!C106</f>
        <v>20</v>
      </c>
      <c r="D106" s="5">
        <f>TeamHero生成!D106</f>
        <v>606804</v>
      </c>
      <c r="E106" s="5">
        <f>TeamHero生成!E106</f>
        <v>11429</v>
      </c>
      <c r="F106" s="5">
        <f>TeamHero生成!F106</f>
        <v>20021</v>
      </c>
      <c r="G106" s="4" t="str">
        <f>TeamHero生成!AG106</f>
        <v>有效</v>
      </c>
      <c r="H106" s="4">
        <f>TeamHero生成!G106</f>
        <v>222364</v>
      </c>
      <c r="I106" s="4">
        <f>TeamHero生成!H106</f>
        <v>5257</v>
      </c>
      <c r="J106" s="4">
        <f>TeamHero生成!I106</f>
        <v>8062</v>
      </c>
    </row>
    <row r="107" ht="14.25" customHeight="1" spans="1:10">
      <c r="A107" s="4">
        <f>TeamHero生成!A107</f>
        <v>103</v>
      </c>
      <c r="B107" s="4">
        <f>TeamHero生成!B107</f>
        <v>1020</v>
      </c>
      <c r="C107" s="4">
        <f>TeamHero生成!C107</f>
        <v>20</v>
      </c>
      <c r="D107" s="5">
        <f>TeamHero生成!D107</f>
        <v>505670</v>
      </c>
      <c r="E107" s="5">
        <f>TeamHero生成!E107</f>
        <v>11429</v>
      </c>
      <c r="F107" s="5">
        <f>TeamHero生成!F107</f>
        <v>16684</v>
      </c>
      <c r="G107" s="4" t="str">
        <f>TeamHero生成!AG107</f>
        <v>有效</v>
      </c>
      <c r="H107" s="4">
        <f>TeamHero生成!G107</f>
        <v>185304</v>
      </c>
      <c r="I107" s="4">
        <f>TeamHero生成!H107</f>
        <v>5257</v>
      </c>
      <c r="J107" s="4">
        <f>TeamHero生成!I107</f>
        <v>6719</v>
      </c>
    </row>
    <row r="108" ht="14.25" customHeight="1" spans="1:10">
      <c r="A108" s="4">
        <f>TeamHero生成!A108</f>
        <v>104</v>
      </c>
      <c r="B108" s="4">
        <f>TeamHero生成!B108</f>
        <v>1036</v>
      </c>
      <c r="C108" s="4">
        <f>TeamHero生成!C108</f>
        <v>20</v>
      </c>
      <c r="D108" s="5">
        <f>TeamHero生成!D108</f>
        <v>404536</v>
      </c>
      <c r="E108" s="5">
        <f>TeamHero生成!E108</f>
        <v>13715</v>
      </c>
      <c r="F108" s="5">
        <f>TeamHero生成!F108</f>
        <v>13347</v>
      </c>
      <c r="G108" s="4" t="str">
        <f>TeamHero生成!AG108</f>
        <v>有效</v>
      </c>
      <c r="H108" s="4">
        <f>TeamHero生成!G108</f>
        <v>148243</v>
      </c>
      <c r="I108" s="4">
        <f>TeamHero生成!H108</f>
        <v>6308</v>
      </c>
      <c r="J108" s="4">
        <f>TeamHero生成!I108</f>
        <v>5375</v>
      </c>
    </row>
    <row r="109" ht="14.25" customHeight="1" spans="1:10">
      <c r="A109" s="4">
        <f>TeamHero生成!A109</f>
        <v>105</v>
      </c>
      <c r="B109" s="4">
        <f>TeamHero生成!B109</f>
        <v>1026</v>
      </c>
      <c r="C109" s="4">
        <f>TeamHero生成!C109</f>
        <v>20</v>
      </c>
      <c r="D109" s="5">
        <f>TeamHero生成!D109</f>
        <v>404536</v>
      </c>
      <c r="E109" s="5">
        <f>TeamHero生成!E109</f>
        <v>13715</v>
      </c>
      <c r="F109" s="5">
        <f>TeamHero生成!F109</f>
        <v>13347</v>
      </c>
      <c r="G109" s="4" t="str">
        <f>TeamHero生成!AG109</f>
        <v>有效</v>
      </c>
      <c r="H109" s="4">
        <f>TeamHero生成!G109</f>
        <v>148243</v>
      </c>
      <c r="I109" s="4">
        <f>TeamHero生成!H109</f>
        <v>6308</v>
      </c>
      <c r="J109" s="4">
        <f>TeamHero生成!I109</f>
        <v>5375</v>
      </c>
    </row>
    <row r="110" ht="14.25" customHeight="1" spans="1:10">
      <c r="A110" s="4">
        <f>TeamHero生成!A110</f>
        <v>106</v>
      </c>
      <c r="B110" s="4">
        <f>TeamHero生成!B110</f>
        <v>1002</v>
      </c>
      <c r="C110" s="4">
        <f>TeamHero生成!C110</f>
        <v>21</v>
      </c>
      <c r="D110" s="5">
        <f>TeamHero生成!D110</f>
        <v>655662</v>
      </c>
      <c r="E110" s="5">
        <f>TeamHero生成!E110</f>
        <v>12023</v>
      </c>
      <c r="F110" s="5">
        <f>TeamHero生成!F110</f>
        <v>20889</v>
      </c>
      <c r="G110" s="4" t="str">
        <f>TeamHero生成!AG110</f>
        <v>有效</v>
      </c>
      <c r="H110" s="4">
        <f>TeamHero生成!G110</f>
        <v>239781</v>
      </c>
      <c r="I110" s="4">
        <f>TeamHero生成!H110</f>
        <v>5527</v>
      </c>
      <c r="J110" s="4">
        <f>TeamHero生成!I110</f>
        <v>8442</v>
      </c>
    </row>
    <row r="111" ht="14.25" customHeight="1" spans="1:10">
      <c r="A111" s="4">
        <f>TeamHero生成!A111</f>
        <v>107</v>
      </c>
      <c r="B111" s="4">
        <f>TeamHero生成!B111</f>
        <v>1002</v>
      </c>
      <c r="C111" s="4">
        <f>TeamHero生成!C111</f>
        <v>21</v>
      </c>
      <c r="D111" s="5">
        <f>TeamHero生成!D111</f>
        <v>655662</v>
      </c>
      <c r="E111" s="5">
        <f>TeamHero生成!E111</f>
        <v>12023</v>
      </c>
      <c r="F111" s="5">
        <f>TeamHero生成!F111</f>
        <v>20889</v>
      </c>
      <c r="G111" s="4" t="str">
        <f>TeamHero生成!AG111</f>
        <v>有效</v>
      </c>
      <c r="H111" s="4">
        <f>TeamHero生成!G111</f>
        <v>239781</v>
      </c>
      <c r="I111" s="4">
        <f>TeamHero生成!H111</f>
        <v>5527</v>
      </c>
      <c r="J111" s="4">
        <f>TeamHero生成!I111</f>
        <v>8442</v>
      </c>
    </row>
    <row r="112" ht="14.25" customHeight="1" spans="1:10">
      <c r="A112" s="4">
        <f>TeamHero生成!A112</f>
        <v>108</v>
      </c>
      <c r="B112" s="4">
        <f>TeamHero生成!B112</f>
        <v>1036</v>
      </c>
      <c r="C112" s="4">
        <f>TeamHero生成!C112</f>
        <v>21</v>
      </c>
      <c r="D112" s="5">
        <f>TeamHero生成!D112</f>
        <v>437108</v>
      </c>
      <c r="E112" s="5">
        <f>TeamHero生成!E112</f>
        <v>14427</v>
      </c>
      <c r="F112" s="5">
        <f>TeamHero生成!F112</f>
        <v>13926</v>
      </c>
      <c r="G112" s="4" t="str">
        <f>TeamHero生成!AG112</f>
        <v>有效</v>
      </c>
      <c r="H112" s="4">
        <f>TeamHero生成!G112</f>
        <v>159854</v>
      </c>
      <c r="I112" s="4">
        <f>TeamHero生成!H112</f>
        <v>6632</v>
      </c>
      <c r="J112" s="4">
        <f>TeamHero生成!I112</f>
        <v>5628</v>
      </c>
    </row>
    <row r="113" ht="14.25" customHeight="1" spans="1:10">
      <c r="A113" s="4">
        <f>TeamHero生成!A113</f>
        <v>109</v>
      </c>
      <c r="B113" s="4">
        <f>TeamHero生成!B113</f>
        <v>1026</v>
      </c>
      <c r="C113" s="4">
        <f>TeamHero生成!C113</f>
        <v>21</v>
      </c>
      <c r="D113" s="5">
        <f>TeamHero生成!D113</f>
        <v>437108</v>
      </c>
      <c r="E113" s="5">
        <f>TeamHero生成!E113</f>
        <v>14427</v>
      </c>
      <c r="F113" s="5">
        <f>TeamHero生成!F113</f>
        <v>13926</v>
      </c>
      <c r="G113" s="4" t="str">
        <f>TeamHero生成!AG113</f>
        <v>有效</v>
      </c>
      <c r="H113" s="4">
        <f>TeamHero生成!G113</f>
        <v>159854</v>
      </c>
      <c r="I113" s="4">
        <f>TeamHero生成!H113</f>
        <v>6632</v>
      </c>
      <c r="J113" s="4">
        <f>TeamHero生成!I113</f>
        <v>5628</v>
      </c>
    </row>
    <row r="114" ht="14.25" customHeight="1" spans="1:10">
      <c r="A114" s="4">
        <f>TeamHero生成!A114</f>
        <v>110</v>
      </c>
      <c r="B114" s="4">
        <f>TeamHero生成!B114</f>
        <v>1014</v>
      </c>
      <c r="C114" s="4">
        <f>TeamHero生成!C114</f>
        <v>21</v>
      </c>
      <c r="D114" s="5">
        <f>TeamHero生成!D114</f>
        <v>437108</v>
      </c>
      <c r="E114" s="5">
        <f>TeamHero生成!E114</f>
        <v>14427</v>
      </c>
      <c r="F114" s="5">
        <f>TeamHero生成!F114</f>
        <v>13926</v>
      </c>
      <c r="G114" s="4" t="str">
        <f>TeamHero生成!AG114</f>
        <v>有效</v>
      </c>
      <c r="H114" s="4">
        <f>TeamHero生成!G114</f>
        <v>159854</v>
      </c>
      <c r="I114" s="4">
        <f>TeamHero生成!H114</f>
        <v>6632</v>
      </c>
      <c r="J114" s="4">
        <f>TeamHero生成!I114</f>
        <v>5628</v>
      </c>
    </row>
    <row r="115" ht="14.25" customHeight="1" spans="1:10">
      <c r="A115" s="4">
        <f>TeamHero生成!A115</f>
        <v>111</v>
      </c>
      <c r="B115" s="4">
        <f>TeamHero生成!B115</f>
        <v>1038</v>
      </c>
      <c r="C115" s="4">
        <f>TeamHero生成!C115</f>
        <v>21</v>
      </c>
      <c r="D115" s="5">
        <f>TeamHero生成!D115</f>
        <v>689742</v>
      </c>
      <c r="E115" s="5">
        <f>TeamHero生成!E115</f>
        <v>12430</v>
      </c>
      <c r="F115" s="5">
        <f>TeamHero生成!F115</f>
        <v>21476</v>
      </c>
      <c r="G115" s="4" t="str">
        <f>TeamHero生成!AG115</f>
        <v>有效</v>
      </c>
      <c r="H115" s="4">
        <f>TeamHero生成!G115</f>
        <v>258062</v>
      </c>
      <c r="I115" s="4">
        <f>TeamHero生成!H115</f>
        <v>5802</v>
      </c>
      <c r="J115" s="4">
        <f>TeamHero生成!I115</f>
        <v>8826</v>
      </c>
    </row>
    <row r="116" ht="14.25" customHeight="1" spans="1:10">
      <c r="A116" s="4">
        <f>TeamHero生成!A116</f>
        <v>112</v>
      </c>
      <c r="B116" s="4">
        <f>TeamHero生成!B116</f>
        <v>1002</v>
      </c>
      <c r="C116" s="4">
        <f>TeamHero生成!C116</f>
        <v>21</v>
      </c>
      <c r="D116" s="5">
        <f>TeamHero生成!D116</f>
        <v>689742</v>
      </c>
      <c r="E116" s="5">
        <f>TeamHero生成!E116</f>
        <v>12430</v>
      </c>
      <c r="F116" s="5">
        <f>TeamHero生成!F116</f>
        <v>21476</v>
      </c>
      <c r="G116" s="4" t="str">
        <f>TeamHero生成!AG116</f>
        <v>有效</v>
      </c>
      <c r="H116" s="4">
        <f>TeamHero生成!G116</f>
        <v>258062</v>
      </c>
      <c r="I116" s="4">
        <f>TeamHero生成!H116</f>
        <v>5802</v>
      </c>
      <c r="J116" s="4">
        <f>TeamHero生成!I116</f>
        <v>8826</v>
      </c>
    </row>
    <row r="117" ht="14.25" customHeight="1" spans="1:10">
      <c r="A117" s="4">
        <f>TeamHero生成!A117</f>
        <v>113</v>
      </c>
      <c r="B117" s="4">
        <f>TeamHero生成!B117</f>
        <v>1020</v>
      </c>
      <c r="C117" s="4">
        <f>TeamHero生成!C117</f>
        <v>21</v>
      </c>
      <c r="D117" s="5">
        <f>TeamHero生成!D117</f>
        <v>574785</v>
      </c>
      <c r="E117" s="5">
        <f>TeamHero生成!E117</f>
        <v>12430</v>
      </c>
      <c r="F117" s="5">
        <f>TeamHero生成!F117</f>
        <v>17896</v>
      </c>
      <c r="G117" s="4" t="str">
        <f>TeamHero生成!AG117</f>
        <v>有效</v>
      </c>
      <c r="H117" s="4">
        <f>TeamHero生成!G117</f>
        <v>215052</v>
      </c>
      <c r="I117" s="4">
        <f>TeamHero生成!H117</f>
        <v>5802</v>
      </c>
      <c r="J117" s="4">
        <f>TeamHero生成!I117</f>
        <v>7355</v>
      </c>
    </row>
    <row r="118" ht="14.25" customHeight="1" spans="1:10">
      <c r="A118" s="4">
        <f>TeamHero生成!A118</f>
        <v>114</v>
      </c>
      <c r="B118" s="4">
        <f>TeamHero生成!B118</f>
        <v>1001</v>
      </c>
      <c r="C118" s="4">
        <f>TeamHero生成!C118</f>
        <v>21</v>
      </c>
      <c r="D118" s="5">
        <f>TeamHero生成!D118</f>
        <v>459828</v>
      </c>
      <c r="E118" s="5">
        <f>TeamHero生成!E118</f>
        <v>14916</v>
      </c>
      <c r="F118" s="5">
        <f>TeamHero生成!F118</f>
        <v>14317</v>
      </c>
      <c r="G118" s="4" t="str">
        <f>TeamHero生成!AG118</f>
        <v>有效</v>
      </c>
      <c r="H118" s="4">
        <f>TeamHero生成!G118</f>
        <v>172041</v>
      </c>
      <c r="I118" s="4">
        <f>TeamHero生成!H118</f>
        <v>6962</v>
      </c>
      <c r="J118" s="4">
        <f>TeamHero生成!I118</f>
        <v>5884</v>
      </c>
    </row>
    <row r="119" ht="14.25" customHeight="1" spans="1:10">
      <c r="A119" s="4">
        <f>TeamHero生成!A119</f>
        <v>115</v>
      </c>
      <c r="B119" s="4">
        <f>TeamHero生成!B119</f>
        <v>1012</v>
      </c>
      <c r="C119" s="4">
        <f>TeamHero生成!C119</f>
        <v>21</v>
      </c>
      <c r="D119" s="5">
        <f>TeamHero生成!D119</f>
        <v>574785</v>
      </c>
      <c r="E119" s="5">
        <f>TeamHero生成!E119</f>
        <v>12430</v>
      </c>
      <c r="F119" s="5">
        <f>TeamHero生成!F119</f>
        <v>17896</v>
      </c>
      <c r="G119" s="4" t="str">
        <f>TeamHero生成!AG119</f>
        <v>有效</v>
      </c>
      <c r="H119" s="4">
        <f>TeamHero生成!G119</f>
        <v>215052</v>
      </c>
      <c r="I119" s="4">
        <f>TeamHero生成!H119</f>
        <v>5802</v>
      </c>
      <c r="J119" s="4">
        <f>TeamHero生成!I119</f>
        <v>7355</v>
      </c>
    </row>
    <row r="120" ht="14.25" customHeight="1" spans="1:10">
      <c r="A120" s="4">
        <f>TeamHero生成!A120</f>
        <v>116</v>
      </c>
      <c r="B120" s="4">
        <f>TeamHero生成!B120</f>
        <v>1002</v>
      </c>
      <c r="C120" s="4">
        <f>TeamHero生成!C120</f>
        <v>22</v>
      </c>
      <c r="D120" s="5">
        <f>TeamHero生成!D120</f>
        <v>752352</v>
      </c>
      <c r="E120" s="5">
        <f>TeamHero生成!E120</f>
        <v>13163</v>
      </c>
      <c r="F120" s="5">
        <f>TeamHero生成!F120</f>
        <v>22514</v>
      </c>
      <c r="G120" s="4" t="str">
        <f>TeamHero生成!AG120</f>
        <v>有效</v>
      </c>
      <c r="H120" s="4">
        <f>TeamHero生成!G120</f>
        <v>277228</v>
      </c>
      <c r="I120" s="4">
        <f>TeamHero生成!H120</f>
        <v>6083</v>
      </c>
      <c r="J120" s="4">
        <f>TeamHero生成!I120</f>
        <v>9213</v>
      </c>
    </row>
    <row r="121" ht="14.25" customHeight="1" spans="1:10">
      <c r="A121" s="4">
        <f>TeamHero生成!A121</f>
        <v>117</v>
      </c>
      <c r="B121" s="4">
        <f>TeamHero生成!B121</f>
        <v>1018</v>
      </c>
      <c r="C121" s="4">
        <f>TeamHero生成!C121</f>
        <v>22</v>
      </c>
      <c r="D121" s="5">
        <f>TeamHero生成!D121</f>
        <v>626960</v>
      </c>
      <c r="E121" s="5">
        <f>TeamHero生成!E121</f>
        <v>13163</v>
      </c>
      <c r="F121" s="5">
        <f>TeamHero生成!F121</f>
        <v>18761</v>
      </c>
      <c r="G121" s="4" t="str">
        <f>TeamHero生成!AG121</f>
        <v>有效</v>
      </c>
      <c r="H121" s="4">
        <f>TeamHero生成!G121</f>
        <v>231024</v>
      </c>
      <c r="I121" s="4">
        <f>TeamHero生成!H121</f>
        <v>6083</v>
      </c>
      <c r="J121" s="4">
        <f>TeamHero生成!I121</f>
        <v>7678</v>
      </c>
    </row>
    <row r="122" ht="14.25" customHeight="1" spans="1:10">
      <c r="A122" s="4">
        <f>TeamHero生成!A122</f>
        <v>118</v>
      </c>
      <c r="B122" s="4">
        <f>TeamHero生成!B122</f>
        <v>1015</v>
      </c>
      <c r="C122" s="4">
        <f>TeamHero生成!C122</f>
        <v>22</v>
      </c>
      <c r="D122" s="5">
        <f>TeamHero生成!D122</f>
        <v>626960</v>
      </c>
      <c r="E122" s="5">
        <f>TeamHero生成!E122</f>
        <v>13163</v>
      </c>
      <c r="F122" s="5">
        <f>TeamHero生成!F122</f>
        <v>18761</v>
      </c>
      <c r="G122" s="4" t="str">
        <f>TeamHero生成!AG122</f>
        <v>有效</v>
      </c>
      <c r="H122" s="4">
        <f>TeamHero生成!G122</f>
        <v>231024</v>
      </c>
      <c r="I122" s="4">
        <f>TeamHero生成!H122</f>
        <v>6083</v>
      </c>
      <c r="J122" s="4">
        <f>TeamHero生成!I122</f>
        <v>7678</v>
      </c>
    </row>
    <row r="123" ht="14.25" customHeight="1" spans="1:10">
      <c r="A123" s="4">
        <f>TeamHero生成!A123</f>
        <v>119</v>
      </c>
      <c r="B123" s="4">
        <f>TeamHero生成!B123</f>
        <v>1018</v>
      </c>
      <c r="C123" s="4">
        <f>TeamHero生成!C123</f>
        <v>22</v>
      </c>
      <c r="D123" s="5">
        <f>TeamHero生成!D123</f>
        <v>626960</v>
      </c>
      <c r="E123" s="5">
        <f>TeamHero生成!E123</f>
        <v>13163</v>
      </c>
      <c r="F123" s="5">
        <f>TeamHero生成!F123</f>
        <v>18761</v>
      </c>
      <c r="G123" s="4" t="str">
        <f>TeamHero生成!AG123</f>
        <v>有效</v>
      </c>
      <c r="H123" s="4">
        <f>TeamHero生成!G123</f>
        <v>231024</v>
      </c>
      <c r="I123" s="4">
        <f>TeamHero生成!H123</f>
        <v>6083</v>
      </c>
      <c r="J123" s="4">
        <f>TeamHero生成!I123</f>
        <v>7678</v>
      </c>
    </row>
    <row r="124" ht="14.25" customHeight="1" spans="1:10">
      <c r="A124" s="4">
        <f>TeamHero生成!A124</f>
        <v>120</v>
      </c>
      <c r="B124" s="4">
        <f>TeamHero生成!B124</f>
        <v>1012</v>
      </c>
      <c r="C124" s="4">
        <f>TeamHero生成!C124</f>
        <v>22</v>
      </c>
      <c r="D124" s="5">
        <f>TeamHero生成!D124</f>
        <v>626960</v>
      </c>
      <c r="E124" s="5">
        <f>TeamHero生成!E124</f>
        <v>13163</v>
      </c>
      <c r="F124" s="5">
        <f>TeamHero生成!F124</f>
        <v>18761</v>
      </c>
      <c r="G124" s="4" t="str">
        <f>TeamHero生成!AG124</f>
        <v>有效</v>
      </c>
      <c r="H124" s="4">
        <f>TeamHero生成!G124</f>
        <v>231024</v>
      </c>
      <c r="I124" s="4">
        <f>TeamHero生成!H124</f>
        <v>6083</v>
      </c>
      <c r="J124" s="4">
        <f>TeamHero生成!I124</f>
        <v>7678</v>
      </c>
    </row>
    <row r="125" ht="14.25" customHeight="1" spans="1:10">
      <c r="A125" s="4">
        <f>TeamHero生成!A125</f>
        <v>121</v>
      </c>
      <c r="B125" s="4">
        <f>TeamHero生成!B125</f>
        <v>1002</v>
      </c>
      <c r="C125" s="4">
        <f>TeamHero生成!C125</f>
        <v>22</v>
      </c>
      <c r="D125" s="5">
        <f>TeamHero生成!D125</f>
        <v>799470</v>
      </c>
      <c r="E125" s="5">
        <f>TeamHero生成!E125</f>
        <v>13702</v>
      </c>
      <c r="F125" s="5">
        <f>TeamHero生成!F125</f>
        <v>23267</v>
      </c>
      <c r="G125" s="4" t="str">
        <f>TeamHero生成!AG125</f>
        <v>有效</v>
      </c>
      <c r="H125" s="4">
        <f>TeamHero生成!G125</f>
        <v>297316</v>
      </c>
      <c r="I125" s="4">
        <f>TeamHero生成!H125</f>
        <v>6370</v>
      </c>
      <c r="J125" s="4">
        <f>TeamHero生成!I125</f>
        <v>9606</v>
      </c>
    </row>
    <row r="126" ht="14.25" customHeight="1" spans="1:10">
      <c r="A126" s="4">
        <f>TeamHero生成!A126</f>
        <v>122</v>
      </c>
      <c r="B126" s="4">
        <f>TeamHero生成!B126</f>
        <v>1014</v>
      </c>
      <c r="C126" s="4">
        <f>TeamHero生成!C126</f>
        <v>22</v>
      </c>
      <c r="D126" s="5">
        <f>TeamHero生成!D126</f>
        <v>532980</v>
      </c>
      <c r="E126" s="5">
        <f>TeamHero生成!E126</f>
        <v>16442</v>
      </c>
      <c r="F126" s="5">
        <f>TeamHero生成!F126</f>
        <v>15511</v>
      </c>
      <c r="G126" s="4" t="str">
        <f>TeamHero生成!AG126</f>
        <v>有效</v>
      </c>
      <c r="H126" s="4">
        <f>TeamHero生成!G126</f>
        <v>198211</v>
      </c>
      <c r="I126" s="4">
        <f>TeamHero生成!H126</f>
        <v>7644</v>
      </c>
      <c r="J126" s="4">
        <f>TeamHero生成!I126</f>
        <v>6404</v>
      </c>
    </row>
    <row r="127" ht="14.25" customHeight="1" spans="1:10">
      <c r="A127" s="4">
        <f>TeamHero生成!A127</f>
        <v>123</v>
      </c>
      <c r="B127" s="4">
        <f>TeamHero生成!B127</f>
        <v>1029</v>
      </c>
      <c r="C127" s="4">
        <f>TeamHero生成!C127</f>
        <v>22</v>
      </c>
      <c r="D127" s="5">
        <f>TeamHero生成!D127</f>
        <v>666225</v>
      </c>
      <c r="E127" s="5">
        <f>TeamHero生成!E127</f>
        <v>13702</v>
      </c>
      <c r="F127" s="5">
        <f>TeamHero生成!F127</f>
        <v>19389</v>
      </c>
      <c r="G127" s="4" t="str">
        <f>TeamHero生成!AG127</f>
        <v>有效</v>
      </c>
      <c r="H127" s="4">
        <f>TeamHero生成!G127</f>
        <v>247764</v>
      </c>
      <c r="I127" s="4">
        <f>TeamHero生成!H127</f>
        <v>6370</v>
      </c>
      <c r="J127" s="4">
        <f>TeamHero生成!I127</f>
        <v>8005</v>
      </c>
    </row>
    <row r="128" ht="14.25" customHeight="1" spans="1:10">
      <c r="A128" s="4">
        <f>TeamHero生成!A128</f>
        <v>124</v>
      </c>
      <c r="B128" s="4">
        <f>TeamHero生成!B128</f>
        <v>1018</v>
      </c>
      <c r="C128" s="4">
        <f>TeamHero生成!C128</f>
        <v>22</v>
      </c>
      <c r="D128" s="5">
        <f>TeamHero生成!D128</f>
        <v>666225</v>
      </c>
      <c r="E128" s="5">
        <f>TeamHero生成!E128</f>
        <v>13702</v>
      </c>
      <c r="F128" s="5">
        <f>TeamHero生成!F128</f>
        <v>19389</v>
      </c>
      <c r="G128" s="4" t="str">
        <f>TeamHero生成!AG128</f>
        <v>有效</v>
      </c>
      <c r="H128" s="4">
        <f>TeamHero生成!G128</f>
        <v>247764</v>
      </c>
      <c r="I128" s="4">
        <f>TeamHero生成!H128</f>
        <v>6370</v>
      </c>
      <c r="J128" s="4">
        <f>TeamHero生成!I128</f>
        <v>8005</v>
      </c>
    </row>
    <row r="129" ht="14.25" customHeight="1" spans="1:10">
      <c r="A129" s="4">
        <f>TeamHero生成!A129</f>
        <v>125</v>
      </c>
      <c r="B129" s="4">
        <f>TeamHero生成!B129</f>
        <v>1012</v>
      </c>
      <c r="C129" s="4">
        <f>TeamHero生成!C129</f>
        <v>22</v>
      </c>
      <c r="D129" s="5">
        <f>TeamHero生成!D129</f>
        <v>666225</v>
      </c>
      <c r="E129" s="5">
        <f>TeamHero生成!E129</f>
        <v>13702</v>
      </c>
      <c r="F129" s="5">
        <f>TeamHero生成!F129</f>
        <v>19389</v>
      </c>
      <c r="G129" s="4" t="str">
        <f>TeamHero生成!AG129</f>
        <v>有效</v>
      </c>
      <c r="H129" s="4">
        <f>TeamHero生成!G129</f>
        <v>247764</v>
      </c>
      <c r="I129" s="4">
        <f>TeamHero生成!H129</f>
        <v>6370</v>
      </c>
      <c r="J129" s="4">
        <f>TeamHero生成!I129</f>
        <v>8005</v>
      </c>
    </row>
    <row r="130" ht="14.25" customHeight="1" spans="1:10">
      <c r="A130" s="4">
        <f>TeamHero生成!A130</f>
        <v>126</v>
      </c>
      <c r="B130" s="4">
        <f>TeamHero生成!B130</f>
        <v>1038</v>
      </c>
      <c r="C130" s="4">
        <f>TeamHero生成!C130</f>
        <v>23</v>
      </c>
      <c r="D130" s="5">
        <f>TeamHero生成!D130</f>
        <v>828726</v>
      </c>
      <c r="E130" s="5">
        <f>TeamHero生成!E130</f>
        <v>14033</v>
      </c>
      <c r="F130" s="5">
        <f>TeamHero生成!F130</f>
        <v>23721</v>
      </c>
      <c r="G130" s="4" t="str">
        <f>TeamHero生成!AG130</f>
        <v>有效</v>
      </c>
      <c r="H130" s="4">
        <f>TeamHero生成!G130</f>
        <v>323748</v>
      </c>
      <c r="I130" s="4">
        <f>TeamHero生成!H130</f>
        <v>6736</v>
      </c>
      <c r="J130" s="4">
        <f>TeamHero生成!I130</f>
        <v>10102</v>
      </c>
    </row>
    <row r="131" ht="14.25" customHeight="1" spans="1:10">
      <c r="A131" s="4">
        <f>TeamHero生成!A131</f>
        <v>127</v>
      </c>
      <c r="B131" s="4">
        <f>TeamHero生成!B131</f>
        <v>1014</v>
      </c>
      <c r="C131" s="4">
        <f>TeamHero生成!C131</f>
        <v>23</v>
      </c>
      <c r="D131" s="5">
        <f>TeamHero生成!D131</f>
        <v>552484</v>
      </c>
      <c r="E131" s="5">
        <f>TeamHero生成!E131</f>
        <v>16839</v>
      </c>
      <c r="F131" s="5">
        <f>TeamHero生成!F131</f>
        <v>15814</v>
      </c>
      <c r="G131" s="4" t="str">
        <f>TeamHero生成!AG131</f>
        <v>有效</v>
      </c>
      <c r="H131" s="4">
        <f>TeamHero生成!G131</f>
        <v>215832</v>
      </c>
      <c r="I131" s="4">
        <f>TeamHero生成!H131</f>
        <v>8083</v>
      </c>
      <c r="J131" s="4">
        <f>TeamHero生成!I131</f>
        <v>6735</v>
      </c>
    </row>
    <row r="132" ht="14.25" customHeight="1" spans="1:10">
      <c r="A132" s="4">
        <f>TeamHero生成!A132</f>
        <v>128</v>
      </c>
      <c r="B132" s="4">
        <f>TeamHero生成!B132</f>
        <v>1021</v>
      </c>
      <c r="C132" s="4">
        <f>TeamHero生成!C132</f>
        <v>23</v>
      </c>
      <c r="D132" s="5">
        <f>TeamHero生成!D132</f>
        <v>552484</v>
      </c>
      <c r="E132" s="5">
        <f>TeamHero生成!E132</f>
        <v>16839</v>
      </c>
      <c r="F132" s="5">
        <f>TeamHero生成!F132</f>
        <v>15814</v>
      </c>
      <c r="G132" s="4" t="str">
        <f>TeamHero生成!AG132</f>
        <v>有效</v>
      </c>
      <c r="H132" s="4">
        <f>TeamHero生成!G132</f>
        <v>215832</v>
      </c>
      <c r="I132" s="4">
        <f>TeamHero生成!H132</f>
        <v>8083</v>
      </c>
      <c r="J132" s="4">
        <f>TeamHero生成!I132</f>
        <v>6735</v>
      </c>
    </row>
    <row r="133" ht="14.25" customHeight="1" spans="1:10">
      <c r="A133" s="4">
        <f>TeamHero生成!A133</f>
        <v>129</v>
      </c>
      <c r="B133" s="4">
        <f>TeamHero生成!B133</f>
        <v>1026</v>
      </c>
      <c r="C133" s="4">
        <f>TeamHero生成!C133</f>
        <v>23</v>
      </c>
      <c r="D133" s="5">
        <f>TeamHero生成!D133</f>
        <v>552484</v>
      </c>
      <c r="E133" s="5">
        <f>TeamHero生成!E133</f>
        <v>16839</v>
      </c>
      <c r="F133" s="5">
        <f>TeamHero生成!F133</f>
        <v>15814</v>
      </c>
      <c r="G133" s="4" t="str">
        <f>TeamHero生成!AG133</f>
        <v>有效</v>
      </c>
      <c r="H133" s="4">
        <f>TeamHero生成!G133</f>
        <v>215832</v>
      </c>
      <c r="I133" s="4">
        <f>TeamHero生成!H133</f>
        <v>8083</v>
      </c>
      <c r="J133" s="4">
        <f>TeamHero生成!I133</f>
        <v>6735</v>
      </c>
    </row>
    <row r="134" ht="14.25" customHeight="1" spans="1:10">
      <c r="A134" s="4">
        <f>TeamHero生成!A134</f>
        <v>130</v>
      </c>
      <c r="B134" s="4">
        <f>TeamHero生成!B134</f>
        <v>1012</v>
      </c>
      <c r="C134" s="4">
        <f>TeamHero生成!C134</f>
        <v>23</v>
      </c>
      <c r="D134" s="5">
        <f>TeamHero生成!D134</f>
        <v>690605</v>
      </c>
      <c r="E134" s="5">
        <f>TeamHero生成!E134</f>
        <v>14033</v>
      </c>
      <c r="F134" s="5">
        <f>TeamHero生成!F134</f>
        <v>19768</v>
      </c>
      <c r="G134" s="4" t="str">
        <f>TeamHero生成!AG134</f>
        <v>有效</v>
      </c>
      <c r="H134" s="4">
        <f>TeamHero生成!G134</f>
        <v>269790</v>
      </c>
      <c r="I134" s="4">
        <f>TeamHero生成!H134</f>
        <v>6736</v>
      </c>
      <c r="J134" s="4">
        <f>TeamHero生成!I134</f>
        <v>8419</v>
      </c>
    </row>
    <row r="135" ht="14.25" customHeight="1" spans="1:10">
      <c r="A135" s="4">
        <f>TeamHero生成!A135</f>
        <v>131</v>
      </c>
      <c r="B135" s="4">
        <f>TeamHero生成!B135</f>
        <v>1038</v>
      </c>
      <c r="C135" s="4">
        <f>TeamHero生成!C135</f>
        <v>23</v>
      </c>
      <c r="D135" s="5">
        <f>TeamHero生成!D135</f>
        <v>889506</v>
      </c>
      <c r="E135" s="5">
        <f>TeamHero生成!E135</f>
        <v>14708</v>
      </c>
      <c r="F135" s="5">
        <f>TeamHero生成!F135</f>
        <v>24641</v>
      </c>
      <c r="G135" s="4" t="str">
        <f>TeamHero生成!AG135</f>
        <v>有效</v>
      </c>
      <c r="H135" s="4">
        <f>TeamHero生成!G135</f>
        <v>345996</v>
      </c>
      <c r="I135" s="4">
        <f>TeamHero生成!H135</f>
        <v>7036</v>
      </c>
      <c r="J135" s="4">
        <f>TeamHero生成!I135</f>
        <v>10504</v>
      </c>
    </row>
    <row r="136" ht="14.25" customHeight="1" spans="1:10">
      <c r="A136" s="4">
        <f>TeamHero生成!A136</f>
        <v>132</v>
      </c>
      <c r="B136" s="4">
        <f>TeamHero生成!B136</f>
        <v>1002</v>
      </c>
      <c r="C136" s="4">
        <f>TeamHero生成!C136</f>
        <v>23</v>
      </c>
      <c r="D136" s="5">
        <f>TeamHero生成!D136</f>
        <v>889506</v>
      </c>
      <c r="E136" s="5">
        <f>TeamHero生成!E136</f>
        <v>14708</v>
      </c>
      <c r="F136" s="5">
        <f>TeamHero生成!F136</f>
        <v>24641</v>
      </c>
      <c r="G136" s="4" t="str">
        <f>TeamHero生成!AG136</f>
        <v>有效</v>
      </c>
      <c r="H136" s="4">
        <f>TeamHero生成!G136</f>
        <v>345996</v>
      </c>
      <c r="I136" s="4">
        <f>TeamHero生成!H136</f>
        <v>7036</v>
      </c>
      <c r="J136" s="4">
        <f>TeamHero生成!I136</f>
        <v>10504</v>
      </c>
    </row>
    <row r="137" ht="14.25" customHeight="1" spans="1:10">
      <c r="A137" s="4">
        <f>TeamHero生成!A137</f>
        <v>133</v>
      </c>
      <c r="B137" s="4">
        <f>TeamHero生成!B137</f>
        <v>1018</v>
      </c>
      <c r="C137" s="4">
        <f>TeamHero生成!C137</f>
        <v>23</v>
      </c>
      <c r="D137" s="5">
        <f>TeamHero生成!D137</f>
        <v>741255</v>
      </c>
      <c r="E137" s="5">
        <f>TeamHero生成!E137</f>
        <v>14708</v>
      </c>
      <c r="F137" s="5">
        <f>TeamHero生成!F137</f>
        <v>20534</v>
      </c>
      <c r="G137" s="4" t="str">
        <f>TeamHero生成!AG137</f>
        <v>有效</v>
      </c>
      <c r="H137" s="4">
        <f>TeamHero生成!G137</f>
        <v>288330</v>
      </c>
      <c r="I137" s="4">
        <f>TeamHero生成!H137</f>
        <v>7036</v>
      </c>
      <c r="J137" s="4">
        <f>TeamHero生成!I137</f>
        <v>8754</v>
      </c>
    </row>
    <row r="138" ht="14.25" customHeight="1" spans="1:10">
      <c r="A138" s="4">
        <f>TeamHero生成!A138</f>
        <v>134</v>
      </c>
      <c r="B138" s="4">
        <f>TeamHero生成!B138</f>
        <v>1021</v>
      </c>
      <c r="C138" s="4">
        <f>TeamHero生成!C138</f>
        <v>23</v>
      </c>
      <c r="D138" s="5">
        <f>TeamHero生成!D138</f>
        <v>593004</v>
      </c>
      <c r="E138" s="5">
        <f>TeamHero生成!E138</f>
        <v>17650</v>
      </c>
      <c r="F138" s="5">
        <f>TeamHero生成!F138</f>
        <v>16427</v>
      </c>
      <c r="G138" s="4" t="str">
        <f>TeamHero生成!AG138</f>
        <v>有效</v>
      </c>
      <c r="H138" s="4">
        <f>TeamHero生成!G138</f>
        <v>230664</v>
      </c>
      <c r="I138" s="4">
        <f>TeamHero生成!H138</f>
        <v>8443</v>
      </c>
      <c r="J138" s="4">
        <f>TeamHero生成!I138</f>
        <v>7003</v>
      </c>
    </row>
    <row r="139" ht="14.25" customHeight="1" spans="1:10">
      <c r="A139" s="4">
        <f>TeamHero生成!A139</f>
        <v>135</v>
      </c>
      <c r="B139" s="4">
        <f>TeamHero生成!B139</f>
        <v>1011</v>
      </c>
      <c r="C139" s="4">
        <f>TeamHero生成!C139</f>
        <v>23</v>
      </c>
      <c r="D139" s="5">
        <f>TeamHero生成!D139</f>
        <v>741255</v>
      </c>
      <c r="E139" s="5">
        <f>TeamHero生成!E139</f>
        <v>14708</v>
      </c>
      <c r="F139" s="5">
        <f>TeamHero生成!F139</f>
        <v>20534</v>
      </c>
      <c r="G139" s="4" t="str">
        <f>TeamHero生成!AG139</f>
        <v>有效</v>
      </c>
      <c r="H139" s="4">
        <f>TeamHero生成!G139</f>
        <v>288330</v>
      </c>
      <c r="I139" s="4">
        <f>TeamHero生成!H139</f>
        <v>7036</v>
      </c>
      <c r="J139" s="4">
        <f>TeamHero生成!I139</f>
        <v>8754</v>
      </c>
    </row>
    <row r="140" ht="14.25" customHeight="1" spans="1:10">
      <c r="A140" s="4">
        <f>TeamHero生成!A140</f>
        <v>136</v>
      </c>
      <c r="B140" s="4">
        <f>TeamHero生成!B140</f>
        <v>1038</v>
      </c>
      <c r="C140" s="4">
        <f>TeamHero生成!C140</f>
        <v>24</v>
      </c>
      <c r="D140" s="5">
        <f>TeamHero生成!D140</f>
        <v>931746</v>
      </c>
      <c r="E140" s="5">
        <f>TeamHero生成!E140</f>
        <v>15172</v>
      </c>
      <c r="F140" s="5">
        <f>TeamHero生成!F140</f>
        <v>25262</v>
      </c>
      <c r="G140" s="4" t="str">
        <f>TeamHero生成!AG140</f>
        <v>有效</v>
      </c>
      <c r="H140" s="4">
        <f>TeamHero生成!G140</f>
        <v>369252</v>
      </c>
      <c r="I140" s="4">
        <f>TeamHero生成!H140</f>
        <v>7342</v>
      </c>
      <c r="J140" s="4">
        <f>TeamHero生成!I140</f>
        <v>10911</v>
      </c>
    </row>
    <row r="141" ht="14.25" customHeight="1" spans="1:10">
      <c r="A141" s="4">
        <f>TeamHero生成!A141</f>
        <v>137</v>
      </c>
      <c r="B141" s="4">
        <f>TeamHero生成!B141</f>
        <v>1030</v>
      </c>
      <c r="C141" s="4">
        <f>TeamHero生成!C141</f>
        <v>24</v>
      </c>
      <c r="D141" s="5">
        <f>TeamHero生成!D141</f>
        <v>931746</v>
      </c>
      <c r="E141" s="5">
        <f>TeamHero生成!E141</f>
        <v>15172</v>
      </c>
      <c r="F141" s="5">
        <f>TeamHero生成!F141</f>
        <v>25262</v>
      </c>
      <c r="G141" s="4" t="str">
        <f>TeamHero生成!AG141</f>
        <v>有效</v>
      </c>
      <c r="H141" s="4">
        <f>TeamHero生成!G141</f>
        <v>369252</v>
      </c>
      <c r="I141" s="4">
        <f>TeamHero生成!H141</f>
        <v>7342</v>
      </c>
      <c r="J141" s="4">
        <f>TeamHero生成!I141</f>
        <v>10911</v>
      </c>
    </row>
    <row r="142" ht="14.25" customHeight="1" spans="1:10">
      <c r="A142" s="4">
        <f>TeamHero生成!A142</f>
        <v>138</v>
      </c>
      <c r="B142" s="4">
        <f>TeamHero生成!B142</f>
        <v>1002</v>
      </c>
      <c r="C142" s="4">
        <f>TeamHero生成!C142</f>
        <v>24</v>
      </c>
      <c r="D142" s="5">
        <f>TeamHero生成!D142</f>
        <v>931746</v>
      </c>
      <c r="E142" s="5">
        <f>TeamHero生成!E142</f>
        <v>15172</v>
      </c>
      <c r="F142" s="5">
        <f>TeamHero生成!F142</f>
        <v>25262</v>
      </c>
      <c r="G142" s="4" t="str">
        <f>TeamHero生成!AG142</f>
        <v>有效</v>
      </c>
      <c r="H142" s="4">
        <f>TeamHero生成!G142</f>
        <v>369252</v>
      </c>
      <c r="I142" s="4">
        <f>TeamHero生成!H142</f>
        <v>7342</v>
      </c>
      <c r="J142" s="4">
        <f>TeamHero生成!I142</f>
        <v>10911</v>
      </c>
    </row>
    <row r="143" ht="14.25" customHeight="1" spans="1:10">
      <c r="A143" s="4">
        <f>TeamHero生成!A143</f>
        <v>139</v>
      </c>
      <c r="B143" s="4">
        <f>TeamHero生成!B143</f>
        <v>1014</v>
      </c>
      <c r="C143" s="4">
        <f>TeamHero生成!C143</f>
        <v>24</v>
      </c>
      <c r="D143" s="5">
        <f>TeamHero生成!D143</f>
        <v>621164</v>
      </c>
      <c r="E143" s="5">
        <f>TeamHero生成!E143</f>
        <v>18206</v>
      </c>
      <c r="F143" s="5">
        <f>TeamHero生成!F143</f>
        <v>16841</v>
      </c>
      <c r="G143" s="4" t="str">
        <f>TeamHero生成!AG143</f>
        <v>有效</v>
      </c>
      <c r="H143" s="4">
        <f>TeamHero生成!G143</f>
        <v>246168</v>
      </c>
      <c r="I143" s="4">
        <f>TeamHero生成!H143</f>
        <v>8810</v>
      </c>
      <c r="J143" s="4">
        <f>TeamHero生成!I143</f>
        <v>7274</v>
      </c>
    </row>
    <row r="144" ht="14.25" customHeight="1" spans="1:10">
      <c r="A144" s="4">
        <f>TeamHero生成!A144</f>
        <v>140</v>
      </c>
      <c r="B144" s="4">
        <f>TeamHero生成!B144</f>
        <v>1021</v>
      </c>
      <c r="C144" s="4">
        <f>TeamHero生成!C144</f>
        <v>24</v>
      </c>
      <c r="D144" s="5">
        <f>TeamHero生成!D144</f>
        <v>621164</v>
      </c>
      <c r="E144" s="5">
        <f>TeamHero生成!E144</f>
        <v>18206</v>
      </c>
      <c r="F144" s="5">
        <f>TeamHero生成!F144</f>
        <v>16841</v>
      </c>
      <c r="G144" s="4" t="str">
        <f>TeamHero生成!AG144</f>
        <v>有效</v>
      </c>
      <c r="H144" s="4">
        <f>TeamHero生成!G144</f>
        <v>246168</v>
      </c>
      <c r="I144" s="4">
        <f>TeamHero生成!H144</f>
        <v>8810</v>
      </c>
      <c r="J144" s="4">
        <f>TeamHero生成!I144</f>
        <v>7274</v>
      </c>
    </row>
    <row r="145" ht="14.25" customHeight="1" spans="1:10">
      <c r="A145" s="4">
        <f>TeamHero生成!A145</f>
        <v>141</v>
      </c>
      <c r="B145" s="4">
        <f>TeamHero生成!B145</f>
        <v>1038</v>
      </c>
      <c r="C145" s="4">
        <f>TeamHero生成!C145</f>
        <v>24</v>
      </c>
      <c r="D145" s="5">
        <f>TeamHero生成!D145</f>
        <v>986538</v>
      </c>
      <c r="E145" s="5">
        <f>TeamHero生成!E145</f>
        <v>15764</v>
      </c>
      <c r="F145" s="5">
        <f>TeamHero生成!F145</f>
        <v>26045</v>
      </c>
      <c r="G145" s="4" t="str">
        <f>TeamHero生成!AG145</f>
        <v>有效</v>
      </c>
      <c r="H145" s="4">
        <f>TeamHero生成!G145</f>
        <v>393537</v>
      </c>
      <c r="I145" s="4">
        <f>TeamHero生成!H145</f>
        <v>7652</v>
      </c>
      <c r="J145" s="4">
        <f>TeamHero生成!I145</f>
        <v>11322</v>
      </c>
    </row>
    <row r="146" ht="14.25" customHeight="1" spans="1:10">
      <c r="A146" s="4">
        <f>TeamHero生成!A146</f>
        <v>142</v>
      </c>
      <c r="B146" s="4">
        <f>TeamHero生成!B146</f>
        <v>1038</v>
      </c>
      <c r="C146" s="4">
        <f>TeamHero生成!C146</f>
        <v>24</v>
      </c>
      <c r="D146" s="5">
        <f>TeamHero生成!D146</f>
        <v>986538</v>
      </c>
      <c r="E146" s="5">
        <f>TeamHero生成!E146</f>
        <v>15764</v>
      </c>
      <c r="F146" s="5">
        <f>TeamHero生成!F146</f>
        <v>26045</v>
      </c>
      <c r="G146" s="4" t="str">
        <f>TeamHero生成!AG146</f>
        <v>有效</v>
      </c>
      <c r="H146" s="4">
        <f>TeamHero生成!G146</f>
        <v>393537</v>
      </c>
      <c r="I146" s="4">
        <f>TeamHero生成!H146</f>
        <v>7652</v>
      </c>
      <c r="J146" s="4">
        <f>TeamHero生成!I146</f>
        <v>11322</v>
      </c>
    </row>
    <row r="147" ht="14.25" customHeight="1" spans="1:10">
      <c r="A147" s="4">
        <f>TeamHero生成!A147</f>
        <v>143</v>
      </c>
      <c r="B147" s="4">
        <f>TeamHero生成!B147</f>
        <v>1014</v>
      </c>
      <c r="C147" s="4">
        <f>TeamHero生成!C147</f>
        <v>24</v>
      </c>
      <c r="D147" s="5">
        <f>TeamHero生成!D147</f>
        <v>657692</v>
      </c>
      <c r="E147" s="5">
        <f>TeamHero生成!E147</f>
        <v>18917</v>
      </c>
      <c r="F147" s="5">
        <f>TeamHero生成!F147</f>
        <v>17363</v>
      </c>
      <c r="G147" s="4" t="str">
        <f>TeamHero生成!AG147</f>
        <v>有效</v>
      </c>
      <c r="H147" s="4">
        <f>TeamHero生成!G147</f>
        <v>262358</v>
      </c>
      <c r="I147" s="4">
        <f>TeamHero生成!H147</f>
        <v>9182</v>
      </c>
      <c r="J147" s="4">
        <f>TeamHero生成!I147</f>
        <v>7548</v>
      </c>
    </row>
    <row r="148" ht="14.25" customHeight="1" spans="1:10">
      <c r="A148" s="4">
        <f>TeamHero生成!A148</f>
        <v>144</v>
      </c>
      <c r="B148" s="4">
        <f>TeamHero生成!B148</f>
        <v>1021</v>
      </c>
      <c r="C148" s="4">
        <f>TeamHero生成!C148</f>
        <v>24</v>
      </c>
      <c r="D148" s="5">
        <f>TeamHero生成!D148</f>
        <v>657692</v>
      </c>
      <c r="E148" s="5">
        <f>TeamHero生成!E148</f>
        <v>18917</v>
      </c>
      <c r="F148" s="5">
        <f>TeamHero生成!F148</f>
        <v>17363</v>
      </c>
      <c r="G148" s="4" t="str">
        <f>TeamHero生成!AG148</f>
        <v>有效</v>
      </c>
      <c r="H148" s="4">
        <f>TeamHero生成!G148</f>
        <v>262358</v>
      </c>
      <c r="I148" s="4">
        <f>TeamHero生成!H148</f>
        <v>9182</v>
      </c>
      <c r="J148" s="4">
        <f>TeamHero生成!I148</f>
        <v>7548</v>
      </c>
    </row>
    <row r="149" ht="14.25" customHeight="1" spans="1:10">
      <c r="A149" s="4">
        <f>TeamHero生成!A149</f>
        <v>145</v>
      </c>
      <c r="B149" s="4">
        <f>TeamHero生成!B149</f>
        <v>1026</v>
      </c>
      <c r="C149" s="4">
        <f>TeamHero生成!C149</f>
        <v>24</v>
      </c>
      <c r="D149" s="5">
        <f>TeamHero生成!D149</f>
        <v>657692</v>
      </c>
      <c r="E149" s="5">
        <f>TeamHero生成!E149</f>
        <v>18917</v>
      </c>
      <c r="F149" s="5">
        <f>TeamHero生成!F149</f>
        <v>17363</v>
      </c>
      <c r="G149" s="4" t="str">
        <f>TeamHero生成!AG149</f>
        <v>有效</v>
      </c>
      <c r="H149" s="4">
        <f>TeamHero生成!G149</f>
        <v>262358</v>
      </c>
      <c r="I149" s="4">
        <f>TeamHero生成!H149</f>
        <v>9182</v>
      </c>
      <c r="J149" s="4">
        <f>TeamHero生成!I149</f>
        <v>7548</v>
      </c>
    </row>
    <row r="150" ht="14.25" customHeight="1" spans="1:10">
      <c r="A150" s="4">
        <f>TeamHero生成!A150</f>
        <v>146</v>
      </c>
      <c r="B150" s="4">
        <f>TeamHero生成!B150</f>
        <v>1030</v>
      </c>
      <c r="C150" s="4">
        <f>TeamHero生成!C150</f>
        <v>25</v>
      </c>
      <c r="D150" s="5">
        <f>TeamHero生成!D150</f>
        <v>1031994</v>
      </c>
      <c r="E150" s="5">
        <f>TeamHero生成!E150</f>
        <v>16249</v>
      </c>
      <c r="F150" s="5">
        <f>TeamHero生成!F150</f>
        <v>26676</v>
      </c>
      <c r="G150" s="4" t="str">
        <f>TeamHero生成!AG150</f>
        <v>有效</v>
      </c>
      <c r="H150" s="4">
        <f>TeamHero生成!G150</f>
        <v>418896</v>
      </c>
      <c r="I150" s="4">
        <f>TeamHero生成!H150</f>
        <v>7970</v>
      </c>
      <c r="J150" s="4">
        <f>TeamHero生成!I150</f>
        <v>11738</v>
      </c>
    </row>
    <row r="151" ht="14.25" customHeight="1" spans="1:10">
      <c r="A151" s="4">
        <f>TeamHero生成!A151</f>
        <v>147</v>
      </c>
      <c r="B151" s="4">
        <f>TeamHero生成!B151</f>
        <v>1001</v>
      </c>
      <c r="C151" s="4">
        <f>TeamHero生成!C151</f>
        <v>25</v>
      </c>
      <c r="D151" s="5">
        <f>TeamHero生成!D151</f>
        <v>687996</v>
      </c>
      <c r="E151" s="5">
        <f>TeamHero生成!E151</f>
        <v>19499</v>
      </c>
      <c r="F151" s="5">
        <f>TeamHero生成!F151</f>
        <v>17784</v>
      </c>
      <c r="G151" s="4" t="str">
        <f>TeamHero生成!AG151</f>
        <v>有效</v>
      </c>
      <c r="H151" s="4">
        <f>TeamHero生成!G151</f>
        <v>279264</v>
      </c>
      <c r="I151" s="4">
        <f>TeamHero生成!H151</f>
        <v>9564</v>
      </c>
      <c r="J151" s="4">
        <f>TeamHero生成!I151</f>
        <v>7825</v>
      </c>
    </row>
    <row r="152" ht="14.25" customHeight="1" spans="1:10">
      <c r="A152" s="4">
        <f>TeamHero生成!A152</f>
        <v>148</v>
      </c>
      <c r="B152" s="4">
        <f>TeamHero生成!B152</f>
        <v>1021</v>
      </c>
      <c r="C152" s="4">
        <f>TeamHero生成!C152</f>
        <v>25</v>
      </c>
      <c r="D152" s="5">
        <f>TeamHero生成!D152</f>
        <v>687996</v>
      </c>
      <c r="E152" s="5">
        <f>TeamHero生成!E152</f>
        <v>19499</v>
      </c>
      <c r="F152" s="5">
        <f>TeamHero生成!F152</f>
        <v>17784</v>
      </c>
      <c r="G152" s="4" t="str">
        <f>TeamHero生成!AG152</f>
        <v>有效</v>
      </c>
      <c r="H152" s="4">
        <f>TeamHero生成!G152</f>
        <v>279264</v>
      </c>
      <c r="I152" s="4">
        <f>TeamHero生成!H152</f>
        <v>9564</v>
      </c>
      <c r="J152" s="4">
        <f>TeamHero生成!I152</f>
        <v>7825</v>
      </c>
    </row>
    <row r="153" ht="14.25" customHeight="1" spans="1:10">
      <c r="A153" s="4">
        <f>TeamHero生成!A153</f>
        <v>149</v>
      </c>
      <c r="B153" s="4">
        <f>TeamHero生成!B153</f>
        <v>1020</v>
      </c>
      <c r="C153" s="4">
        <f>TeamHero生成!C153</f>
        <v>25</v>
      </c>
      <c r="D153" s="5">
        <f>TeamHero生成!D153</f>
        <v>859995</v>
      </c>
      <c r="E153" s="5">
        <f>TeamHero生成!E153</f>
        <v>16249</v>
      </c>
      <c r="F153" s="5">
        <f>TeamHero生成!F153</f>
        <v>22230</v>
      </c>
      <c r="G153" s="4" t="str">
        <f>TeamHero生成!AG153</f>
        <v>有效</v>
      </c>
      <c r="H153" s="4">
        <f>TeamHero生成!G153</f>
        <v>349080</v>
      </c>
      <c r="I153" s="4">
        <f>TeamHero生成!H153</f>
        <v>7970</v>
      </c>
      <c r="J153" s="4">
        <f>TeamHero生成!I153</f>
        <v>9782</v>
      </c>
    </row>
    <row r="154" ht="14.25" customHeight="1" spans="1:10">
      <c r="A154" s="4">
        <f>TeamHero生成!A154</f>
        <v>150</v>
      </c>
      <c r="B154" s="4">
        <f>TeamHero生成!B154</f>
        <v>1011</v>
      </c>
      <c r="C154" s="4">
        <f>TeamHero生成!C154</f>
        <v>25</v>
      </c>
      <c r="D154" s="5">
        <f>TeamHero生成!D154</f>
        <v>859995</v>
      </c>
      <c r="E154" s="5">
        <f>TeamHero生成!E154</f>
        <v>16249</v>
      </c>
      <c r="F154" s="5">
        <f>TeamHero生成!F154</f>
        <v>22230</v>
      </c>
      <c r="G154" s="4" t="str">
        <f>TeamHero生成!AG154</f>
        <v>有效</v>
      </c>
      <c r="H154" s="4">
        <f>TeamHero生成!G154</f>
        <v>349080</v>
      </c>
      <c r="I154" s="4">
        <f>TeamHero生成!H154</f>
        <v>7970</v>
      </c>
      <c r="J154" s="4">
        <f>TeamHero生成!I154</f>
        <v>9782</v>
      </c>
    </row>
    <row r="155" ht="14.25" customHeight="1" spans="1:10">
      <c r="A155" s="4">
        <f>TeamHero生成!A155</f>
        <v>151</v>
      </c>
      <c r="B155" s="4">
        <f>TeamHero生成!B155</f>
        <v>1030</v>
      </c>
      <c r="C155" s="4">
        <f>TeamHero生成!C155</f>
        <v>25</v>
      </c>
      <c r="D155" s="5">
        <f>TeamHero生成!D155</f>
        <v>1078938</v>
      </c>
      <c r="E155" s="5">
        <f>TeamHero生成!E155</f>
        <v>16745</v>
      </c>
      <c r="F155" s="5">
        <f>TeamHero生成!F155</f>
        <v>27315</v>
      </c>
      <c r="G155" s="4" t="str">
        <f>TeamHero生成!AG155</f>
        <v>有效</v>
      </c>
      <c r="H155" s="4">
        <f>TeamHero生成!G155</f>
        <v>445348</v>
      </c>
      <c r="I155" s="4">
        <f>TeamHero生成!H155</f>
        <v>8296</v>
      </c>
      <c r="J155" s="4">
        <f>TeamHero生成!I155</f>
        <v>12157</v>
      </c>
    </row>
    <row r="156" ht="14.25" customHeight="1" spans="1:10">
      <c r="A156" s="4">
        <f>TeamHero生成!A156</f>
        <v>152</v>
      </c>
      <c r="B156" s="4">
        <f>TeamHero生成!B156</f>
        <v>1035</v>
      </c>
      <c r="C156" s="4">
        <f>TeamHero生成!C156</f>
        <v>25</v>
      </c>
      <c r="D156" s="5">
        <f>TeamHero生成!D156</f>
        <v>719292</v>
      </c>
      <c r="E156" s="5">
        <f>TeamHero生成!E156</f>
        <v>20094</v>
      </c>
      <c r="F156" s="5">
        <f>TeamHero生成!F156</f>
        <v>18210</v>
      </c>
      <c r="G156" s="4" t="str">
        <f>TeamHero生成!AG156</f>
        <v>有效</v>
      </c>
      <c r="H156" s="4">
        <f>TeamHero生成!G156</f>
        <v>296899</v>
      </c>
      <c r="I156" s="4">
        <f>TeamHero生成!H156</f>
        <v>9955</v>
      </c>
      <c r="J156" s="4">
        <f>TeamHero生成!I156</f>
        <v>8104</v>
      </c>
    </row>
    <row r="157" ht="14.25" customHeight="1" spans="1:10">
      <c r="A157" s="4">
        <f>TeamHero生成!A157</f>
        <v>153</v>
      </c>
      <c r="B157" s="4">
        <f>TeamHero生成!B157</f>
        <v>1026</v>
      </c>
      <c r="C157" s="4">
        <f>TeamHero生成!C157</f>
        <v>25</v>
      </c>
      <c r="D157" s="5">
        <f>TeamHero生成!D157</f>
        <v>719292</v>
      </c>
      <c r="E157" s="5">
        <f>TeamHero生成!E157</f>
        <v>20094</v>
      </c>
      <c r="F157" s="5">
        <f>TeamHero生成!F157</f>
        <v>18210</v>
      </c>
      <c r="G157" s="4" t="str">
        <f>TeamHero生成!AG157</f>
        <v>有效</v>
      </c>
      <c r="H157" s="4">
        <f>TeamHero生成!G157</f>
        <v>296899</v>
      </c>
      <c r="I157" s="4">
        <f>TeamHero生成!H157</f>
        <v>9955</v>
      </c>
      <c r="J157" s="4">
        <f>TeamHero生成!I157</f>
        <v>8104</v>
      </c>
    </row>
    <row r="158" ht="14.25" customHeight="1" spans="1:10">
      <c r="A158" s="4">
        <f>TeamHero生成!A158</f>
        <v>154</v>
      </c>
      <c r="B158" s="4">
        <f>TeamHero生成!B158</f>
        <v>1011</v>
      </c>
      <c r="C158" s="4">
        <f>TeamHero生成!C158</f>
        <v>25</v>
      </c>
      <c r="D158" s="5">
        <f>TeamHero生成!D158</f>
        <v>899115</v>
      </c>
      <c r="E158" s="5">
        <f>TeamHero生成!E158</f>
        <v>16745</v>
      </c>
      <c r="F158" s="5">
        <f>TeamHero生成!F158</f>
        <v>22763</v>
      </c>
      <c r="G158" s="4" t="str">
        <f>TeamHero生成!AG158</f>
        <v>有效</v>
      </c>
      <c r="H158" s="4">
        <f>TeamHero生成!G158</f>
        <v>371124</v>
      </c>
      <c r="I158" s="4">
        <f>TeamHero生成!H158</f>
        <v>8296</v>
      </c>
      <c r="J158" s="4">
        <f>TeamHero生成!I158</f>
        <v>10131</v>
      </c>
    </row>
    <row r="159" ht="14.25" customHeight="1" spans="1:10">
      <c r="A159" s="4">
        <f>TeamHero生成!A159</f>
        <v>155</v>
      </c>
      <c r="B159" s="4">
        <f>TeamHero生成!B159</f>
        <v>1023</v>
      </c>
      <c r="C159" s="4">
        <f>TeamHero生成!C159</f>
        <v>25</v>
      </c>
      <c r="D159" s="5">
        <f>TeamHero生成!D159</f>
        <v>899115</v>
      </c>
      <c r="E159" s="5">
        <f>TeamHero生成!E159</f>
        <v>16745</v>
      </c>
      <c r="F159" s="5">
        <f>TeamHero生成!F159</f>
        <v>22763</v>
      </c>
      <c r="G159" s="4" t="str">
        <f>TeamHero生成!AG159</f>
        <v>有效</v>
      </c>
      <c r="H159" s="4">
        <f>TeamHero生成!G159</f>
        <v>371124</v>
      </c>
      <c r="I159" s="4">
        <f>TeamHero生成!H159</f>
        <v>8296</v>
      </c>
      <c r="J159" s="4">
        <f>TeamHero生成!I159</f>
        <v>10131</v>
      </c>
    </row>
    <row r="160" ht="14.25" customHeight="1" spans="1:10">
      <c r="A160" s="4">
        <f>TeamHero生成!A160</f>
        <v>156</v>
      </c>
      <c r="B160" s="4">
        <f>TeamHero生成!B160</f>
        <v>1002</v>
      </c>
      <c r="C160" s="4">
        <f>TeamHero生成!C160</f>
        <v>26</v>
      </c>
      <c r="D160" s="5">
        <f>TeamHero生成!D160</f>
        <v>1115130</v>
      </c>
      <c r="E160" s="5">
        <f>TeamHero生成!E160</f>
        <v>17123</v>
      </c>
      <c r="F160" s="5">
        <f>TeamHero生成!F160</f>
        <v>27797</v>
      </c>
      <c r="G160" s="4" t="str">
        <f>TeamHero生成!AG160</f>
        <v>有效</v>
      </c>
      <c r="H160" s="4">
        <f>TeamHero生成!G160</f>
        <v>472932</v>
      </c>
      <c r="I160" s="4">
        <f>TeamHero生成!H160</f>
        <v>8626</v>
      </c>
      <c r="J160" s="4">
        <f>TeamHero生成!I160</f>
        <v>12582</v>
      </c>
    </row>
    <row r="161" ht="14.25" customHeight="1" spans="1:10">
      <c r="A161" s="4">
        <f>TeamHero生成!A161</f>
        <v>157</v>
      </c>
      <c r="B161" s="4">
        <f>TeamHero生成!B161</f>
        <v>1023</v>
      </c>
      <c r="C161" s="4">
        <f>TeamHero生成!C161</f>
        <v>26</v>
      </c>
      <c r="D161" s="5">
        <f>TeamHero生成!D161</f>
        <v>929275</v>
      </c>
      <c r="E161" s="5">
        <f>TeamHero生成!E161</f>
        <v>17123</v>
      </c>
      <c r="F161" s="5">
        <f>TeamHero生成!F161</f>
        <v>23164</v>
      </c>
      <c r="G161" s="4" t="str">
        <f>TeamHero生成!AG161</f>
        <v>有效</v>
      </c>
      <c r="H161" s="4">
        <f>TeamHero生成!G161</f>
        <v>394110</v>
      </c>
      <c r="I161" s="4">
        <f>TeamHero生成!H161</f>
        <v>8626</v>
      </c>
      <c r="J161" s="4">
        <f>TeamHero生成!I161</f>
        <v>10485</v>
      </c>
    </row>
    <row r="162" ht="14.25" customHeight="1" spans="1:10">
      <c r="A162" s="4">
        <f>TeamHero生成!A162</f>
        <v>158</v>
      </c>
      <c r="B162" s="4">
        <f>TeamHero生成!B162</f>
        <v>1001</v>
      </c>
      <c r="C162" s="4">
        <f>TeamHero生成!C162</f>
        <v>26</v>
      </c>
      <c r="D162" s="5">
        <f>TeamHero生成!D162</f>
        <v>743420</v>
      </c>
      <c r="E162" s="5">
        <f>TeamHero生成!E162</f>
        <v>20547</v>
      </c>
      <c r="F162" s="5">
        <f>TeamHero生成!F162</f>
        <v>18531</v>
      </c>
      <c r="G162" s="4" t="str">
        <f>TeamHero生成!AG162</f>
        <v>有效</v>
      </c>
      <c r="H162" s="4">
        <f>TeamHero生成!G162</f>
        <v>315288</v>
      </c>
      <c r="I162" s="4">
        <f>TeamHero生成!H162</f>
        <v>10351</v>
      </c>
      <c r="J162" s="4">
        <f>TeamHero生成!I162</f>
        <v>8388</v>
      </c>
    </row>
    <row r="163" ht="14.25" customHeight="1" spans="1:10">
      <c r="A163" s="4">
        <f>TeamHero生成!A163</f>
        <v>159</v>
      </c>
      <c r="B163" s="4">
        <f>TeamHero生成!B163</f>
        <v>1023</v>
      </c>
      <c r="C163" s="4">
        <f>TeamHero生成!C163</f>
        <v>26</v>
      </c>
      <c r="D163" s="5">
        <f>TeamHero生成!D163</f>
        <v>929275</v>
      </c>
      <c r="E163" s="5">
        <f>TeamHero生成!E163</f>
        <v>17123</v>
      </c>
      <c r="F163" s="5">
        <f>TeamHero生成!F163</f>
        <v>23164</v>
      </c>
      <c r="G163" s="4" t="str">
        <f>TeamHero生成!AG163</f>
        <v>有效</v>
      </c>
      <c r="H163" s="4">
        <f>TeamHero生成!G163</f>
        <v>394110</v>
      </c>
      <c r="I163" s="4">
        <f>TeamHero生成!H163</f>
        <v>8626</v>
      </c>
      <c r="J163" s="4">
        <f>TeamHero生成!I163</f>
        <v>10485</v>
      </c>
    </row>
    <row r="164" ht="14.25" customHeight="1" spans="1:10">
      <c r="A164" s="4">
        <f>TeamHero生成!A164</f>
        <v>160</v>
      </c>
      <c r="B164" s="4">
        <f>TeamHero生成!B164</f>
        <v>1011</v>
      </c>
      <c r="C164" s="4">
        <f>TeamHero生成!C164</f>
        <v>26</v>
      </c>
      <c r="D164" s="5">
        <f>TeamHero生成!D164</f>
        <v>929275</v>
      </c>
      <c r="E164" s="5">
        <f>TeamHero生成!E164</f>
        <v>17123</v>
      </c>
      <c r="F164" s="5">
        <f>TeamHero生成!F164</f>
        <v>23164</v>
      </c>
      <c r="G164" s="4" t="str">
        <f>TeamHero生成!AG164</f>
        <v>有效</v>
      </c>
      <c r="H164" s="4">
        <f>TeamHero生成!G164</f>
        <v>394110</v>
      </c>
      <c r="I164" s="4">
        <f>TeamHero生成!H164</f>
        <v>8626</v>
      </c>
      <c r="J164" s="4">
        <f>TeamHero生成!I164</f>
        <v>10485</v>
      </c>
    </row>
    <row r="165" ht="14.25" customHeight="1" spans="1:10">
      <c r="A165" s="4">
        <f>TeamHero生成!A165</f>
        <v>161</v>
      </c>
      <c r="B165" s="4">
        <f>TeamHero生成!B165</f>
        <v>1002</v>
      </c>
      <c r="C165" s="4">
        <f>TeamHero生成!C165</f>
        <v>26</v>
      </c>
      <c r="D165" s="5">
        <f>TeamHero生成!D165</f>
        <v>1164732</v>
      </c>
      <c r="E165" s="5">
        <f>TeamHero生成!E165</f>
        <v>17638</v>
      </c>
      <c r="F165" s="5">
        <f>TeamHero生成!F165</f>
        <v>28445</v>
      </c>
      <c r="G165" s="4" t="str">
        <f>TeamHero生成!AG165</f>
        <v>有效</v>
      </c>
      <c r="H165" s="4">
        <f>TeamHero生成!G165</f>
        <v>501660</v>
      </c>
      <c r="I165" s="4">
        <f>TeamHero生成!H165</f>
        <v>8964</v>
      </c>
      <c r="J165" s="4">
        <f>TeamHero生成!I165</f>
        <v>13010</v>
      </c>
    </row>
    <row r="166" ht="14.25" customHeight="1" spans="1:10">
      <c r="A166" s="4">
        <f>TeamHero生成!A166</f>
        <v>162</v>
      </c>
      <c r="B166" s="4">
        <f>TeamHero生成!B166</f>
        <v>1001</v>
      </c>
      <c r="C166" s="4">
        <f>TeamHero生成!C166</f>
        <v>26</v>
      </c>
      <c r="D166" s="5">
        <f>TeamHero生成!D166</f>
        <v>776488</v>
      </c>
      <c r="E166" s="5">
        <f>TeamHero生成!E166</f>
        <v>21165</v>
      </c>
      <c r="F166" s="5">
        <f>TeamHero生成!F166</f>
        <v>18963</v>
      </c>
      <c r="G166" s="4" t="str">
        <f>TeamHero生成!AG166</f>
        <v>有效</v>
      </c>
      <c r="H166" s="4">
        <f>TeamHero生成!G166</f>
        <v>334440</v>
      </c>
      <c r="I166" s="4">
        <f>TeamHero生成!H166</f>
        <v>10756</v>
      </c>
      <c r="J166" s="4">
        <f>TeamHero生成!I166</f>
        <v>8673</v>
      </c>
    </row>
    <row r="167" ht="14.25" customHeight="1" spans="1:10">
      <c r="A167" s="4">
        <f>TeamHero生成!A167</f>
        <v>163</v>
      </c>
      <c r="B167" s="4">
        <f>TeamHero生成!B167</f>
        <v>1035</v>
      </c>
      <c r="C167" s="4">
        <f>TeamHero生成!C167</f>
        <v>26</v>
      </c>
      <c r="D167" s="5">
        <f>TeamHero生成!D167</f>
        <v>776488</v>
      </c>
      <c r="E167" s="5">
        <f>TeamHero生成!E167</f>
        <v>21165</v>
      </c>
      <c r="F167" s="5">
        <f>TeamHero生成!F167</f>
        <v>18963</v>
      </c>
      <c r="G167" s="4" t="str">
        <f>TeamHero生成!AG167</f>
        <v>有效</v>
      </c>
      <c r="H167" s="4">
        <f>TeamHero生成!G167</f>
        <v>334440</v>
      </c>
      <c r="I167" s="4">
        <f>TeamHero生成!H167</f>
        <v>10756</v>
      </c>
      <c r="J167" s="4">
        <f>TeamHero生成!I167</f>
        <v>8673</v>
      </c>
    </row>
    <row r="168" ht="14.25" customHeight="1" spans="1:10">
      <c r="A168" s="4">
        <f>TeamHero生成!A168</f>
        <v>164</v>
      </c>
      <c r="B168" s="4">
        <f>TeamHero生成!B168</f>
        <v>1018</v>
      </c>
      <c r="C168" s="4">
        <f>TeamHero生成!C168</f>
        <v>26</v>
      </c>
      <c r="D168" s="5">
        <f>TeamHero生成!D168</f>
        <v>970610</v>
      </c>
      <c r="E168" s="5">
        <f>TeamHero生成!E168</f>
        <v>17638</v>
      </c>
      <c r="F168" s="5">
        <f>TeamHero生成!F168</f>
        <v>23704</v>
      </c>
      <c r="G168" s="4" t="str">
        <f>TeamHero生成!AG168</f>
        <v>有效</v>
      </c>
      <c r="H168" s="4">
        <f>TeamHero生成!G168</f>
        <v>418050</v>
      </c>
      <c r="I168" s="4">
        <f>TeamHero生成!H168</f>
        <v>8964</v>
      </c>
      <c r="J168" s="4">
        <f>TeamHero生成!I168</f>
        <v>10842</v>
      </c>
    </row>
    <row r="169" ht="14.25" customHeight="1" spans="1:10">
      <c r="A169" s="4">
        <f>TeamHero生成!A169</f>
        <v>165</v>
      </c>
      <c r="B169" s="4">
        <f>TeamHero生成!B169</f>
        <v>1012</v>
      </c>
      <c r="C169" s="4">
        <f>TeamHero生成!C169</f>
        <v>26</v>
      </c>
      <c r="D169" s="5">
        <f>TeamHero生成!D169</f>
        <v>970610</v>
      </c>
      <c r="E169" s="5">
        <f>TeamHero生成!E169</f>
        <v>17638</v>
      </c>
      <c r="F169" s="5">
        <f>TeamHero生成!F169</f>
        <v>23704</v>
      </c>
      <c r="G169" s="4" t="str">
        <f>TeamHero生成!AG169</f>
        <v>有效</v>
      </c>
      <c r="H169" s="4">
        <f>TeamHero生成!G169</f>
        <v>418050</v>
      </c>
      <c r="I169" s="4">
        <f>TeamHero生成!H169</f>
        <v>8964</v>
      </c>
      <c r="J169" s="4">
        <f>TeamHero生成!I169</f>
        <v>10842</v>
      </c>
    </row>
    <row r="170" ht="14.25" customHeight="1" spans="1:10">
      <c r="A170" s="4">
        <f>TeamHero生成!A170</f>
        <v>166</v>
      </c>
      <c r="B170" s="4">
        <f>TeamHero生成!B170</f>
        <v>1002</v>
      </c>
      <c r="C170" s="4">
        <f>TeamHero生成!C170</f>
        <v>27</v>
      </c>
      <c r="D170" s="5">
        <f>TeamHero生成!D170</f>
        <v>1202964</v>
      </c>
      <c r="E170" s="5">
        <f>TeamHero生成!E170</f>
        <v>18030</v>
      </c>
      <c r="F170" s="5">
        <f>TeamHero生成!F170</f>
        <v>28934</v>
      </c>
      <c r="G170" s="4" t="str">
        <f>TeamHero生成!AG170</f>
        <v>有效</v>
      </c>
      <c r="H170" s="4">
        <f>TeamHero生成!G170</f>
        <v>531583</v>
      </c>
      <c r="I170" s="4">
        <f>TeamHero生成!H170</f>
        <v>9308</v>
      </c>
      <c r="J170" s="4">
        <f>TeamHero生成!I170</f>
        <v>13442</v>
      </c>
    </row>
    <row r="171" ht="14.25" customHeight="1" spans="1:10">
      <c r="A171" s="4">
        <f>TeamHero生成!A171</f>
        <v>167</v>
      </c>
      <c r="B171" s="4">
        <f>TeamHero生成!B171</f>
        <v>1021</v>
      </c>
      <c r="C171" s="4">
        <f>TeamHero生成!C171</f>
        <v>27</v>
      </c>
      <c r="D171" s="5">
        <f>TeamHero生成!D171</f>
        <v>801976</v>
      </c>
      <c r="E171" s="5">
        <f>TeamHero生成!E171</f>
        <v>21636</v>
      </c>
      <c r="F171" s="5">
        <f>TeamHero生成!F171</f>
        <v>19289</v>
      </c>
      <c r="G171" s="4" t="str">
        <f>TeamHero生成!AG171</f>
        <v>有效</v>
      </c>
      <c r="H171" s="4">
        <f>TeamHero生成!G171</f>
        <v>354388</v>
      </c>
      <c r="I171" s="4">
        <f>TeamHero生成!H171</f>
        <v>11169</v>
      </c>
      <c r="J171" s="4">
        <f>TeamHero生成!I171</f>
        <v>8961</v>
      </c>
    </row>
    <row r="172" ht="14.25" customHeight="1" spans="1:10">
      <c r="A172" s="4">
        <f>TeamHero生成!A172</f>
        <v>168</v>
      </c>
      <c r="B172" s="4">
        <f>TeamHero生成!B172</f>
        <v>1020</v>
      </c>
      <c r="C172" s="4">
        <f>TeamHero生成!C172</f>
        <v>27</v>
      </c>
      <c r="D172" s="5">
        <f>TeamHero生成!D172</f>
        <v>1002470</v>
      </c>
      <c r="E172" s="5">
        <f>TeamHero生成!E172</f>
        <v>18030</v>
      </c>
      <c r="F172" s="5">
        <f>TeamHero生成!F172</f>
        <v>24111</v>
      </c>
      <c r="G172" s="4" t="str">
        <f>TeamHero生成!AG172</f>
        <v>有效</v>
      </c>
      <c r="H172" s="4">
        <f>TeamHero生成!G172</f>
        <v>442986</v>
      </c>
      <c r="I172" s="4">
        <f>TeamHero生成!H172</f>
        <v>9308</v>
      </c>
      <c r="J172" s="4">
        <f>TeamHero生成!I172</f>
        <v>11202</v>
      </c>
    </row>
    <row r="173" ht="14.25" customHeight="1" spans="1:10">
      <c r="A173" s="4">
        <f>TeamHero生成!A173</f>
        <v>169</v>
      </c>
      <c r="B173" s="4">
        <f>TeamHero生成!B173</f>
        <v>1015</v>
      </c>
      <c r="C173" s="4">
        <f>TeamHero生成!C173</f>
        <v>27</v>
      </c>
      <c r="D173" s="5">
        <f>TeamHero生成!D173</f>
        <v>1002470</v>
      </c>
      <c r="E173" s="5">
        <f>TeamHero生成!E173</f>
        <v>18030</v>
      </c>
      <c r="F173" s="5">
        <f>TeamHero生成!F173</f>
        <v>24111</v>
      </c>
      <c r="G173" s="4" t="str">
        <f>TeamHero生成!AG173</f>
        <v>有效</v>
      </c>
      <c r="H173" s="4">
        <f>TeamHero生成!G173</f>
        <v>442986</v>
      </c>
      <c r="I173" s="4">
        <f>TeamHero生成!H173</f>
        <v>9308</v>
      </c>
      <c r="J173" s="4">
        <f>TeamHero生成!I173</f>
        <v>11202</v>
      </c>
    </row>
    <row r="174" ht="14.25" customHeight="1" spans="1:10">
      <c r="A174" s="4">
        <f>TeamHero生成!A174</f>
        <v>170</v>
      </c>
      <c r="B174" s="4">
        <f>TeamHero生成!B174</f>
        <v>1024</v>
      </c>
      <c r="C174" s="4">
        <f>TeamHero生成!C174</f>
        <v>27</v>
      </c>
      <c r="D174" s="5">
        <f>TeamHero生成!D174</f>
        <v>801976</v>
      </c>
      <c r="E174" s="5">
        <f>TeamHero生成!E174</f>
        <v>21636</v>
      </c>
      <c r="F174" s="5">
        <f>TeamHero生成!F174</f>
        <v>19289</v>
      </c>
      <c r="G174" s="4" t="str">
        <f>TeamHero生成!AG174</f>
        <v>有效</v>
      </c>
      <c r="H174" s="4">
        <f>TeamHero生成!G174</f>
        <v>354388</v>
      </c>
      <c r="I174" s="4">
        <f>TeamHero生成!H174</f>
        <v>11169</v>
      </c>
      <c r="J174" s="4">
        <f>TeamHero生成!I174</f>
        <v>8961</v>
      </c>
    </row>
    <row r="175" ht="14.25" customHeight="1" spans="1:10">
      <c r="A175" s="4">
        <f>TeamHero生成!A175</f>
        <v>171</v>
      </c>
      <c r="B175" s="4">
        <f>TeamHero生成!B175</f>
        <v>1030</v>
      </c>
      <c r="C175" s="4">
        <f>TeamHero生成!C175</f>
        <v>27</v>
      </c>
      <c r="D175" s="5">
        <f>TeamHero生成!D175</f>
        <v>1255326</v>
      </c>
      <c r="E175" s="5">
        <f>TeamHero生成!E175</f>
        <v>18564</v>
      </c>
      <c r="F175" s="5">
        <f>TeamHero生成!F175</f>
        <v>29591</v>
      </c>
      <c r="G175" s="4" t="str">
        <f>TeamHero生成!AG175</f>
        <v>有效</v>
      </c>
      <c r="H175" s="4">
        <f>TeamHero生成!G175</f>
        <v>562716</v>
      </c>
      <c r="I175" s="4">
        <f>TeamHero生成!H175</f>
        <v>9659</v>
      </c>
      <c r="J175" s="4">
        <f>TeamHero生成!I175</f>
        <v>13880</v>
      </c>
    </row>
    <row r="176" ht="14.25" customHeight="1" spans="1:10">
      <c r="A176" s="4">
        <f>TeamHero生成!A176</f>
        <v>172</v>
      </c>
      <c r="B176" s="4">
        <f>TeamHero生成!B176</f>
        <v>1021</v>
      </c>
      <c r="C176" s="4">
        <f>TeamHero生成!C176</f>
        <v>27</v>
      </c>
      <c r="D176" s="5">
        <f>TeamHero生成!D176</f>
        <v>836884</v>
      </c>
      <c r="E176" s="5">
        <f>TeamHero生成!E176</f>
        <v>22277</v>
      </c>
      <c r="F176" s="5">
        <f>TeamHero生成!F176</f>
        <v>19727</v>
      </c>
      <c r="G176" s="4" t="str">
        <f>TeamHero生成!AG176</f>
        <v>有效</v>
      </c>
      <c r="H176" s="4">
        <f>TeamHero生成!G176</f>
        <v>375144</v>
      </c>
      <c r="I176" s="4">
        <f>TeamHero生成!H176</f>
        <v>11590</v>
      </c>
      <c r="J176" s="4">
        <f>TeamHero生成!I176</f>
        <v>9253</v>
      </c>
    </row>
    <row r="177" ht="14.25" customHeight="1" spans="1:10">
      <c r="A177" s="4">
        <f>TeamHero生成!A177</f>
        <v>173</v>
      </c>
      <c r="B177" s="4">
        <f>TeamHero生成!B177</f>
        <v>1029</v>
      </c>
      <c r="C177" s="4">
        <f>TeamHero生成!C177</f>
        <v>27</v>
      </c>
      <c r="D177" s="5">
        <f>TeamHero生成!D177</f>
        <v>1046105</v>
      </c>
      <c r="E177" s="5">
        <f>TeamHero生成!E177</f>
        <v>18564</v>
      </c>
      <c r="F177" s="5">
        <f>TeamHero生成!F177</f>
        <v>24659</v>
      </c>
      <c r="G177" s="4" t="str">
        <f>TeamHero生成!AG177</f>
        <v>有效</v>
      </c>
      <c r="H177" s="4">
        <f>TeamHero生成!G177</f>
        <v>468930</v>
      </c>
      <c r="I177" s="4">
        <f>TeamHero生成!H177</f>
        <v>9659</v>
      </c>
      <c r="J177" s="4">
        <f>TeamHero生成!I177</f>
        <v>11567</v>
      </c>
    </row>
    <row r="178" ht="14.25" customHeight="1" spans="1:10">
      <c r="A178" s="4">
        <f>TeamHero生成!A178</f>
        <v>174</v>
      </c>
      <c r="B178" s="4">
        <f>TeamHero生成!B178</f>
        <v>1020</v>
      </c>
      <c r="C178" s="4">
        <f>TeamHero生成!C178</f>
        <v>27</v>
      </c>
      <c r="D178" s="5">
        <f>TeamHero生成!D178</f>
        <v>1046105</v>
      </c>
      <c r="E178" s="5">
        <f>TeamHero生成!E178</f>
        <v>18564</v>
      </c>
      <c r="F178" s="5">
        <f>TeamHero生成!F178</f>
        <v>24659</v>
      </c>
      <c r="G178" s="4" t="str">
        <f>TeamHero生成!AG178</f>
        <v>有效</v>
      </c>
      <c r="H178" s="4">
        <f>TeamHero生成!G178</f>
        <v>468930</v>
      </c>
      <c r="I178" s="4">
        <f>TeamHero生成!H178</f>
        <v>9659</v>
      </c>
      <c r="J178" s="4">
        <f>TeamHero生成!I178</f>
        <v>11567</v>
      </c>
    </row>
    <row r="179" ht="14.25" customHeight="1" spans="1:10">
      <c r="A179" s="4">
        <f>TeamHero生成!A179</f>
        <v>175</v>
      </c>
      <c r="B179" s="4">
        <f>TeamHero生成!B179</f>
        <v>1018</v>
      </c>
      <c r="C179" s="4">
        <f>TeamHero生成!C179</f>
        <v>27</v>
      </c>
      <c r="D179" s="5">
        <f>TeamHero生成!D179</f>
        <v>1046105</v>
      </c>
      <c r="E179" s="5">
        <f>TeamHero生成!E179</f>
        <v>18564</v>
      </c>
      <c r="F179" s="5">
        <f>TeamHero生成!F179</f>
        <v>24659</v>
      </c>
      <c r="G179" s="4" t="str">
        <f>TeamHero生成!AG179</f>
        <v>有效</v>
      </c>
      <c r="H179" s="4">
        <f>TeamHero生成!G179</f>
        <v>468930</v>
      </c>
      <c r="I179" s="4">
        <f>TeamHero生成!H179</f>
        <v>9659</v>
      </c>
      <c r="J179" s="4">
        <f>TeamHero生成!I179</f>
        <v>11567</v>
      </c>
    </row>
    <row r="180" ht="14.25" customHeight="1" spans="1:10">
      <c r="A180" s="4">
        <f>TeamHero生成!A180</f>
        <v>176</v>
      </c>
      <c r="B180" s="4">
        <f>TeamHero生成!B180</f>
        <v>1030</v>
      </c>
      <c r="C180" s="4">
        <f>TeamHero生成!C180</f>
        <v>28</v>
      </c>
      <c r="D180" s="5">
        <f>TeamHero生成!D180</f>
        <v>1323060</v>
      </c>
      <c r="E180" s="5">
        <f>TeamHero生成!E180</f>
        <v>19247</v>
      </c>
      <c r="F180" s="5">
        <f>TeamHero生成!F180</f>
        <v>30419</v>
      </c>
      <c r="G180" s="4" t="str">
        <f>TeamHero生成!AG180</f>
        <v>有效</v>
      </c>
      <c r="H180" s="4">
        <f>TeamHero生成!G180</f>
        <v>595094</v>
      </c>
      <c r="I180" s="4">
        <f>TeamHero生成!H180</f>
        <v>10018</v>
      </c>
      <c r="J180" s="4">
        <f>TeamHero生成!I180</f>
        <v>14322</v>
      </c>
    </row>
    <row r="181" ht="14.25" customHeight="1" spans="1:10">
      <c r="A181" s="4">
        <f>TeamHero生成!A181</f>
        <v>177</v>
      </c>
      <c r="B181" s="4">
        <f>TeamHero生成!B181</f>
        <v>1024</v>
      </c>
      <c r="C181" s="4">
        <f>TeamHero生成!C181</f>
        <v>28</v>
      </c>
      <c r="D181" s="5">
        <f>TeamHero生成!D181</f>
        <v>882040</v>
      </c>
      <c r="E181" s="5">
        <f>TeamHero生成!E181</f>
        <v>23096</v>
      </c>
      <c r="F181" s="5">
        <f>TeamHero生成!F181</f>
        <v>20279</v>
      </c>
      <c r="G181" s="4" t="str">
        <f>TeamHero生成!AG181</f>
        <v>有效</v>
      </c>
      <c r="H181" s="4">
        <f>TeamHero生成!G181</f>
        <v>396729</v>
      </c>
      <c r="I181" s="4">
        <f>TeamHero生成!H181</f>
        <v>12021</v>
      </c>
      <c r="J181" s="4">
        <f>TeamHero生成!I181</f>
        <v>9548</v>
      </c>
    </row>
    <row r="182" ht="14.25" customHeight="1" spans="1:10">
      <c r="A182" s="4">
        <f>TeamHero生成!A182</f>
        <v>178</v>
      </c>
      <c r="B182" s="4">
        <f>TeamHero生成!B182</f>
        <v>1018</v>
      </c>
      <c r="C182" s="4">
        <f>TeamHero生成!C182</f>
        <v>28</v>
      </c>
      <c r="D182" s="5">
        <f>TeamHero生成!D182</f>
        <v>1102550</v>
      </c>
      <c r="E182" s="5">
        <f>TeamHero生成!E182</f>
        <v>19247</v>
      </c>
      <c r="F182" s="5">
        <f>TeamHero生成!F182</f>
        <v>25349</v>
      </c>
      <c r="G182" s="4" t="str">
        <f>TeamHero生成!AG182</f>
        <v>有效</v>
      </c>
      <c r="H182" s="4">
        <f>TeamHero生成!G182</f>
        <v>495912</v>
      </c>
      <c r="I182" s="4">
        <f>TeamHero生成!H182</f>
        <v>10018</v>
      </c>
      <c r="J182" s="4">
        <f>TeamHero生成!I182</f>
        <v>11935</v>
      </c>
    </row>
    <row r="183" ht="14.25" customHeight="1" spans="1:10">
      <c r="A183" s="4">
        <f>TeamHero生成!A183</f>
        <v>179</v>
      </c>
      <c r="B183" s="4">
        <f>TeamHero生成!B183</f>
        <v>1011</v>
      </c>
      <c r="C183" s="4">
        <f>TeamHero生成!C183</f>
        <v>28</v>
      </c>
      <c r="D183" s="5">
        <f>TeamHero生成!D183</f>
        <v>1102550</v>
      </c>
      <c r="E183" s="5">
        <f>TeamHero生成!E183</f>
        <v>19247</v>
      </c>
      <c r="F183" s="5">
        <f>TeamHero生成!F183</f>
        <v>25349</v>
      </c>
      <c r="G183" s="4" t="str">
        <f>TeamHero生成!AG183</f>
        <v>有效</v>
      </c>
      <c r="H183" s="4">
        <f>TeamHero生成!G183</f>
        <v>495912</v>
      </c>
      <c r="I183" s="4">
        <f>TeamHero生成!H183</f>
        <v>10018</v>
      </c>
      <c r="J183" s="4">
        <f>TeamHero生成!I183</f>
        <v>11935</v>
      </c>
    </row>
    <row r="184" ht="14.25" customHeight="1" spans="1:10">
      <c r="A184" s="4">
        <f>TeamHero生成!A184</f>
        <v>180</v>
      </c>
      <c r="B184" s="4">
        <f>TeamHero生成!B184</f>
        <v>1021</v>
      </c>
      <c r="C184" s="4">
        <f>TeamHero生成!C184</f>
        <v>28</v>
      </c>
      <c r="D184" s="5">
        <f>TeamHero生成!D184</f>
        <v>882040</v>
      </c>
      <c r="E184" s="5">
        <f>TeamHero生成!E184</f>
        <v>23096</v>
      </c>
      <c r="F184" s="5">
        <f>TeamHero生成!F184</f>
        <v>20279</v>
      </c>
      <c r="G184" s="4" t="str">
        <f>TeamHero生成!AG184</f>
        <v>有效</v>
      </c>
      <c r="H184" s="4">
        <f>TeamHero生成!G184</f>
        <v>396729</v>
      </c>
      <c r="I184" s="4">
        <f>TeamHero生成!H184</f>
        <v>12021</v>
      </c>
      <c r="J184" s="4">
        <f>TeamHero生成!I184</f>
        <v>9548</v>
      </c>
    </row>
    <row r="185" ht="14.25" customHeight="1" spans="1:10">
      <c r="A185" s="4">
        <f>TeamHero生成!A185</f>
        <v>181</v>
      </c>
      <c r="B185" s="4">
        <f>TeamHero生成!B185</f>
        <v>1002</v>
      </c>
      <c r="C185" s="4">
        <f>TeamHero生成!C185</f>
        <v>28</v>
      </c>
      <c r="D185" s="5">
        <f>TeamHero生成!D185</f>
        <v>1407780</v>
      </c>
      <c r="E185" s="5">
        <f>TeamHero生成!E185</f>
        <v>20092</v>
      </c>
      <c r="F185" s="5">
        <f>TeamHero生成!F185</f>
        <v>31425</v>
      </c>
      <c r="G185" s="4" t="str">
        <f>TeamHero生成!AG185</f>
        <v>有效</v>
      </c>
      <c r="H185" s="4">
        <f>TeamHero生成!G185</f>
        <v>628754</v>
      </c>
      <c r="I185" s="4">
        <f>TeamHero生成!H185</f>
        <v>10384</v>
      </c>
      <c r="J185" s="4">
        <f>TeamHero生成!I185</f>
        <v>14767</v>
      </c>
    </row>
    <row r="186" ht="14.25" customHeight="1" spans="1:10">
      <c r="A186" s="4">
        <f>TeamHero生成!A186</f>
        <v>182</v>
      </c>
      <c r="B186" s="4">
        <f>TeamHero生成!B186</f>
        <v>1030</v>
      </c>
      <c r="C186" s="4">
        <f>TeamHero生成!C186</f>
        <v>28</v>
      </c>
      <c r="D186" s="5">
        <f>TeamHero生成!D186</f>
        <v>1407780</v>
      </c>
      <c r="E186" s="5">
        <f>TeamHero生成!E186</f>
        <v>20092</v>
      </c>
      <c r="F186" s="5">
        <f>TeamHero生成!F186</f>
        <v>31425</v>
      </c>
      <c r="G186" s="4" t="str">
        <f>TeamHero生成!AG186</f>
        <v>有效</v>
      </c>
      <c r="H186" s="4">
        <f>TeamHero生成!G186</f>
        <v>628754</v>
      </c>
      <c r="I186" s="4">
        <f>TeamHero生成!H186</f>
        <v>10384</v>
      </c>
      <c r="J186" s="4">
        <f>TeamHero生成!I186</f>
        <v>14767</v>
      </c>
    </row>
    <row r="187" ht="14.25" customHeight="1" spans="1:10">
      <c r="A187" s="4">
        <f>TeamHero生成!A187</f>
        <v>183</v>
      </c>
      <c r="B187" s="4">
        <f>TeamHero生成!B187</f>
        <v>1021</v>
      </c>
      <c r="C187" s="4">
        <f>TeamHero生成!C187</f>
        <v>28</v>
      </c>
      <c r="D187" s="5">
        <f>TeamHero生成!D187</f>
        <v>938520</v>
      </c>
      <c r="E187" s="5">
        <f>TeamHero生成!E187</f>
        <v>24110</v>
      </c>
      <c r="F187" s="5">
        <f>TeamHero生成!F187</f>
        <v>20950</v>
      </c>
      <c r="G187" s="4" t="str">
        <f>TeamHero生成!AG187</f>
        <v>有效</v>
      </c>
      <c r="H187" s="4">
        <f>TeamHero生成!G187</f>
        <v>419169</v>
      </c>
      <c r="I187" s="4">
        <f>TeamHero生成!H187</f>
        <v>12460</v>
      </c>
      <c r="J187" s="4">
        <f>TeamHero生成!I187</f>
        <v>9844</v>
      </c>
    </row>
    <row r="188" ht="14.25" customHeight="1" spans="1:10">
      <c r="A188" s="4">
        <f>TeamHero生成!A188</f>
        <v>184</v>
      </c>
      <c r="B188" s="4">
        <f>TeamHero生成!B188</f>
        <v>1020</v>
      </c>
      <c r="C188" s="4">
        <f>TeamHero生成!C188</f>
        <v>28</v>
      </c>
      <c r="D188" s="5">
        <f>TeamHero生成!D188</f>
        <v>1173150</v>
      </c>
      <c r="E188" s="5">
        <f>TeamHero生成!E188</f>
        <v>20092</v>
      </c>
      <c r="F188" s="5">
        <f>TeamHero生成!F188</f>
        <v>26188</v>
      </c>
      <c r="G188" s="4" t="str">
        <f>TeamHero生成!AG188</f>
        <v>有效</v>
      </c>
      <c r="H188" s="4">
        <f>TeamHero生成!G188</f>
        <v>523962</v>
      </c>
      <c r="I188" s="4">
        <f>TeamHero生成!H188</f>
        <v>10384</v>
      </c>
      <c r="J188" s="4">
        <f>TeamHero生成!I188</f>
        <v>12306</v>
      </c>
    </row>
    <row r="189" ht="14.25" customHeight="1" spans="1:10">
      <c r="A189" s="4">
        <f>TeamHero生成!A189</f>
        <v>185</v>
      </c>
      <c r="B189" s="4">
        <f>TeamHero生成!B189</f>
        <v>1020</v>
      </c>
      <c r="C189" s="4">
        <f>TeamHero生成!C189</f>
        <v>28</v>
      </c>
      <c r="D189" s="5">
        <f>TeamHero生成!D189</f>
        <v>1173150</v>
      </c>
      <c r="E189" s="5">
        <f>TeamHero生成!E189</f>
        <v>20092</v>
      </c>
      <c r="F189" s="5">
        <f>TeamHero生成!F189</f>
        <v>26188</v>
      </c>
      <c r="G189" s="4" t="str">
        <f>TeamHero生成!AG189</f>
        <v>有效</v>
      </c>
      <c r="H189" s="4">
        <f>TeamHero生成!G189</f>
        <v>523962</v>
      </c>
      <c r="I189" s="4">
        <f>TeamHero生成!H189</f>
        <v>10384</v>
      </c>
      <c r="J189" s="4">
        <f>TeamHero生成!I189</f>
        <v>12306</v>
      </c>
    </row>
    <row r="190" ht="14.25" customHeight="1" spans="1:10">
      <c r="A190" s="4">
        <f>TeamHero生成!A190</f>
        <v>186</v>
      </c>
      <c r="B190" s="4">
        <f>TeamHero生成!B190</f>
        <v>1002</v>
      </c>
      <c r="C190" s="4">
        <f>TeamHero生成!C190</f>
        <v>29</v>
      </c>
      <c r="D190" s="5">
        <f>TeamHero生成!D190</f>
        <v>1466394</v>
      </c>
      <c r="E190" s="5">
        <f>TeamHero生成!E190</f>
        <v>20670</v>
      </c>
      <c r="F190" s="5">
        <f>TeamHero生成!F190</f>
        <v>32103</v>
      </c>
      <c r="G190" s="4" t="str">
        <f>TeamHero生成!AG190</f>
        <v>有效</v>
      </c>
      <c r="H190" s="4">
        <f>TeamHero生成!G190</f>
        <v>663724</v>
      </c>
      <c r="I190" s="4">
        <f>TeamHero生成!H190</f>
        <v>10757</v>
      </c>
      <c r="J190" s="4">
        <f>TeamHero生成!I190</f>
        <v>15217</v>
      </c>
    </row>
    <row r="191" ht="14.25" customHeight="1" spans="1:10">
      <c r="A191" s="4">
        <f>TeamHero生成!A191</f>
        <v>187</v>
      </c>
      <c r="B191" s="4">
        <f>TeamHero生成!B191</f>
        <v>1001</v>
      </c>
      <c r="C191" s="4">
        <f>TeamHero生成!C191</f>
        <v>29</v>
      </c>
      <c r="D191" s="5">
        <f>TeamHero生成!D191</f>
        <v>977596</v>
      </c>
      <c r="E191" s="5">
        <f>TeamHero生成!E191</f>
        <v>24804</v>
      </c>
      <c r="F191" s="5">
        <f>TeamHero生成!F191</f>
        <v>21402</v>
      </c>
      <c r="G191" s="4" t="str">
        <f>TeamHero生成!AG191</f>
        <v>有效</v>
      </c>
      <c r="H191" s="4">
        <f>TeamHero生成!G191</f>
        <v>442483</v>
      </c>
      <c r="I191" s="4">
        <f>TeamHero生成!H191</f>
        <v>12908</v>
      </c>
      <c r="J191" s="4">
        <f>TeamHero生成!I191</f>
        <v>10144</v>
      </c>
    </row>
    <row r="192" ht="14.25" customHeight="1" spans="1:10">
      <c r="A192" s="4">
        <f>TeamHero生成!A192</f>
        <v>188</v>
      </c>
      <c r="B192" s="4">
        <f>TeamHero生成!B192</f>
        <v>1001</v>
      </c>
      <c r="C192" s="4">
        <f>TeamHero生成!C192</f>
        <v>29</v>
      </c>
      <c r="D192" s="5">
        <f>TeamHero生成!D192</f>
        <v>977596</v>
      </c>
      <c r="E192" s="5">
        <f>TeamHero生成!E192</f>
        <v>24804</v>
      </c>
      <c r="F192" s="5">
        <f>TeamHero生成!F192</f>
        <v>21402</v>
      </c>
      <c r="G192" s="4" t="str">
        <f>TeamHero生成!AG192</f>
        <v>有效</v>
      </c>
      <c r="H192" s="4">
        <f>TeamHero生成!G192</f>
        <v>442483</v>
      </c>
      <c r="I192" s="4">
        <f>TeamHero生成!H192</f>
        <v>12908</v>
      </c>
      <c r="J192" s="4">
        <f>TeamHero生成!I192</f>
        <v>10144</v>
      </c>
    </row>
    <row r="193" ht="14.25" customHeight="1" spans="1:10">
      <c r="A193" s="4">
        <f>TeamHero生成!A193</f>
        <v>189</v>
      </c>
      <c r="B193" s="4">
        <f>TeamHero生成!B193</f>
        <v>1021</v>
      </c>
      <c r="C193" s="4">
        <f>TeamHero生成!C193</f>
        <v>29</v>
      </c>
      <c r="D193" s="5">
        <f>TeamHero生成!D193</f>
        <v>977596</v>
      </c>
      <c r="E193" s="5">
        <f>TeamHero生成!E193</f>
        <v>24804</v>
      </c>
      <c r="F193" s="5">
        <f>TeamHero生成!F193</f>
        <v>21402</v>
      </c>
      <c r="G193" s="4" t="str">
        <f>TeamHero生成!AG193</f>
        <v>有效</v>
      </c>
      <c r="H193" s="4">
        <f>TeamHero生成!G193</f>
        <v>442483</v>
      </c>
      <c r="I193" s="4">
        <f>TeamHero生成!H193</f>
        <v>12908</v>
      </c>
      <c r="J193" s="4">
        <f>TeamHero生成!I193</f>
        <v>10144</v>
      </c>
    </row>
    <row r="194" ht="14.25" customHeight="1" spans="1:10">
      <c r="A194" s="4">
        <f>TeamHero生成!A194</f>
        <v>190</v>
      </c>
      <c r="B194" s="4">
        <f>TeamHero生成!B194</f>
        <v>1012</v>
      </c>
      <c r="C194" s="4">
        <f>TeamHero生成!C194</f>
        <v>29</v>
      </c>
      <c r="D194" s="5">
        <f>TeamHero生成!D194</f>
        <v>1221995</v>
      </c>
      <c r="E194" s="5">
        <f>TeamHero生成!E194</f>
        <v>20670</v>
      </c>
      <c r="F194" s="5">
        <f>TeamHero生成!F194</f>
        <v>26753</v>
      </c>
      <c r="G194" s="4" t="str">
        <f>TeamHero生成!AG194</f>
        <v>有效</v>
      </c>
      <c r="H194" s="4">
        <f>TeamHero生成!G194</f>
        <v>553104</v>
      </c>
      <c r="I194" s="4">
        <f>TeamHero生成!H194</f>
        <v>10757</v>
      </c>
      <c r="J194" s="4">
        <f>TeamHero生成!I194</f>
        <v>12681</v>
      </c>
    </row>
    <row r="195" ht="14.25" customHeight="1" spans="1:10">
      <c r="A195" s="4">
        <f>TeamHero生成!A195</f>
        <v>191</v>
      </c>
      <c r="B195" s="4">
        <f>TeamHero生成!B195</f>
        <v>1002</v>
      </c>
      <c r="C195" s="4">
        <f>TeamHero生成!C195</f>
        <v>29</v>
      </c>
      <c r="D195" s="5">
        <f>TeamHero生成!D195</f>
        <v>1542120</v>
      </c>
      <c r="E195" s="5">
        <f>TeamHero生成!E195</f>
        <v>21412</v>
      </c>
      <c r="F195" s="5">
        <f>TeamHero生成!F195</f>
        <v>32957</v>
      </c>
      <c r="G195" s="4" t="str">
        <f>TeamHero生成!AG195</f>
        <v>有效</v>
      </c>
      <c r="H195" s="4">
        <f>TeamHero生成!G195</f>
        <v>700034</v>
      </c>
      <c r="I195" s="4">
        <f>TeamHero生成!H195</f>
        <v>11137</v>
      </c>
      <c r="J195" s="4">
        <f>TeamHero生成!I195</f>
        <v>15672</v>
      </c>
    </row>
    <row r="196" ht="14.25" customHeight="1" spans="1:10">
      <c r="A196" s="4">
        <f>TeamHero生成!A196</f>
        <v>192</v>
      </c>
      <c r="B196" s="4">
        <f>TeamHero生成!B196</f>
        <v>1002</v>
      </c>
      <c r="C196" s="4">
        <f>TeamHero生成!C196</f>
        <v>29</v>
      </c>
      <c r="D196" s="5">
        <f>TeamHero生成!D196</f>
        <v>1542120</v>
      </c>
      <c r="E196" s="5">
        <f>TeamHero生成!E196</f>
        <v>21412</v>
      </c>
      <c r="F196" s="5">
        <f>TeamHero生成!F196</f>
        <v>32957</v>
      </c>
      <c r="G196" s="4" t="str">
        <f>TeamHero生成!AG196</f>
        <v>有效</v>
      </c>
      <c r="H196" s="4">
        <f>TeamHero生成!G196</f>
        <v>700034</v>
      </c>
      <c r="I196" s="4">
        <f>TeamHero生成!H196</f>
        <v>11137</v>
      </c>
      <c r="J196" s="4">
        <f>TeamHero生成!I196</f>
        <v>15672</v>
      </c>
    </row>
    <row r="197" ht="14.25" customHeight="1" spans="1:10">
      <c r="A197" s="4">
        <f>TeamHero生成!A197</f>
        <v>193</v>
      </c>
      <c r="B197" s="4">
        <f>TeamHero生成!B197</f>
        <v>1024</v>
      </c>
      <c r="C197" s="4">
        <f>TeamHero生成!C197</f>
        <v>29</v>
      </c>
      <c r="D197" s="5">
        <f>TeamHero生成!D197</f>
        <v>1028080</v>
      </c>
      <c r="E197" s="5">
        <f>TeamHero生成!E197</f>
        <v>25694</v>
      </c>
      <c r="F197" s="5">
        <f>TeamHero生成!F197</f>
        <v>21971</v>
      </c>
      <c r="G197" s="4" t="str">
        <f>TeamHero生成!AG197</f>
        <v>有效</v>
      </c>
      <c r="H197" s="4">
        <f>TeamHero生成!G197</f>
        <v>466689</v>
      </c>
      <c r="I197" s="4">
        <f>TeamHero生成!H197</f>
        <v>13364</v>
      </c>
      <c r="J197" s="4">
        <f>TeamHero生成!I197</f>
        <v>10448</v>
      </c>
    </row>
    <row r="198" ht="14.25" customHeight="1" spans="1:10">
      <c r="A198" s="4">
        <f>TeamHero生成!A198</f>
        <v>194</v>
      </c>
      <c r="B198" s="4">
        <f>TeamHero生成!B198</f>
        <v>1021</v>
      </c>
      <c r="C198" s="4">
        <f>TeamHero生成!C198</f>
        <v>29</v>
      </c>
      <c r="D198" s="5">
        <f>TeamHero生成!D198</f>
        <v>1028080</v>
      </c>
      <c r="E198" s="5">
        <f>TeamHero生成!E198</f>
        <v>25694</v>
      </c>
      <c r="F198" s="5">
        <f>TeamHero生成!F198</f>
        <v>21971</v>
      </c>
      <c r="G198" s="4" t="str">
        <f>TeamHero生成!AG198</f>
        <v>有效</v>
      </c>
      <c r="H198" s="4">
        <f>TeamHero生成!G198</f>
        <v>466689</v>
      </c>
      <c r="I198" s="4">
        <f>TeamHero生成!H198</f>
        <v>13364</v>
      </c>
      <c r="J198" s="4">
        <f>TeamHero生成!I198</f>
        <v>10448</v>
      </c>
    </row>
    <row r="199" ht="14.25" customHeight="1" spans="1:10">
      <c r="A199" s="4">
        <f>TeamHero生成!A199</f>
        <v>195</v>
      </c>
      <c r="B199" s="4">
        <f>TeamHero生成!B199</f>
        <v>1026</v>
      </c>
      <c r="C199" s="4">
        <f>TeamHero生成!C199</f>
        <v>29</v>
      </c>
      <c r="D199" s="5">
        <f>TeamHero生成!D199</f>
        <v>1028080</v>
      </c>
      <c r="E199" s="5">
        <f>TeamHero生成!E199</f>
        <v>25694</v>
      </c>
      <c r="F199" s="5">
        <f>TeamHero生成!F199</f>
        <v>21971</v>
      </c>
      <c r="G199" s="4" t="str">
        <f>TeamHero生成!AG199</f>
        <v>有效</v>
      </c>
      <c r="H199" s="4">
        <f>TeamHero生成!G199</f>
        <v>466689</v>
      </c>
      <c r="I199" s="4">
        <f>TeamHero生成!H199</f>
        <v>13364</v>
      </c>
      <c r="J199" s="4">
        <f>TeamHero生成!I199</f>
        <v>10448</v>
      </c>
    </row>
    <row r="200" ht="14.25" customHeight="1" spans="1:10">
      <c r="A200" s="4">
        <f>TeamHero生成!A200</f>
        <v>196</v>
      </c>
      <c r="B200" s="4">
        <f>TeamHero生成!B200</f>
        <v>1002</v>
      </c>
      <c r="C200" s="4">
        <f>TeamHero生成!C200</f>
        <v>30</v>
      </c>
      <c r="D200" s="5">
        <f>TeamHero生成!D200</f>
        <v>1620642</v>
      </c>
      <c r="E200" s="5">
        <f>TeamHero生成!E200</f>
        <v>22172</v>
      </c>
      <c r="F200" s="5">
        <f>TeamHero生成!F200</f>
        <v>33821</v>
      </c>
      <c r="G200" s="4" t="str">
        <f>TeamHero生成!AG200</f>
        <v>有效</v>
      </c>
      <c r="H200" s="4">
        <f>TeamHero生成!G200</f>
        <v>737719</v>
      </c>
      <c r="I200" s="4">
        <f>TeamHero生成!H200</f>
        <v>11526</v>
      </c>
      <c r="J200" s="4">
        <f>TeamHero生成!I200</f>
        <v>16131</v>
      </c>
    </row>
    <row r="201" ht="14.25" customHeight="1" spans="1:10">
      <c r="A201" s="4">
        <f>TeamHero生成!A201</f>
        <v>197</v>
      </c>
      <c r="B201" s="4">
        <f>TeamHero生成!B201</f>
        <v>1026</v>
      </c>
      <c r="C201" s="4">
        <f>TeamHero生成!C201</f>
        <v>30</v>
      </c>
      <c r="D201" s="5">
        <f>TeamHero生成!D201</f>
        <v>1080428</v>
      </c>
      <c r="E201" s="5">
        <f>TeamHero生成!E201</f>
        <v>26607</v>
      </c>
      <c r="F201" s="5">
        <f>TeamHero生成!F201</f>
        <v>22547</v>
      </c>
      <c r="G201" s="4" t="str">
        <f>TeamHero生成!AG201</f>
        <v>有效</v>
      </c>
      <c r="H201" s="4">
        <f>TeamHero生成!G201</f>
        <v>491812</v>
      </c>
      <c r="I201" s="4">
        <f>TeamHero生成!H201</f>
        <v>13831</v>
      </c>
      <c r="J201" s="4">
        <f>TeamHero生成!I201</f>
        <v>10754</v>
      </c>
    </row>
    <row r="202" ht="14.25" customHeight="1" spans="1:10">
      <c r="A202" s="4">
        <f>TeamHero生成!A202</f>
        <v>198</v>
      </c>
      <c r="B202" s="4">
        <f>TeamHero生成!B202</f>
        <v>1029</v>
      </c>
      <c r="C202" s="4">
        <f>TeamHero生成!C202</f>
        <v>30</v>
      </c>
      <c r="D202" s="5">
        <f>TeamHero生成!D202</f>
        <v>1350535</v>
      </c>
      <c r="E202" s="5">
        <f>TeamHero生成!E202</f>
        <v>22172</v>
      </c>
      <c r="F202" s="5">
        <f>TeamHero生成!F202</f>
        <v>28184</v>
      </c>
      <c r="G202" s="4" t="str">
        <f>TeamHero生成!AG202</f>
        <v>有效</v>
      </c>
      <c r="H202" s="4">
        <f>TeamHero生成!G202</f>
        <v>614766</v>
      </c>
      <c r="I202" s="4">
        <f>TeamHero生成!H202</f>
        <v>11526</v>
      </c>
      <c r="J202" s="4">
        <f>TeamHero生成!I202</f>
        <v>13443</v>
      </c>
    </row>
    <row r="203" ht="14.25" customHeight="1" spans="1:10">
      <c r="A203" s="4">
        <f>TeamHero生成!A203</f>
        <v>199</v>
      </c>
      <c r="B203" s="4">
        <f>TeamHero生成!B203</f>
        <v>1018</v>
      </c>
      <c r="C203" s="4">
        <f>TeamHero生成!C203</f>
        <v>30</v>
      </c>
      <c r="D203" s="5">
        <f>TeamHero生成!D203</f>
        <v>1350535</v>
      </c>
      <c r="E203" s="5">
        <f>TeamHero生成!E203</f>
        <v>22172</v>
      </c>
      <c r="F203" s="5">
        <f>TeamHero生成!F203</f>
        <v>28184</v>
      </c>
      <c r="G203" s="4" t="str">
        <f>TeamHero生成!AG203</f>
        <v>有效</v>
      </c>
      <c r="H203" s="4">
        <f>TeamHero生成!G203</f>
        <v>614766</v>
      </c>
      <c r="I203" s="4">
        <f>TeamHero生成!H203</f>
        <v>11526</v>
      </c>
      <c r="J203" s="4">
        <f>TeamHero生成!I203</f>
        <v>13443</v>
      </c>
    </row>
    <row r="204" ht="14.25" customHeight="1" spans="1:10">
      <c r="A204" s="4">
        <f>TeamHero生成!A204</f>
        <v>200</v>
      </c>
      <c r="B204" s="4">
        <f>TeamHero生成!B204</f>
        <v>1012</v>
      </c>
      <c r="C204" s="4">
        <f>TeamHero生成!C204</f>
        <v>30</v>
      </c>
      <c r="D204" s="5">
        <f>TeamHero生成!D204</f>
        <v>1350535</v>
      </c>
      <c r="E204" s="5">
        <f>TeamHero生成!E204</f>
        <v>22172</v>
      </c>
      <c r="F204" s="5">
        <f>TeamHero生成!F204</f>
        <v>28184</v>
      </c>
      <c r="G204" s="4" t="str">
        <f>TeamHero生成!AG204</f>
        <v>有效</v>
      </c>
      <c r="H204" s="4">
        <f>TeamHero生成!G204</f>
        <v>614766</v>
      </c>
      <c r="I204" s="4">
        <f>TeamHero生成!H204</f>
        <v>11526</v>
      </c>
      <c r="J204" s="4">
        <f>TeamHero生成!I204</f>
        <v>13443</v>
      </c>
    </row>
    <row r="205" ht="14.25" customHeight="1" spans="1:10">
      <c r="A205" s="4">
        <f>TeamHero生成!A205</f>
        <v>201</v>
      </c>
      <c r="B205" s="4">
        <f>TeamHero生成!B205</f>
        <v>1030</v>
      </c>
      <c r="C205" s="4">
        <f>TeamHero生成!C205</f>
        <v>30</v>
      </c>
      <c r="D205" s="5">
        <f>TeamHero生成!D205</f>
        <v>1669122</v>
      </c>
      <c r="E205" s="5">
        <f>TeamHero生成!E205</f>
        <v>22639</v>
      </c>
      <c r="F205" s="5">
        <f>TeamHero生成!F205</f>
        <v>34343</v>
      </c>
      <c r="G205" s="4" t="str">
        <f>TeamHero生成!AG205</f>
        <v>有效</v>
      </c>
      <c r="H205" s="4">
        <f>TeamHero生成!G205</f>
        <v>776800</v>
      </c>
      <c r="I205" s="4">
        <f>TeamHero生成!H205</f>
        <v>11923</v>
      </c>
      <c r="J205" s="4">
        <f>TeamHero生成!I205</f>
        <v>16594</v>
      </c>
    </row>
    <row r="206" ht="14.25" customHeight="1" spans="1:10">
      <c r="A206" s="4">
        <f>TeamHero生成!A206</f>
        <v>202</v>
      </c>
      <c r="B206" s="4">
        <f>TeamHero生成!B206</f>
        <v>1002</v>
      </c>
      <c r="C206" s="4">
        <f>TeamHero生成!C206</f>
        <v>30</v>
      </c>
      <c r="D206" s="5">
        <f>TeamHero生成!D206</f>
        <v>1669122</v>
      </c>
      <c r="E206" s="5">
        <f>TeamHero生成!E206</f>
        <v>22639</v>
      </c>
      <c r="F206" s="5">
        <f>TeamHero生成!F206</f>
        <v>34343</v>
      </c>
      <c r="G206" s="4" t="str">
        <f>TeamHero生成!AG206</f>
        <v>有效</v>
      </c>
      <c r="H206" s="4">
        <f>TeamHero生成!G206</f>
        <v>776800</v>
      </c>
      <c r="I206" s="4">
        <f>TeamHero生成!H206</f>
        <v>11923</v>
      </c>
      <c r="J206" s="4">
        <f>TeamHero生成!I206</f>
        <v>16594</v>
      </c>
    </row>
    <row r="207" ht="14.25" customHeight="1" spans="1:10">
      <c r="A207" s="4">
        <f>TeamHero生成!A207</f>
        <v>203</v>
      </c>
      <c r="B207" s="4">
        <f>TeamHero生成!B207</f>
        <v>1011</v>
      </c>
      <c r="C207" s="4">
        <f>TeamHero生成!C207</f>
        <v>30</v>
      </c>
      <c r="D207" s="5">
        <f>TeamHero生成!D207</f>
        <v>1390935</v>
      </c>
      <c r="E207" s="5">
        <f>TeamHero生成!E207</f>
        <v>22639</v>
      </c>
      <c r="F207" s="5">
        <f>TeamHero生成!F207</f>
        <v>28619</v>
      </c>
      <c r="G207" s="4" t="str">
        <f>TeamHero生成!AG207</f>
        <v>有效</v>
      </c>
      <c r="H207" s="4">
        <f>TeamHero生成!G207</f>
        <v>647334</v>
      </c>
      <c r="I207" s="4">
        <f>TeamHero生成!H207</f>
        <v>11923</v>
      </c>
      <c r="J207" s="4">
        <f>TeamHero生成!I207</f>
        <v>13829</v>
      </c>
    </row>
    <row r="208" ht="14.25" customHeight="1" spans="1:10">
      <c r="A208" s="4">
        <f>TeamHero生成!A208</f>
        <v>204</v>
      </c>
      <c r="B208" s="4">
        <f>TeamHero生成!B208</f>
        <v>1021</v>
      </c>
      <c r="C208" s="4">
        <f>TeamHero生成!C208</f>
        <v>30</v>
      </c>
      <c r="D208" s="5">
        <f>TeamHero生成!D208</f>
        <v>1112748</v>
      </c>
      <c r="E208" s="5">
        <f>TeamHero生成!E208</f>
        <v>27167</v>
      </c>
      <c r="F208" s="5">
        <f>TeamHero生成!F208</f>
        <v>22895</v>
      </c>
      <c r="G208" s="4" t="str">
        <f>TeamHero生成!AG208</f>
        <v>有效</v>
      </c>
      <c r="H208" s="4">
        <f>TeamHero生成!G208</f>
        <v>517867</v>
      </c>
      <c r="I208" s="4">
        <f>TeamHero生成!H208</f>
        <v>14307</v>
      </c>
      <c r="J208" s="4">
        <f>TeamHero生成!I208</f>
        <v>11063</v>
      </c>
    </row>
    <row r="209" ht="14.25" customHeight="1" spans="1:10">
      <c r="A209" s="4">
        <f>TeamHero生成!A209</f>
        <v>205</v>
      </c>
      <c r="B209" s="4">
        <f>TeamHero生成!B209</f>
        <v>1015</v>
      </c>
      <c r="C209" s="4">
        <f>TeamHero生成!C209</f>
        <v>30</v>
      </c>
      <c r="D209" s="5">
        <f>TeamHero生成!D209</f>
        <v>1390935</v>
      </c>
      <c r="E209" s="5">
        <f>TeamHero生成!E209</f>
        <v>22639</v>
      </c>
      <c r="F209" s="5">
        <f>TeamHero生成!F209</f>
        <v>28619</v>
      </c>
      <c r="G209" s="4" t="str">
        <f>TeamHero生成!AG209</f>
        <v>有效</v>
      </c>
      <c r="H209" s="4">
        <f>TeamHero生成!G209</f>
        <v>647334</v>
      </c>
      <c r="I209" s="4">
        <f>TeamHero生成!H209</f>
        <v>11923</v>
      </c>
      <c r="J209" s="4">
        <f>TeamHero生成!I209</f>
        <v>13829</v>
      </c>
    </row>
    <row r="210" ht="14.25" customHeight="1" spans="1:10">
      <c r="A210" s="4">
        <f>TeamHero生成!A210</f>
        <v>206</v>
      </c>
      <c r="B210" s="4">
        <f>TeamHero生成!B210</f>
        <v>1002</v>
      </c>
      <c r="C210" s="4">
        <f>TeamHero生成!C210</f>
        <v>31</v>
      </c>
      <c r="D210" s="5">
        <f>TeamHero生成!D210</f>
        <v>1769238</v>
      </c>
      <c r="E210" s="5">
        <f>TeamHero生成!E210</f>
        <v>23596</v>
      </c>
      <c r="F210" s="5">
        <f>TeamHero生成!F210</f>
        <v>35396</v>
      </c>
      <c r="G210" s="4" t="str">
        <f>TeamHero生成!AG210</f>
        <v>有效</v>
      </c>
      <c r="H210" s="4">
        <f>TeamHero生成!G210</f>
        <v>817329</v>
      </c>
      <c r="I210" s="4">
        <f>TeamHero生成!H210</f>
        <v>12328</v>
      </c>
      <c r="J210" s="4">
        <f>TeamHero生成!I210</f>
        <v>17062</v>
      </c>
    </row>
    <row r="211" ht="14.25" customHeight="1" spans="1:10">
      <c r="A211" s="4">
        <f>TeamHero生成!A211</f>
        <v>207</v>
      </c>
      <c r="B211" s="4">
        <f>TeamHero生成!B211</f>
        <v>1011</v>
      </c>
      <c r="C211" s="4">
        <f>TeamHero生成!C211</f>
        <v>31</v>
      </c>
      <c r="D211" s="5">
        <f>TeamHero生成!D211</f>
        <v>1474365</v>
      </c>
      <c r="E211" s="5">
        <f>TeamHero生成!E211</f>
        <v>23596</v>
      </c>
      <c r="F211" s="5">
        <f>TeamHero生成!F211</f>
        <v>29496</v>
      </c>
      <c r="G211" s="4" t="str">
        <f>TeamHero生成!AG211</f>
        <v>有效</v>
      </c>
      <c r="H211" s="4">
        <f>TeamHero生成!G211</f>
        <v>681108</v>
      </c>
      <c r="I211" s="4">
        <f>TeamHero生成!H211</f>
        <v>12328</v>
      </c>
      <c r="J211" s="4">
        <f>TeamHero生成!I211</f>
        <v>14219</v>
      </c>
    </row>
    <row r="212" ht="14.25" customHeight="1" spans="1:10">
      <c r="A212" s="4">
        <f>TeamHero生成!A212</f>
        <v>208</v>
      </c>
      <c r="B212" s="4">
        <f>TeamHero生成!B212</f>
        <v>1021</v>
      </c>
      <c r="C212" s="4">
        <f>TeamHero生成!C212</f>
        <v>31</v>
      </c>
      <c r="D212" s="5">
        <f>TeamHero生成!D212</f>
        <v>1179492</v>
      </c>
      <c r="E212" s="5">
        <f>TeamHero生成!E212</f>
        <v>28315</v>
      </c>
      <c r="F212" s="5">
        <f>TeamHero生成!F212</f>
        <v>23597</v>
      </c>
      <c r="G212" s="4" t="str">
        <f>TeamHero生成!AG212</f>
        <v>有效</v>
      </c>
      <c r="H212" s="4">
        <f>TeamHero生成!G212</f>
        <v>544886</v>
      </c>
      <c r="I212" s="4">
        <f>TeamHero生成!H212</f>
        <v>14793</v>
      </c>
      <c r="J212" s="4">
        <f>TeamHero生成!I212</f>
        <v>11375</v>
      </c>
    </row>
    <row r="213" ht="14.25" customHeight="1" spans="1:10">
      <c r="A213" s="4">
        <f>TeamHero生成!A213</f>
        <v>209</v>
      </c>
      <c r="B213" s="4">
        <f>TeamHero生成!B213</f>
        <v>1040</v>
      </c>
      <c r="C213" s="4">
        <f>TeamHero生成!C213</f>
        <v>31</v>
      </c>
      <c r="D213" s="5">
        <f>TeamHero生成!D213</f>
        <v>1474365</v>
      </c>
      <c r="E213" s="5">
        <f>TeamHero生成!E213</f>
        <v>23596</v>
      </c>
      <c r="F213" s="5">
        <f>TeamHero生成!F213</f>
        <v>29496</v>
      </c>
      <c r="G213" s="4" t="str">
        <f>TeamHero生成!AG213</f>
        <v>有效</v>
      </c>
      <c r="H213" s="4">
        <f>TeamHero生成!G213</f>
        <v>681108</v>
      </c>
      <c r="I213" s="4">
        <f>TeamHero生成!H213</f>
        <v>12328</v>
      </c>
      <c r="J213" s="4">
        <f>TeamHero生成!I213</f>
        <v>14219</v>
      </c>
    </row>
    <row r="214" ht="14.25" customHeight="1" spans="1:10">
      <c r="A214" s="4">
        <f>TeamHero生成!A214</f>
        <v>210</v>
      </c>
      <c r="B214" s="4">
        <f>TeamHero生成!B214</f>
        <v>1012</v>
      </c>
      <c r="C214" s="4">
        <f>TeamHero生成!C214</f>
        <v>31</v>
      </c>
      <c r="D214" s="5">
        <f>TeamHero生成!D214</f>
        <v>1474365</v>
      </c>
      <c r="E214" s="5">
        <f>TeamHero生成!E214</f>
        <v>23596</v>
      </c>
      <c r="F214" s="5">
        <f>TeamHero生成!F214</f>
        <v>29496</v>
      </c>
      <c r="G214" s="4" t="str">
        <f>TeamHero生成!AG214</f>
        <v>有效</v>
      </c>
      <c r="H214" s="4">
        <f>TeamHero生成!G214</f>
        <v>681108</v>
      </c>
      <c r="I214" s="4">
        <f>TeamHero生成!H214</f>
        <v>12328</v>
      </c>
      <c r="J214" s="4">
        <f>TeamHero生成!I214</f>
        <v>14219</v>
      </c>
    </row>
    <row r="215" ht="14.25" customHeight="1" spans="1:10">
      <c r="A215" s="4">
        <f>TeamHero生成!A215</f>
        <v>211</v>
      </c>
      <c r="B215" s="4">
        <f>TeamHero生成!B215</f>
        <v>1002</v>
      </c>
      <c r="C215" s="4">
        <f>TeamHero生成!C215</f>
        <v>31</v>
      </c>
      <c r="D215" s="5">
        <f>TeamHero生成!D215</f>
        <v>1820904</v>
      </c>
      <c r="E215" s="5">
        <f>TeamHero生成!E215</f>
        <v>24086</v>
      </c>
      <c r="F215" s="5">
        <f>TeamHero生成!F215</f>
        <v>35927</v>
      </c>
      <c r="G215" s="4" t="str">
        <f>TeamHero生成!AG215</f>
        <v>有效</v>
      </c>
      <c r="H215" s="4">
        <f>TeamHero生成!G215</f>
        <v>859320</v>
      </c>
      <c r="I215" s="4">
        <f>TeamHero生成!H215</f>
        <v>12740</v>
      </c>
      <c r="J215" s="4">
        <f>TeamHero生成!I215</f>
        <v>17534</v>
      </c>
    </row>
    <row r="216" ht="14.25" customHeight="1" spans="1:10">
      <c r="A216" s="4">
        <f>TeamHero生成!A216</f>
        <v>212</v>
      </c>
      <c r="B216" s="4">
        <f>TeamHero生成!B216</f>
        <v>1030</v>
      </c>
      <c r="C216" s="4">
        <f>TeamHero生成!C216</f>
        <v>31</v>
      </c>
      <c r="D216" s="5">
        <f>TeamHero生成!D216</f>
        <v>1820904</v>
      </c>
      <c r="E216" s="5">
        <f>TeamHero生成!E216</f>
        <v>24086</v>
      </c>
      <c r="F216" s="5">
        <f>TeamHero生成!F216</f>
        <v>35927</v>
      </c>
      <c r="G216" s="4" t="str">
        <f>TeamHero生成!AG216</f>
        <v>有效</v>
      </c>
      <c r="H216" s="4">
        <f>TeamHero生成!G216</f>
        <v>859320</v>
      </c>
      <c r="I216" s="4">
        <f>TeamHero生成!H216</f>
        <v>12740</v>
      </c>
      <c r="J216" s="4">
        <f>TeamHero生成!I216</f>
        <v>17534</v>
      </c>
    </row>
    <row r="217" ht="14.25" customHeight="1" spans="1:10">
      <c r="A217" s="4">
        <f>TeamHero生成!A217</f>
        <v>213</v>
      </c>
      <c r="B217" s="4">
        <f>TeamHero生成!B217</f>
        <v>1015</v>
      </c>
      <c r="C217" s="4">
        <f>TeamHero生成!C217</f>
        <v>31</v>
      </c>
      <c r="D217" s="5">
        <f>TeamHero生成!D217</f>
        <v>1517420</v>
      </c>
      <c r="E217" s="5">
        <f>TeamHero生成!E217</f>
        <v>24086</v>
      </c>
      <c r="F217" s="5">
        <f>TeamHero生成!F217</f>
        <v>29939</v>
      </c>
      <c r="G217" s="4" t="str">
        <f>TeamHero生成!AG217</f>
        <v>有效</v>
      </c>
      <c r="H217" s="4">
        <f>TeamHero生成!G217</f>
        <v>716100</v>
      </c>
      <c r="I217" s="4">
        <f>TeamHero生成!H217</f>
        <v>12740</v>
      </c>
      <c r="J217" s="4">
        <f>TeamHero生成!I217</f>
        <v>14612</v>
      </c>
    </row>
    <row r="218" ht="14.25" customHeight="1" spans="1:10">
      <c r="A218" s="4">
        <f>TeamHero生成!A218</f>
        <v>214</v>
      </c>
      <c r="B218" s="4">
        <f>TeamHero生成!B218</f>
        <v>1026</v>
      </c>
      <c r="C218" s="4">
        <f>TeamHero生成!C218</f>
        <v>31</v>
      </c>
      <c r="D218" s="5">
        <f>TeamHero生成!D218</f>
        <v>1213936</v>
      </c>
      <c r="E218" s="5">
        <f>TeamHero生成!E218</f>
        <v>28904</v>
      </c>
      <c r="F218" s="5">
        <f>TeamHero生成!F218</f>
        <v>23951</v>
      </c>
      <c r="G218" s="4" t="str">
        <f>TeamHero生成!AG218</f>
        <v>有效</v>
      </c>
      <c r="H218" s="4">
        <f>TeamHero生成!G218</f>
        <v>572880</v>
      </c>
      <c r="I218" s="4">
        <f>TeamHero生成!H218</f>
        <v>15288</v>
      </c>
      <c r="J218" s="4">
        <f>TeamHero生成!I218</f>
        <v>11689</v>
      </c>
    </row>
    <row r="219" ht="14.25" customHeight="1" spans="1:10">
      <c r="A219" s="4">
        <f>TeamHero生成!A219</f>
        <v>215</v>
      </c>
      <c r="B219" s="4">
        <f>TeamHero生成!B219</f>
        <v>1020</v>
      </c>
      <c r="C219" s="4">
        <f>TeamHero生成!C219</f>
        <v>31</v>
      </c>
      <c r="D219" s="5">
        <f>TeamHero生成!D219</f>
        <v>1517420</v>
      </c>
      <c r="E219" s="5">
        <f>TeamHero生成!E219</f>
        <v>24086</v>
      </c>
      <c r="F219" s="5">
        <f>TeamHero生成!F219</f>
        <v>29939</v>
      </c>
      <c r="G219" s="4" t="str">
        <f>TeamHero生成!AG219</f>
        <v>有效</v>
      </c>
      <c r="H219" s="4">
        <f>TeamHero生成!G219</f>
        <v>716100</v>
      </c>
      <c r="I219" s="4">
        <f>TeamHero生成!H219</f>
        <v>12740</v>
      </c>
      <c r="J219" s="4">
        <f>TeamHero生成!I219</f>
        <v>14612</v>
      </c>
    </row>
    <row r="220" ht="14.25" customHeight="1" spans="1:10">
      <c r="A220" s="4">
        <f>TeamHero生成!A220</f>
        <v>216</v>
      </c>
      <c r="B220" s="4">
        <f>TeamHero生成!B220</f>
        <v>1030</v>
      </c>
      <c r="C220" s="4">
        <f>TeamHero生成!C220</f>
        <v>32</v>
      </c>
      <c r="D220" s="5">
        <f>TeamHero生成!D220</f>
        <v>1891488</v>
      </c>
      <c r="E220" s="5">
        <f>TeamHero生成!E220</f>
        <v>24754</v>
      </c>
      <c r="F220" s="5">
        <f>TeamHero生成!F220</f>
        <v>36639</v>
      </c>
      <c r="G220" s="4" t="str">
        <f>TeamHero生成!AG220</f>
        <v>有效</v>
      </c>
      <c r="H220" s="4">
        <f>TeamHero生成!G220</f>
        <v>902822</v>
      </c>
      <c r="I220" s="4">
        <f>TeamHero生成!H220</f>
        <v>13163</v>
      </c>
      <c r="J220" s="4">
        <f>TeamHero生成!I220</f>
        <v>18010</v>
      </c>
    </row>
    <row r="221" ht="14.25" customHeight="1" spans="1:10">
      <c r="A221" s="4">
        <f>TeamHero生成!A221</f>
        <v>217</v>
      </c>
      <c r="B221" s="4">
        <f>TeamHero生成!B221</f>
        <v>1030</v>
      </c>
      <c r="C221" s="4">
        <f>TeamHero生成!C221</f>
        <v>32</v>
      </c>
      <c r="D221" s="5">
        <f>TeamHero生成!D221</f>
        <v>1891488</v>
      </c>
      <c r="E221" s="5">
        <f>TeamHero生成!E221</f>
        <v>24754</v>
      </c>
      <c r="F221" s="5">
        <f>TeamHero生成!F221</f>
        <v>36639</v>
      </c>
      <c r="G221" s="4" t="str">
        <f>TeamHero生成!AG221</f>
        <v>有效</v>
      </c>
      <c r="H221" s="4">
        <f>TeamHero生成!G221</f>
        <v>902822</v>
      </c>
      <c r="I221" s="4">
        <f>TeamHero生成!H221</f>
        <v>13163</v>
      </c>
      <c r="J221" s="4">
        <f>TeamHero生成!I221</f>
        <v>18010</v>
      </c>
    </row>
    <row r="222" ht="14.25" customHeight="1" spans="1:10">
      <c r="A222" s="4">
        <f>TeamHero生成!A222</f>
        <v>218</v>
      </c>
      <c r="B222" s="4">
        <f>TeamHero生成!B222</f>
        <v>1024</v>
      </c>
      <c r="C222" s="4">
        <f>TeamHero生成!C222</f>
        <v>32</v>
      </c>
      <c r="D222" s="5">
        <f>TeamHero生成!D222</f>
        <v>1260992</v>
      </c>
      <c r="E222" s="5">
        <f>TeamHero生成!E222</f>
        <v>29704</v>
      </c>
      <c r="F222" s="5">
        <f>TeamHero生成!F222</f>
        <v>24426</v>
      </c>
      <c r="G222" s="4" t="str">
        <f>TeamHero生成!AG222</f>
        <v>有效</v>
      </c>
      <c r="H222" s="4">
        <f>TeamHero生成!G222</f>
        <v>601881</v>
      </c>
      <c r="I222" s="4">
        <f>TeamHero生成!H222</f>
        <v>15795</v>
      </c>
      <c r="J222" s="4">
        <f>TeamHero生成!I222</f>
        <v>12007</v>
      </c>
    </row>
    <row r="223" ht="14.25" customHeight="1" spans="1:10">
      <c r="A223" s="4">
        <f>TeamHero生成!A223</f>
        <v>219</v>
      </c>
      <c r="B223" s="4">
        <f>TeamHero生成!B223</f>
        <v>1020</v>
      </c>
      <c r="C223" s="4">
        <f>TeamHero生成!C223</f>
        <v>32</v>
      </c>
      <c r="D223" s="5">
        <f>TeamHero生成!D223</f>
        <v>1576240</v>
      </c>
      <c r="E223" s="5">
        <f>TeamHero生成!E223</f>
        <v>24754</v>
      </c>
      <c r="F223" s="5">
        <f>TeamHero生成!F223</f>
        <v>30533</v>
      </c>
      <c r="G223" s="4" t="str">
        <f>TeamHero生成!AG223</f>
        <v>有效</v>
      </c>
      <c r="H223" s="4">
        <f>TeamHero生成!G223</f>
        <v>752352</v>
      </c>
      <c r="I223" s="4">
        <f>TeamHero生成!H223</f>
        <v>13163</v>
      </c>
      <c r="J223" s="4">
        <f>TeamHero生成!I223</f>
        <v>15009</v>
      </c>
    </row>
    <row r="224" ht="14.25" customHeight="1" spans="1:10">
      <c r="A224" s="4">
        <f>TeamHero生成!A224</f>
        <v>220</v>
      </c>
      <c r="B224" s="4">
        <f>TeamHero生成!B224</f>
        <v>1011</v>
      </c>
      <c r="C224" s="4">
        <f>TeamHero生成!C224</f>
        <v>32</v>
      </c>
      <c r="D224" s="5">
        <f>TeamHero生成!D224</f>
        <v>1576240</v>
      </c>
      <c r="E224" s="5">
        <f>TeamHero生成!E224</f>
        <v>24754</v>
      </c>
      <c r="F224" s="5">
        <f>TeamHero生成!F224</f>
        <v>30533</v>
      </c>
      <c r="G224" s="4" t="str">
        <f>TeamHero生成!AG224</f>
        <v>有效</v>
      </c>
      <c r="H224" s="4">
        <f>TeamHero生成!G224</f>
        <v>752352</v>
      </c>
      <c r="I224" s="4">
        <f>TeamHero生成!H224</f>
        <v>13163</v>
      </c>
      <c r="J224" s="4">
        <f>TeamHero生成!I224</f>
        <v>15009</v>
      </c>
    </row>
    <row r="225" ht="14.25" customHeight="1" spans="1:10">
      <c r="A225" s="4">
        <f>TeamHero生成!A225</f>
        <v>221</v>
      </c>
      <c r="B225" s="4">
        <f>TeamHero生成!B225</f>
        <v>1030</v>
      </c>
      <c r="C225" s="4">
        <f>TeamHero生成!C225</f>
        <v>32</v>
      </c>
      <c r="D225" s="5">
        <f>TeamHero生成!D225</f>
        <v>1945722</v>
      </c>
      <c r="E225" s="5">
        <f>TeamHero生成!E225</f>
        <v>25264</v>
      </c>
      <c r="F225" s="5">
        <f>TeamHero生成!F225</f>
        <v>37178</v>
      </c>
      <c r="G225" s="4" t="str">
        <f>TeamHero生成!AG225</f>
        <v>有效</v>
      </c>
      <c r="H225" s="4">
        <f>TeamHero生成!G225</f>
        <v>947858</v>
      </c>
      <c r="I225" s="4">
        <f>TeamHero生成!H225</f>
        <v>13592</v>
      </c>
      <c r="J225" s="4">
        <f>TeamHero生成!I225</f>
        <v>18492</v>
      </c>
    </row>
    <row r="226" ht="14.25" customHeight="1" spans="1:10">
      <c r="A226" s="4">
        <f>TeamHero生成!A226</f>
        <v>222</v>
      </c>
      <c r="B226" s="4">
        <f>TeamHero生成!B226</f>
        <v>1001</v>
      </c>
      <c r="C226" s="4">
        <f>TeamHero生成!C226</f>
        <v>32</v>
      </c>
      <c r="D226" s="5">
        <f>TeamHero生成!D226</f>
        <v>1297148</v>
      </c>
      <c r="E226" s="5">
        <f>TeamHero生成!E226</f>
        <v>30316</v>
      </c>
      <c r="F226" s="5">
        <f>TeamHero生成!F226</f>
        <v>24785</v>
      </c>
      <c r="G226" s="4" t="str">
        <f>TeamHero生成!AG226</f>
        <v>有效</v>
      </c>
      <c r="H226" s="4">
        <f>TeamHero生成!G226</f>
        <v>631905</v>
      </c>
      <c r="I226" s="4">
        <f>TeamHero生成!H226</f>
        <v>16310</v>
      </c>
      <c r="J226" s="4">
        <f>TeamHero生成!I226</f>
        <v>12328</v>
      </c>
    </row>
    <row r="227" ht="14.25" customHeight="1" spans="1:10">
      <c r="A227" s="4">
        <f>TeamHero生成!A227</f>
        <v>223</v>
      </c>
      <c r="B227" s="4">
        <f>TeamHero生成!B227</f>
        <v>1021</v>
      </c>
      <c r="C227" s="4">
        <f>TeamHero生成!C227</f>
        <v>32</v>
      </c>
      <c r="D227" s="5">
        <f>TeamHero生成!D227</f>
        <v>1297148</v>
      </c>
      <c r="E227" s="5">
        <f>TeamHero生成!E227</f>
        <v>30316</v>
      </c>
      <c r="F227" s="5">
        <f>TeamHero生成!F227</f>
        <v>24785</v>
      </c>
      <c r="G227" s="4" t="str">
        <f>TeamHero生成!AG227</f>
        <v>有效</v>
      </c>
      <c r="H227" s="4">
        <f>TeamHero生成!G227</f>
        <v>631905</v>
      </c>
      <c r="I227" s="4">
        <f>TeamHero生成!H227</f>
        <v>16310</v>
      </c>
      <c r="J227" s="4">
        <f>TeamHero生成!I227</f>
        <v>12328</v>
      </c>
    </row>
    <row r="228" ht="14.25" customHeight="1" spans="1:10">
      <c r="A228" s="4">
        <f>TeamHero生成!A228</f>
        <v>224</v>
      </c>
      <c r="B228" s="4">
        <f>TeamHero生成!B228</f>
        <v>1020</v>
      </c>
      <c r="C228" s="4">
        <f>TeamHero生成!C228</f>
        <v>32</v>
      </c>
      <c r="D228" s="5">
        <f>TeamHero生成!D228</f>
        <v>1621435</v>
      </c>
      <c r="E228" s="5">
        <f>TeamHero生成!E228</f>
        <v>25264</v>
      </c>
      <c r="F228" s="5">
        <f>TeamHero生成!F228</f>
        <v>30981</v>
      </c>
      <c r="G228" s="4" t="str">
        <f>TeamHero生成!AG228</f>
        <v>有效</v>
      </c>
      <c r="H228" s="4">
        <f>TeamHero生成!G228</f>
        <v>789882</v>
      </c>
      <c r="I228" s="4">
        <f>TeamHero生成!H228</f>
        <v>13592</v>
      </c>
      <c r="J228" s="4">
        <f>TeamHero生成!I228</f>
        <v>15410</v>
      </c>
    </row>
    <row r="229" ht="14.25" customHeight="1" spans="1:10">
      <c r="A229" s="4">
        <f>TeamHero生成!A229</f>
        <v>225</v>
      </c>
      <c r="B229" s="4">
        <f>TeamHero生成!B229</f>
        <v>1011</v>
      </c>
      <c r="C229" s="4">
        <f>TeamHero生成!C229</f>
        <v>32</v>
      </c>
      <c r="D229" s="5">
        <f>TeamHero生成!D229</f>
        <v>1621435</v>
      </c>
      <c r="E229" s="5">
        <f>TeamHero生成!E229</f>
        <v>25264</v>
      </c>
      <c r="F229" s="5">
        <f>TeamHero生成!F229</f>
        <v>30981</v>
      </c>
      <c r="G229" s="4" t="str">
        <f>TeamHero生成!AG229</f>
        <v>有效</v>
      </c>
      <c r="H229" s="4">
        <f>TeamHero生成!G229</f>
        <v>789882</v>
      </c>
      <c r="I229" s="4">
        <f>TeamHero生成!H229</f>
        <v>13592</v>
      </c>
      <c r="J229" s="4">
        <f>TeamHero生成!I229</f>
        <v>15410</v>
      </c>
    </row>
    <row r="230" ht="14.25" customHeight="1" spans="1:10">
      <c r="A230" s="4">
        <f>TeamHero生成!A230</f>
        <v>226</v>
      </c>
      <c r="B230" s="4">
        <f>TeamHero生成!B230</f>
        <v>1030</v>
      </c>
      <c r="C230" s="4">
        <f>TeamHero生成!C230</f>
        <v>33</v>
      </c>
      <c r="D230" s="5">
        <f>TeamHero生成!D230</f>
        <v>2019792</v>
      </c>
      <c r="E230" s="5">
        <f>TeamHero生成!E230</f>
        <v>25956</v>
      </c>
      <c r="F230" s="5">
        <f>TeamHero生成!F230</f>
        <v>37901</v>
      </c>
      <c r="G230" s="4" t="str">
        <f>TeamHero生成!AG230</f>
        <v>有效</v>
      </c>
      <c r="H230" s="4">
        <f>TeamHero生成!G230</f>
        <v>994471</v>
      </c>
      <c r="I230" s="4">
        <f>TeamHero生成!H230</f>
        <v>14033</v>
      </c>
      <c r="J230" s="4">
        <f>TeamHero生成!I230</f>
        <v>18976</v>
      </c>
    </row>
    <row r="231" ht="14.25" customHeight="1" spans="1:10">
      <c r="A231" s="4">
        <f>TeamHero生成!A231</f>
        <v>227</v>
      </c>
      <c r="B231" s="4">
        <f>TeamHero生成!B231</f>
        <v>1012</v>
      </c>
      <c r="C231" s="4">
        <f>TeamHero生成!C231</f>
        <v>33</v>
      </c>
      <c r="D231" s="5">
        <f>TeamHero生成!D231</f>
        <v>1683160</v>
      </c>
      <c r="E231" s="5">
        <f>TeamHero生成!E231</f>
        <v>25956</v>
      </c>
      <c r="F231" s="5">
        <f>TeamHero生成!F231</f>
        <v>31584</v>
      </c>
      <c r="G231" s="4" t="str">
        <f>TeamHero生成!AG231</f>
        <v>有效</v>
      </c>
      <c r="H231" s="4">
        <f>TeamHero生成!G231</f>
        <v>828726</v>
      </c>
      <c r="I231" s="4">
        <f>TeamHero生成!H231</f>
        <v>14033</v>
      </c>
      <c r="J231" s="4">
        <f>TeamHero生成!I231</f>
        <v>15814</v>
      </c>
    </row>
    <row r="232" ht="14.25" customHeight="1" spans="1:10">
      <c r="A232" s="4">
        <f>TeamHero生成!A232</f>
        <v>228</v>
      </c>
      <c r="B232" s="4">
        <f>TeamHero生成!B232</f>
        <v>1011</v>
      </c>
      <c r="C232" s="4">
        <f>TeamHero生成!C232</f>
        <v>33</v>
      </c>
      <c r="D232" s="5">
        <f>TeamHero生成!D232</f>
        <v>1683160</v>
      </c>
      <c r="E232" s="5">
        <f>TeamHero生成!E232</f>
        <v>25956</v>
      </c>
      <c r="F232" s="5">
        <f>TeamHero生成!F232</f>
        <v>31584</v>
      </c>
      <c r="G232" s="4" t="str">
        <f>TeamHero生成!AG232</f>
        <v>有效</v>
      </c>
      <c r="H232" s="4">
        <f>TeamHero生成!G232</f>
        <v>828726</v>
      </c>
      <c r="I232" s="4">
        <f>TeamHero生成!H232</f>
        <v>14033</v>
      </c>
      <c r="J232" s="4">
        <f>TeamHero生成!I232</f>
        <v>15814</v>
      </c>
    </row>
    <row r="233" ht="14.25" customHeight="1" spans="1:10">
      <c r="A233" s="4">
        <f>TeamHero生成!A233</f>
        <v>229</v>
      </c>
      <c r="B233" s="4">
        <f>TeamHero生成!B233</f>
        <v>1018</v>
      </c>
      <c r="C233" s="4">
        <f>TeamHero生成!C233</f>
        <v>33</v>
      </c>
      <c r="D233" s="5">
        <f>TeamHero生成!D233</f>
        <v>1683160</v>
      </c>
      <c r="E233" s="5">
        <f>TeamHero生成!E233</f>
        <v>25956</v>
      </c>
      <c r="F233" s="5">
        <f>TeamHero生成!F233</f>
        <v>31584</v>
      </c>
      <c r="G233" s="4" t="str">
        <f>TeamHero生成!AG233</f>
        <v>有效</v>
      </c>
      <c r="H233" s="4">
        <f>TeamHero生成!G233</f>
        <v>828726</v>
      </c>
      <c r="I233" s="4">
        <f>TeamHero生成!H233</f>
        <v>14033</v>
      </c>
      <c r="J233" s="4">
        <f>TeamHero生成!I233</f>
        <v>15814</v>
      </c>
    </row>
    <row r="234" ht="14.25" customHeight="1" spans="1:10">
      <c r="A234" s="4">
        <f>TeamHero生成!A234</f>
        <v>230</v>
      </c>
      <c r="B234" s="4">
        <f>TeamHero生成!B234</f>
        <v>1018</v>
      </c>
      <c r="C234" s="4">
        <f>TeamHero生成!C234</f>
        <v>33</v>
      </c>
      <c r="D234" s="5">
        <f>TeamHero生成!D234</f>
        <v>1683160</v>
      </c>
      <c r="E234" s="5">
        <f>TeamHero生成!E234</f>
        <v>25956</v>
      </c>
      <c r="F234" s="5">
        <f>TeamHero生成!F234</f>
        <v>31584</v>
      </c>
      <c r="G234" s="4" t="str">
        <f>TeamHero生成!AG234</f>
        <v>有效</v>
      </c>
      <c r="H234" s="4">
        <f>TeamHero生成!G234</f>
        <v>828726</v>
      </c>
      <c r="I234" s="4">
        <f>TeamHero生成!H234</f>
        <v>14033</v>
      </c>
      <c r="J234" s="4">
        <f>TeamHero生成!I234</f>
        <v>15814</v>
      </c>
    </row>
    <row r="235" ht="14.25" customHeight="1" spans="1:10">
      <c r="A235" s="4">
        <f>TeamHero生成!A235</f>
        <v>231</v>
      </c>
      <c r="B235" s="4">
        <f>TeamHero生成!B235</f>
        <v>1030</v>
      </c>
      <c r="C235" s="4">
        <f>TeamHero生成!C235</f>
        <v>33</v>
      </c>
      <c r="D235" s="5">
        <f>TeamHero生成!D235</f>
        <v>2076684</v>
      </c>
      <c r="E235" s="5">
        <f>TeamHero生成!E235</f>
        <v>26486</v>
      </c>
      <c r="F235" s="5">
        <f>TeamHero生成!F235</f>
        <v>38445</v>
      </c>
      <c r="G235" s="4" t="str">
        <f>TeamHero生成!AG235</f>
        <v>有效</v>
      </c>
      <c r="H235" s="4">
        <f>TeamHero生成!G235</f>
        <v>1042682</v>
      </c>
      <c r="I235" s="4">
        <f>TeamHero生成!H235</f>
        <v>14482</v>
      </c>
      <c r="J235" s="4">
        <f>TeamHero生成!I235</f>
        <v>19466</v>
      </c>
    </row>
    <row r="236" ht="14.25" customHeight="1" spans="1:10">
      <c r="A236" s="4">
        <f>TeamHero生成!A236</f>
        <v>232</v>
      </c>
      <c r="B236" s="4">
        <f>TeamHero生成!B236</f>
        <v>1012</v>
      </c>
      <c r="C236" s="4">
        <f>TeamHero生成!C236</f>
        <v>33</v>
      </c>
      <c r="D236" s="5">
        <f>TeamHero生成!D236</f>
        <v>1730570</v>
      </c>
      <c r="E236" s="5">
        <f>TeamHero生成!E236</f>
        <v>26486</v>
      </c>
      <c r="F236" s="5">
        <f>TeamHero生成!F236</f>
        <v>32038</v>
      </c>
      <c r="G236" s="4" t="str">
        <f>TeamHero生成!AG236</f>
        <v>有效</v>
      </c>
      <c r="H236" s="4">
        <f>TeamHero生成!G236</f>
        <v>868902</v>
      </c>
      <c r="I236" s="4">
        <f>TeamHero生成!H236</f>
        <v>14482</v>
      </c>
      <c r="J236" s="4">
        <f>TeamHero生成!I236</f>
        <v>16222</v>
      </c>
    </row>
    <row r="237" ht="14.25" customHeight="1" spans="1:10">
      <c r="A237" s="4">
        <f>TeamHero生成!A237</f>
        <v>233</v>
      </c>
      <c r="B237" s="4">
        <f>TeamHero生成!B237</f>
        <v>1012</v>
      </c>
      <c r="C237" s="4">
        <f>TeamHero生成!C237</f>
        <v>33</v>
      </c>
      <c r="D237" s="5">
        <f>TeamHero生成!D237</f>
        <v>1730570</v>
      </c>
      <c r="E237" s="5">
        <f>TeamHero生成!E237</f>
        <v>26486</v>
      </c>
      <c r="F237" s="5">
        <f>TeamHero生成!F237</f>
        <v>32038</v>
      </c>
      <c r="G237" s="4" t="str">
        <f>TeamHero生成!AG237</f>
        <v>有效</v>
      </c>
      <c r="H237" s="4">
        <f>TeamHero生成!G237</f>
        <v>868902</v>
      </c>
      <c r="I237" s="4">
        <f>TeamHero生成!H237</f>
        <v>14482</v>
      </c>
      <c r="J237" s="4">
        <f>TeamHero生成!I237</f>
        <v>16222</v>
      </c>
    </row>
    <row r="238" ht="14.25" customHeight="1" spans="1:10">
      <c r="A238" s="4">
        <f>TeamHero生成!A238</f>
        <v>234</v>
      </c>
      <c r="B238" s="4">
        <f>TeamHero生成!B238</f>
        <v>1026</v>
      </c>
      <c r="C238" s="4">
        <f>TeamHero生成!C238</f>
        <v>33</v>
      </c>
      <c r="D238" s="5">
        <f>TeamHero生成!D238</f>
        <v>1384456</v>
      </c>
      <c r="E238" s="5">
        <f>TeamHero生成!E238</f>
        <v>31784</v>
      </c>
      <c r="F238" s="5">
        <f>TeamHero生成!F238</f>
        <v>25630</v>
      </c>
      <c r="G238" s="4" t="str">
        <f>TeamHero生成!AG238</f>
        <v>有效</v>
      </c>
      <c r="H238" s="4">
        <f>TeamHero生成!G238</f>
        <v>695121</v>
      </c>
      <c r="I238" s="4">
        <f>TeamHero生成!H238</f>
        <v>17378</v>
      </c>
      <c r="J238" s="4">
        <f>TeamHero生成!I238</f>
        <v>12977</v>
      </c>
    </row>
    <row r="239" ht="14.25" customHeight="1" spans="1:10">
      <c r="A239" s="4">
        <f>TeamHero生成!A239</f>
        <v>235</v>
      </c>
      <c r="B239" s="4">
        <f>TeamHero生成!B239</f>
        <v>1021</v>
      </c>
      <c r="C239" s="4">
        <f>TeamHero生成!C239</f>
        <v>33</v>
      </c>
      <c r="D239" s="5">
        <f>TeamHero生成!D239</f>
        <v>1384456</v>
      </c>
      <c r="E239" s="5">
        <f>TeamHero生成!E239</f>
        <v>31784</v>
      </c>
      <c r="F239" s="5">
        <f>TeamHero生成!F239</f>
        <v>25630</v>
      </c>
      <c r="G239" s="4" t="str">
        <f>TeamHero生成!AG239</f>
        <v>有效</v>
      </c>
      <c r="H239" s="4">
        <f>TeamHero生成!G239</f>
        <v>695121</v>
      </c>
      <c r="I239" s="4">
        <f>TeamHero生成!H239</f>
        <v>17378</v>
      </c>
      <c r="J239" s="4">
        <f>TeamHero生成!I239</f>
        <v>12977</v>
      </c>
    </row>
    <row r="240" ht="14.25" customHeight="1" spans="1:10">
      <c r="A240" s="4">
        <f>TeamHero生成!A240</f>
        <v>236</v>
      </c>
      <c r="B240" s="4">
        <f>TeamHero生成!B240</f>
        <v>1002</v>
      </c>
      <c r="C240" s="4">
        <f>TeamHero生成!C240</f>
        <v>34</v>
      </c>
      <c r="D240" s="5">
        <f>TeamHero生成!D240</f>
        <v>2115258</v>
      </c>
      <c r="E240" s="5">
        <f>TeamHero生成!E240</f>
        <v>26845</v>
      </c>
      <c r="F240" s="5">
        <f>TeamHero生成!F240</f>
        <v>38811</v>
      </c>
      <c r="G240" s="4" t="str">
        <f>TeamHero生成!AG240</f>
        <v>有效</v>
      </c>
      <c r="H240" s="4">
        <f>TeamHero生成!G240</f>
        <v>1092542</v>
      </c>
      <c r="I240" s="4">
        <f>TeamHero生成!H240</f>
        <v>14939</v>
      </c>
      <c r="J240" s="4">
        <f>TeamHero生成!I240</f>
        <v>19960</v>
      </c>
    </row>
    <row r="241" ht="14.25" customHeight="1" spans="1:10">
      <c r="A241" s="4">
        <f>TeamHero生成!A241</f>
        <v>237</v>
      </c>
      <c r="B241" s="4">
        <f>TeamHero生成!B241</f>
        <v>1015</v>
      </c>
      <c r="C241" s="4">
        <f>TeamHero生成!C241</f>
        <v>34</v>
      </c>
      <c r="D241" s="5">
        <f>TeamHero生成!D241</f>
        <v>1762715</v>
      </c>
      <c r="E241" s="5">
        <f>TeamHero生成!E241</f>
        <v>26845</v>
      </c>
      <c r="F241" s="5">
        <f>TeamHero生成!F241</f>
        <v>32343</v>
      </c>
      <c r="G241" s="4" t="str">
        <f>TeamHero生成!AG241</f>
        <v>有效</v>
      </c>
      <c r="H241" s="4">
        <f>TeamHero生成!G241</f>
        <v>910452</v>
      </c>
      <c r="I241" s="4">
        <f>TeamHero生成!H241</f>
        <v>14939</v>
      </c>
      <c r="J241" s="4">
        <f>TeamHero生成!I241</f>
        <v>16634</v>
      </c>
    </row>
    <row r="242" ht="14.25" customHeight="1" spans="1:10">
      <c r="A242" s="4">
        <f>TeamHero生成!A242</f>
        <v>238</v>
      </c>
      <c r="B242" s="4">
        <f>TeamHero生成!B242</f>
        <v>1020</v>
      </c>
      <c r="C242" s="4">
        <f>TeamHero生成!C242</f>
        <v>34</v>
      </c>
      <c r="D242" s="5">
        <f>TeamHero生成!D242</f>
        <v>1762715</v>
      </c>
      <c r="E242" s="5">
        <f>TeamHero生成!E242</f>
        <v>26845</v>
      </c>
      <c r="F242" s="5">
        <f>TeamHero生成!F242</f>
        <v>32343</v>
      </c>
      <c r="G242" s="4" t="str">
        <f>TeamHero生成!AG242</f>
        <v>有效</v>
      </c>
      <c r="H242" s="4">
        <f>TeamHero生成!G242</f>
        <v>910452</v>
      </c>
      <c r="I242" s="4">
        <f>TeamHero生成!H242</f>
        <v>14939</v>
      </c>
      <c r="J242" s="4">
        <f>TeamHero生成!I242</f>
        <v>16634</v>
      </c>
    </row>
    <row r="243" ht="14.25" customHeight="1" spans="1:10">
      <c r="A243" s="4">
        <f>TeamHero生成!A243</f>
        <v>239</v>
      </c>
      <c r="B243" s="4">
        <f>TeamHero生成!B243</f>
        <v>1021</v>
      </c>
      <c r="C243" s="4">
        <f>TeamHero生成!C243</f>
        <v>34</v>
      </c>
      <c r="D243" s="5">
        <f>TeamHero生成!D243</f>
        <v>1410172</v>
      </c>
      <c r="E243" s="5">
        <f>TeamHero生成!E243</f>
        <v>32214</v>
      </c>
      <c r="F243" s="5">
        <f>TeamHero生成!F243</f>
        <v>25874</v>
      </c>
      <c r="G243" s="4" t="str">
        <f>TeamHero生成!AG243</f>
        <v>有效</v>
      </c>
      <c r="H243" s="4">
        <f>TeamHero生成!G243</f>
        <v>728361</v>
      </c>
      <c r="I243" s="4">
        <f>TeamHero生成!H243</f>
        <v>17926</v>
      </c>
      <c r="J243" s="4">
        <f>TeamHero生成!I243</f>
        <v>13307</v>
      </c>
    </row>
    <row r="244" ht="14.25" customHeight="1" spans="1:10">
      <c r="A244" s="4">
        <f>TeamHero生成!A244</f>
        <v>240</v>
      </c>
      <c r="B244" s="4">
        <f>TeamHero生成!B244</f>
        <v>1040</v>
      </c>
      <c r="C244" s="4">
        <f>TeamHero生成!C244</f>
        <v>34</v>
      </c>
      <c r="D244" s="5">
        <f>TeamHero生成!D244</f>
        <v>1762715</v>
      </c>
      <c r="E244" s="5">
        <f>TeamHero生成!E244</f>
        <v>26845</v>
      </c>
      <c r="F244" s="5">
        <f>TeamHero生成!F244</f>
        <v>32343</v>
      </c>
      <c r="G244" s="4" t="str">
        <f>TeamHero生成!AG244</f>
        <v>有效</v>
      </c>
      <c r="H244" s="4">
        <f>TeamHero生成!G244</f>
        <v>910452</v>
      </c>
      <c r="I244" s="4">
        <f>TeamHero生成!H244</f>
        <v>14939</v>
      </c>
      <c r="J244" s="4">
        <f>TeamHero生成!I244</f>
        <v>16634</v>
      </c>
    </row>
    <row r="245" ht="14.25" customHeight="1" spans="1:10">
      <c r="A245" s="4">
        <f>TeamHero生成!A245</f>
        <v>241</v>
      </c>
      <c r="B245" s="4">
        <f>TeamHero生成!B245</f>
        <v>1030</v>
      </c>
      <c r="C245" s="4">
        <f>TeamHero生成!C245</f>
        <v>34</v>
      </c>
      <c r="D245" s="5">
        <f>TeamHero生成!D245</f>
        <v>2193978</v>
      </c>
      <c r="E245" s="5">
        <f>TeamHero生成!E245</f>
        <v>27574</v>
      </c>
      <c r="F245" s="5">
        <f>TeamHero生成!F245</f>
        <v>39546</v>
      </c>
      <c r="G245" s="4" t="str">
        <f>TeamHero生成!AG245</f>
        <v>有效</v>
      </c>
      <c r="H245" s="4">
        <f>TeamHero生成!G245</f>
        <v>1144072</v>
      </c>
      <c r="I245" s="4">
        <f>TeamHero生成!H245</f>
        <v>15407</v>
      </c>
      <c r="J245" s="4">
        <f>TeamHero生成!I245</f>
        <v>20458</v>
      </c>
    </row>
    <row r="246" ht="14.25" customHeight="1" spans="1:10">
      <c r="A246" s="4">
        <f>TeamHero生成!A246</f>
        <v>242</v>
      </c>
      <c r="B246" s="4">
        <f>TeamHero生成!B246</f>
        <v>1002</v>
      </c>
      <c r="C246" s="4">
        <f>TeamHero生成!C246</f>
        <v>34</v>
      </c>
      <c r="D246" s="5">
        <f>TeamHero生成!D246</f>
        <v>2193978</v>
      </c>
      <c r="E246" s="5">
        <f>TeamHero生成!E246</f>
        <v>27574</v>
      </c>
      <c r="F246" s="5">
        <f>TeamHero生成!F246</f>
        <v>39546</v>
      </c>
      <c r="G246" s="4" t="str">
        <f>TeamHero生成!AG246</f>
        <v>有效</v>
      </c>
      <c r="H246" s="4">
        <f>TeamHero生成!G246</f>
        <v>1144072</v>
      </c>
      <c r="I246" s="4">
        <f>TeamHero生成!H246</f>
        <v>15407</v>
      </c>
      <c r="J246" s="4">
        <f>TeamHero生成!I246</f>
        <v>20458</v>
      </c>
    </row>
    <row r="247" ht="14.25" customHeight="1" spans="1:10">
      <c r="A247" s="4">
        <f>TeamHero生成!A247</f>
        <v>243</v>
      </c>
      <c r="B247" s="4">
        <f>TeamHero生成!B247</f>
        <v>1030</v>
      </c>
      <c r="C247" s="4">
        <f>TeamHero生成!C247</f>
        <v>34</v>
      </c>
      <c r="D247" s="5">
        <f>TeamHero生成!D247</f>
        <v>2193978</v>
      </c>
      <c r="E247" s="5">
        <f>TeamHero生成!E247</f>
        <v>27574</v>
      </c>
      <c r="F247" s="5">
        <f>TeamHero生成!F247</f>
        <v>39546</v>
      </c>
      <c r="G247" s="4" t="str">
        <f>TeamHero生成!AG247</f>
        <v>有效</v>
      </c>
      <c r="H247" s="4">
        <f>TeamHero生成!G247</f>
        <v>1144072</v>
      </c>
      <c r="I247" s="4">
        <f>TeamHero生成!H247</f>
        <v>15407</v>
      </c>
      <c r="J247" s="4">
        <f>TeamHero生成!I247</f>
        <v>20458</v>
      </c>
    </row>
    <row r="248" ht="14.25" customHeight="1" spans="1:10">
      <c r="A248" s="4">
        <f>TeamHero生成!A248</f>
        <v>244</v>
      </c>
      <c r="B248" s="4">
        <f>TeamHero生成!B248</f>
        <v>1018</v>
      </c>
      <c r="C248" s="4">
        <f>TeamHero生成!C248</f>
        <v>34</v>
      </c>
      <c r="D248" s="5">
        <f>TeamHero生成!D248</f>
        <v>1828315</v>
      </c>
      <c r="E248" s="5">
        <f>TeamHero生成!E248</f>
        <v>27574</v>
      </c>
      <c r="F248" s="5">
        <f>TeamHero生成!F248</f>
        <v>32955</v>
      </c>
      <c r="G248" s="4" t="str">
        <f>TeamHero生成!AG248</f>
        <v>有效</v>
      </c>
      <c r="H248" s="4">
        <f>TeamHero生成!G248</f>
        <v>953394</v>
      </c>
      <c r="I248" s="4">
        <f>TeamHero生成!H248</f>
        <v>15407</v>
      </c>
      <c r="J248" s="4">
        <f>TeamHero生成!I248</f>
        <v>17049</v>
      </c>
    </row>
    <row r="249" ht="14.25" customHeight="1" spans="1:10">
      <c r="A249" s="4">
        <f>TeamHero生成!A249</f>
        <v>245</v>
      </c>
      <c r="B249" s="4">
        <f>TeamHero生成!B249</f>
        <v>1021</v>
      </c>
      <c r="C249" s="4">
        <f>TeamHero生成!C249</f>
        <v>34</v>
      </c>
      <c r="D249" s="5">
        <f>TeamHero生成!D249</f>
        <v>1462652</v>
      </c>
      <c r="E249" s="5">
        <f>TeamHero生成!E249</f>
        <v>33088</v>
      </c>
      <c r="F249" s="5">
        <f>TeamHero生成!F249</f>
        <v>26364</v>
      </c>
      <c r="G249" s="4" t="str">
        <f>TeamHero生成!AG249</f>
        <v>有效</v>
      </c>
      <c r="H249" s="4">
        <f>TeamHero生成!G249</f>
        <v>762715</v>
      </c>
      <c r="I249" s="4">
        <f>TeamHero生成!H249</f>
        <v>18488</v>
      </c>
      <c r="J249" s="4">
        <f>TeamHero生成!I249</f>
        <v>13639</v>
      </c>
    </row>
    <row r="250" ht="14.25" customHeight="1" spans="1:10">
      <c r="A250" s="4">
        <f>TeamHero生成!A250</f>
        <v>246</v>
      </c>
      <c r="B250" s="4">
        <f>TeamHero生成!B250</f>
        <v>1030</v>
      </c>
      <c r="C250" s="4">
        <f>TeamHero生成!C250</f>
        <v>35</v>
      </c>
      <c r="D250" s="5">
        <f>TeamHero生成!D250</f>
        <v>2274834</v>
      </c>
      <c r="E250" s="5">
        <f>TeamHero生成!E250</f>
        <v>28319</v>
      </c>
      <c r="F250" s="5">
        <f>TeamHero生成!F250</f>
        <v>40286</v>
      </c>
      <c r="G250" s="4" t="str">
        <f>TeamHero生成!AG250</f>
        <v>有效</v>
      </c>
      <c r="H250" s="4">
        <f>TeamHero生成!G250</f>
        <v>1197316</v>
      </c>
      <c r="I250" s="4">
        <f>TeamHero生成!H250</f>
        <v>15884</v>
      </c>
      <c r="J250" s="4">
        <f>TeamHero生成!I250</f>
        <v>20961</v>
      </c>
    </row>
    <row r="251" ht="14.25" customHeight="1" spans="1:10">
      <c r="A251" s="4">
        <f>TeamHero生成!A251</f>
        <v>247</v>
      </c>
      <c r="B251" s="4">
        <f>TeamHero生成!B251</f>
        <v>1021</v>
      </c>
      <c r="C251" s="4">
        <f>TeamHero生成!C251</f>
        <v>35</v>
      </c>
      <c r="D251" s="5">
        <f>TeamHero生成!D251</f>
        <v>1516556</v>
      </c>
      <c r="E251" s="5">
        <f>TeamHero生成!E251</f>
        <v>33983</v>
      </c>
      <c r="F251" s="5">
        <f>TeamHero生成!F251</f>
        <v>26857</v>
      </c>
      <c r="G251" s="4" t="str">
        <f>TeamHero生成!AG251</f>
        <v>有效</v>
      </c>
      <c r="H251" s="4">
        <f>TeamHero生成!G251</f>
        <v>798211</v>
      </c>
      <c r="I251" s="4">
        <f>TeamHero生成!H251</f>
        <v>19060</v>
      </c>
      <c r="J251" s="4">
        <f>TeamHero生成!I251</f>
        <v>13974</v>
      </c>
    </row>
    <row r="252" ht="14.25" customHeight="1" spans="1:10">
      <c r="A252" s="4">
        <f>TeamHero生成!A252</f>
        <v>248</v>
      </c>
      <c r="B252" s="4">
        <f>TeamHero生成!B252</f>
        <v>1029</v>
      </c>
      <c r="C252" s="4">
        <f>TeamHero生成!C252</f>
        <v>35</v>
      </c>
      <c r="D252" s="5">
        <f>TeamHero生成!D252</f>
        <v>1895695</v>
      </c>
      <c r="E252" s="5">
        <f>TeamHero生成!E252</f>
        <v>28319</v>
      </c>
      <c r="F252" s="5">
        <f>TeamHero生成!F252</f>
        <v>33571</v>
      </c>
      <c r="G252" s="4" t="str">
        <f>TeamHero生成!AG252</f>
        <v>有效</v>
      </c>
      <c r="H252" s="4">
        <f>TeamHero生成!G252</f>
        <v>997764</v>
      </c>
      <c r="I252" s="4">
        <f>TeamHero生成!H252</f>
        <v>15884</v>
      </c>
      <c r="J252" s="4">
        <f>TeamHero生成!I252</f>
        <v>17468</v>
      </c>
    </row>
    <row r="253" ht="14.25" customHeight="1" spans="1:10">
      <c r="A253" s="4">
        <f>TeamHero生成!A253</f>
        <v>249</v>
      </c>
      <c r="B253" s="4">
        <f>TeamHero生成!B253</f>
        <v>1020</v>
      </c>
      <c r="C253" s="4">
        <f>TeamHero生成!C253</f>
        <v>35</v>
      </c>
      <c r="D253" s="5">
        <f>TeamHero生成!D253</f>
        <v>1895695</v>
      </c>
      <c r="E253" s="5">
        <f>TeamHero生成!E253</f>
        <v>28319</v>
      </c>
      <c r="F253" s="5">
        <f>TeamHero生成!F253</f>
        <v>33571</v>
      </c>
      <c r="G253" s="4" t="str">
        <f>TeamHero生成!AG253</f>
        <v>有效</v>
      </c>
      <c r="H253" s="4">
        <f>TeamHero生成!G253</f>
        <v>997764</v>
      </c>
      <c r="I253" s="4">
        <f>TeamHero生成!H253</f>
        <v>15884</v>
      </c>
      <c r="J253" s="4">
        <f>TeamHero生成!I253</f>
        <v>17468</v>
      </c>
    </row>
    <row r="254" ht="14.25" customHeight="1" spans="1:10">
      <c r="A254" s="4">
        <f>TeamHero生成!A254</f>
        <v>250</v>
      </c>
      <c r="B254" s="4">
        <f>TeamHero生成!B254</f>
        <v>1018</v>
      </c>
      <c r="C254" s="4">
        <f>TeamHero生成!C254</f>
        <v>35</v>
      </c>
      <c r="D254" s="5">
        <f>TeamHero生成!D254</f>
        <v>1895695</v>
      </c>
      <c r="E254" s="5">
        <f>TeamHero生成!E254</f>
        <v>28319</v>
      </c>
      <c r="F254" s="5">
        <f>TeamHero生成!F254</f>
        <v>33571</v>
      </c>
      <c r="G254" s="4" t="str">
        <f>TeamHero生成!AG254</f>
        <v>有效</v>
      </c>
      <c r="H254" s="4">
        <f>TeamHero生成!G254</f>
        <v>997764</v>
      </c>
      <c r="I254" s="4">
        <f>TeamHero生成!H254</f>
        <v>15884</v>
      </c>
      <c r="J254" s="4">
        <f>TeamHero生成!I254</f>
        <v>17468</v>
      </c>
    </row>
    <row r="255" ht="14.25" customHeight="1" spans="1:10">
      <c r="A255" s="4">
        <f>TeamHero生成!A255</f>
        <v>251</v>
      </c>
      <c r="B255" s="4">
        <f>TeamHero生成!B255</f>
        <v>1030</v>
      </c>
      <c r="C255" s="4">
        <f>TeamHero生成!C255</f>
        <v>35</v>
      </c>
      <c r="D255" s="5">
        <f>TeamHero生成!D255</f>
        <v>2316072</v>
      </c>
      <c r="E255" s="5">
        <f>TeamHero生成!E255</f>
        <v>28698</v>
      </c>
      <c r="F255" s="5">
        <f>TeamHero生成!F255</f>
        <v>40658</v>
      </c>
      <c r="G255" s="4" t="str">
        <f>TeamHero生成!AG255</f>
        <v>有效</v>
      </c>
      <c r="H255" s="4">
        <f>TeamHero生成!G255</f>
        <v>1266336</v>
      </c>
      <c r="I255" s="4">
        <f>TeamHero生成!H255</f>
        <v>16495</v>
      </c>
      <c r="J255" s="4">
        <f>TeamHero生成!I255</f>
        <v>21596</v>
      </c>
    </row>
    <row r="256" ht="14.25" customHeight="1" spans="1:10">
      <c r="A256" s="4">
        <f>TeamHero生成!A256</f>
        <v>252</v>
      </c>
      <c r="B256" s="4">
        <f>TeamHero生成!B256</f>
        <v>1015</v>
      </c>
      <c r="C256" s="4">
        <f>TeamHero生成!C256</f>
        <v>35</v>
      </c>
      <c r="D256" s="5">
        <f>TeamHero生成!D256</f>
        <v>1930060</v>
      </c>
      <c r="E256" s="5">
        <f>TeamHero生成!E256</f>
        <v>28698</v>
      </c>
      <c r="F256" s="5">
        <f>TeamHero生成!F256</f>
        <v>33881</v>
      </c>
      <c r="G256" s="4" t="str">
        <f>TeamHero生成!AG256</f>
        <v>有效</v>
      </c>
      <c r="H256" s="4">
        <f>TeamHero生成!G256</f>
        <v>1055280</v>
      </c>
      <c r="I256" s="4">
        <f>TeamHero生成!H256</f>
        <v>16495</v>
      </c>
      <c r="J256" s="4">
        <f>TeamHero生成!I256</f>
        <v>17997</v>
      </c>
    </row>
    <row r="257" ht="14.25" customHeight="1" spans="1:10">
      <c r="A257" s="4">
        <f>TeamHero生成!A257</f>
        <v>253</v>
      </c>
      <c r="B257" s="4">
        <f>TeamHero生成!B257</f>
        <v>1014</v>
      </c>
      <c r="C257" s="4">
        <f>TeamHero生成!C257</f>
        <v>35</v>
      </c>
      <c r="D257" s="5">
        <f>TeamHero生成!D257</f>
        <v>1544048</v>
      </c>
      <c r="E257" s="5">
        <f>TeamHero生成!E257</f>
        <v>34438</v>
      </c>
      <c r="F257" s="5">
        <f>TeamHero生成!F257</f>
        <v>27105</v>
      </c>
      <c r="G257" s="4" t="str">
        <f>TeamHero生成!AG257</f>
        <v>有效</v>
      </c>
      <c r="H257" s="4">
        <f>TeamHero生成!G257</f>
        <v>844224</v>
      </c>
      <c r="I257" s="4">
        <f>TeamHero生成!H257</f>
        <v>19794</v>
      </c>
      <c r="J257" s="4">
        <f>TeamHero生成!I257</f>
        <v>14397</v>
      </c>
    </row>
    <row r="258" ht="14.25" customHeight="1" spans="1:10">
      <c r="A258" s="4">
        <f>TeamHero生成!A258</f>
        <v>254</v>
      </c>
      <c r="B258" s="4">
        <f>TeamHero生成!B258</f>
        <v>1005</v>
      </c>
      <c r="C258" s="4">
        <f>TeamHero生成!C258</f>
        <v>35</v>
      </c>
      <c r="D258" s="5">
        <f>TeamHero生成!D258</f>
        <v>1544048</v>
      </c>
      <c r="E258" s="5">
        <f>TeamHero生成!E258</f>
        <v>34438</v>
      </c>
      <c r="F258" s="5">
        <f>TeamHero生成!F258</f>
        <v>27105</v>
      </c>
      <c r="G258" s="4" t="str">
        <f>TeamHero生成!AG258</f>
        <v>有效</v>
      </c>
      <c r="H258" s="4">
        <f>TeamHero生成!G258</f>
        <v>844224</v>
      </c>
      <c r="I258" s="4">
        <f>TeamHero生成!H258</f>
        <v>19794</v>
      </c>
      <c r="J258" s="4">
        <f>TeamHero生成!I258</f>
        <v>14397</v>
      </c>
    </row>
    <row r="259" ht="14.25" customHeight="1" spans="1:10">
      <c r="A259" s="4">
        <f>TeamHero生成!A259</f>
        <v>255</v>
      </c>
      <c r="B259" s="4">
        <f>TeamHero生成!B259</f>
        <v>1006</v>
      </c>
      <c r="C259" s="4">
        <f>TeamHero生成!C259</f>
        <v>35</v>
      </c>
      <c r="D259" s="5">
        <f>TeamHero生成!D259</f>
        <v>1544048</v>
      </c>
      <c r="E259" s="5">
        <f>TeamHero生成!E259</f>
        <v>34438</v>
      </c>
      <c r="F259" s="5">
        <f>TeamHero生成!F259</f>
        <v>27105</v>
      </c>
      <c r="G259" s="4" t="str">
        <f>TeamHero生成!AG259</f>
        <v>有效</v>
      </c>
      <c r="H259" s="4">
        <f>TeamHero生成!G259</f>
        <v>844224</v>
      </c>
      <c r="I259" s="4">
        <f>TeamHero生成!H259</f>
        <v>19794</v>
      </c>
      <c r="J259" s="4">
        <f>TeamHero生成!I259</f>
        <v>14397</v>
      </c>
    </row>
    <row r="260" ht="14.25" customHeight="1" spans="1:10">
      <c r="A260" s="4">
        <f>TeamHero生成!A260</f>
        <v>256</v>
      </c>
      <c r="B260" s="4">
        <f>TeamHero生成!B260</f>
        <v>1003</v>
      </c>
      <c r="C260" s="4">
        <f>TeamHero生成!C260</f>
        <v>36</v>
      </c>
      <c r="D260" s="5">
        <f>TeamHero生成!D260</f>
        <v>2357856</v>
      </c>
      <c r="E260" s="5">
        <f>TeamHero生成!E260</f>
        <v>29081</v>
      </c>
      <c r="F260" s="5">
        <f>TeamHero生成!F260</f>
        <v>41031</v>
      </c>
      <c r="G260" s="4" t="str">
        <f>TeamHero生成!AG260</f>
        <v>有效</v>
      </c>
      <c r="H260" s="4">
        <f>TeamHero生成!G260</f>
        <v>1323561</v>
      </c>
      <c r="I260" s="4">
        <f>TeamHero生成!H260</f>
        <v>16997</v>
      </c>
      <c r="J260" s="4">
        <f>TeamHero生成!I260</f>
        <v>22108</v>
      </c>
    </row>
    <row r="261" ht="14.25" customHeight="1" spans="1:10">
      <c r="A261" s="4">
        <f>TeamHero生成!A261</f>
        <v>257</v>
      </c>
      <c r="B261" s="4">
        <f>TeamHero生成!B261</f>
        <v>1014</v>
      </c>
      <c r="C261" s="4">
        <f>TeamHero生成!C261</f>
        <v>36</v>
      </c>
      <c r="D261" s="5">
        <f>TeamHero生成!D261</f>
        <v>1571904</v>
      </c>
      <c r="E261" s="5">
        <f>TeamHero生成!E261</f>
        <v>34897</v>
      </c>
      <c r="F261" s="5">
        <f>TeamHero生成!F261</f>
        <v>27354</v>
      </c>
      <c r="G261" s="4" t="str">
        <f>TeamHero生成!AG261</f>
        <v>有效</v>
      </c>
      <c r="H261" s="4">
        <f>TeamHero生成!G261</f>
        <v>882374</v>
      </c>
      <c r="I261" s="4">
        <f>TeamHero生成!H261</f>
        <v>20396</v>
      </c>
      <c r="J261" s="4">
        <f>TeamHero生成!I261</f>
        <v>14739</v>
      </c>
    </row>
    <row r="262" ht="14.25" customHeight="1" spans="1:10">
      <c r="A262" s="4">
        <f>TeamHero生成!A262</f>
        <v>258</v>
      </c>
      <c r="B262" s="4">
        <f>TeamHero生成!B262</f>
        <v>1018</v>
      </c>
      <c r="C262" s="4">
        <f>TeamHero生成!C262</f>
        <v>36</v>
      </c>
      <c r="D262" s="5">
        <f>TeamHero生成!D262</f>
        <v>1964880</v>
      </c>
      <c r="E262" s="5">
        <f>TeamHero生成!E262</f>
        <v>29081</v>
      </c>
      <c r="F262" s="5">
        <f>TeamHero生成!F262</f>
        <v>34193</v>
      </c>
      <c r="G262" s="4" t="str">
        <f>TeamHero生成!AG262</f>
        <v>有效</v>
      </c>
      <c r="H262" s="4">
        <f>TeamHero生成!G262</f>
        <v>1102968</v>
      </c>
      <c r="I262" s="4">
        <f>TeamHero生成!H262</f>
        <v>16997</v>
      </c>
      <c r="J262" s="4">
        <f>TeamHero生成!I262</f>
        <v>18424</v>
      </c>
    </row>
    <row r="263" ht="14.25" customHeight="1" spans="1:10">
      <c r="A263" s="4">
        <f>TeamHero生成!A263</f>
        <v>259</v>
      </c>
      <c r="B263" s="4">
        <f>TeamHero生成!B263</f>
        <v>1005</v>
      </c>
      <c r="C263" s="4">
        <f>TeamHero生成!C263</f>
        <v>36</v>
      </c>
      <c r="D263" s="5">
        <f>TeamHero生成!D263</f>
        <v>1571904</v>
      </c>
      <c r="E263" s="5">
        <f>TeamHero生成!E263</f>
        <v>34897</v>
      </c>
      <c r="F263" s="5">
        <f>TeamHero生成!F263</f>
        <v>27354</v>
      </c>
      <c r="G263" s="4" t="str">
        <f>TeamHero生成!AG263</f>
        <v>有效</v>
      </c>
      <c r="H263" s="4">
        <f>TeamHero生成!G263</f>
        <v>882374</v>
      </c>
      <c r="I263" s="4">
        <f>TeamHero生成!H263</f>
        <v>20396</v>
      </c>
      <c r="J263" s="4">
        <f>TeamHero生成!I263</f>
        <v>14739</v>
      </c>
    </row>
    <row r="264" ht="14.25" customHeight="1" spans="1:10">
      <c r="A264" s="4">
        <f>TeamHero生成!A264</f>
        <v>260</v>
      </c>
      <c r="B264" s="4">
        <f>TeamHero生成!B264</f>
        <v>1012</v>
      </c>
      <c r="C264" s="4">
        <f>TeamHero生成!C264</f>
        <v>36</v>
      </c>
      <c r="D264" s="5">
        <f>TeamHero生成!D264</f>
        <v>1964880</v>
      </c>
      <c r="E264" s="5">
        <f>TeamHero生成!E264</f>
        <v>29081</v>
      </c>
      <c r="F264" s="5">
        <f>TeamHero生成!F264</f>
        <v>34193</v>
      </c>
      <c r="G264" s="4" t="str">
        <f>TeamHero生成!AG264</f>
        <v>有效</v>
      </c>
      <c r="H264" s="4">
        <f>TeamHero生成!G264</f>
        <v>1102968</v>
      </c>
      <c r="I264" s="4">
        <f>TeamHero生成!H264</f>
        <v>16997</v>
      </c>
      <c r="J264" s="4">
        <f>TeamHero生成!I264</f>
        <v>18424</v>
      </c>
    </row>
    <row r="265" ht="14.25" customHeight="1" spans="1:10">
      <c r="A265" s="4">
        <f>TeamHero生成!A265</f>
        <v>261</v>
      </c>
      <c r="B265" s="4">
        <f>TeamHero生成!B265</f>
        <v>1003</v>
      </c>
      <c r="C265" s="4">
        <f>TeamHero生成!C265</f>
        <v>36</v>
      </c>
      <c r="D265" s="5">
        <f>TeamHero生成!D265</f>
        <v>2421570</v>
      </c>
      <c r="E265" s="5">
        <f>TeamHero生成!E265</f>
        <v>29665</v>
      </c>
      <c r="F265" s="5">
        <f>TeamHero生成!F265</f>
        <v>41595</v>
      </c>
      <c r="G265" s="4" t="str">
        <f>TeamHero生成!AG265</f>
        <v>有效</v>
      </c>
      <c r="H265" s="4">
        <f>TeamHero生成!G265</f>
        <v>1382623</v>
      </c>
      <c r="I265" s="4">
        <f>TeamHero生成!H265</f>
        <v>17508</v>
      </c>
      <c r="J265" s="4">
        <f>TeamHero生成!I265</f>
        <v>22624</v>
      </c>
    </row>
    <row r="266" ht="14.25" customHeight="1" spans="1:10">
      <c r="A266" s="4">
        <f>TeamHero生成!A266</f>
        <v>262</v>
      </c>
      <c r="B266" s="4">
        <f>TeamHero生成!B266</f>
        <v>1011</v>
      </c>
      <c r="C266" s="4">
        <f>TeamHero生成!C266</f>
        <v>36</v>
      </c>
      <c r="D266" s="5">
        <f>TeamHero生成!D266</f>
        <v>2017975</v>
      </c>
      <c r="E266" s="5">
        <f>TeamHero生成!E266</f>
        <v>29665</v>
      </c>
      <c r="F266" s="5">
        <f>TeamHero生成!F266</f>
        <v>34663</v>
      </c>
      <c r="G266" s="4" t="str">
        <f>TeamHero生成!AG266</f>
        <v>有效</v>
      </c>
      <c r="H266" s="4">
        <f>TeamHero生成!G266</f>
        <v>1152186</v>
      </c>
      <c r="I266" s="4">
        <f>TeamHero生成!H266</f>
        <v>17508</v>
      </c>
      <c r="J266" s="4">
        <f>TeamHero生成!I266</f>
        <v>18854</v>
      </c>
    </row>
    <row r="267" ht="14.25" customHeight="1" spans="1:10">
      <c r="A267" s="4">
        <f>TeamHero生成!A267</f>
        <v>263</v>
      </c>
      <c r="B267" s="4">
        <f>TeamHero生成!B267</f>
        <v>1012</v>
      </c>
      <c r="C267" s="4">
        <f>TeamHero生成!C267</f>
        <v>36</v>
      </c>
      <c r="D267" s="5">
        <f>TeamHero生成!D267</f>
        <v>2017975</v>
      </c>
      <c r="E267" s="5">
        <f>TeamHero生成!E267</f>
        <v>29665</v>
      </c>
      <c r="F267" s="5">
        <f>TeamHero生成!F267</f>
        <v>34663</v>
      </c>
      <c r="G267" s="4" t="str">
        <f>TeamHero生成!AG267</f>
        <v>有效</v>
      </c>
      <c r="H267" s="4">
        <f>TeamHero生成!G267</f>
        <v>1152186</v>
      </c>
      <c r="I267" s="4">
        <f>TeamHero生成!H267</f>
        <v>17508</v>
      </c>
      <c r="J267" s="4">
        <f>TeamHero生成!I267</f>
        <v>18854</v>
      </c>
    </row>
    <row r="268" ht="14.25" customHeight="1" spans="1:10">
      <c r="A268" s="4">
        <f>TeamHero生成!A268</f>
        <v>264</v>
      </c>
      <c r="B268" s="4">
        <f>TeamHero生成!B268</f>
        <v>1006</v>
      </c>
      <c r="C268" s="4">
        <f>TeamHero生成!C268</f>
        <v>36</v>
      </c>
      <c r="D268" s="5">
        <f>TeamHero生成!D268</f>
        <v>1614380</v>
      </c>
      <c r="E268" s="5">
        <f>TeamHero生成!E268</f>
        <v>35598</v>
      </c>
      <c r="F268" s="5">
        <f>TeamHero生成!F268</f>
        <v>27730</v>
      </c>
      <c r="G268" s="4" t="str">
        <f>TeamHero生成!AG268</f>
        <v>有效</v>
      </c>
      <c r="H268" s="4">
        <f>TeamHero生成!G268</f>
        <v>921748</v>
      </c>
      <c r="I268" s="4">
        <f>TeamHero生成!H268</f>
        <v>21009</v>
      </c>
      <c r="J268" s="4">
        <f>TeamHero生成!I268</f>
        <v>15083</v>
      </c>
    </row>
    <row r="269" ht="14.25" customHeight="1" spans="1:10">
      <c r="A269" s="4">
        <f>TeamHero生成!A269</f>
        <v>265</v>
      </c>
      <c r="B269" s="4">
        <f>TeamHero生成!B269</f>
        <v>1005</v>
      </c>
      <c r="C269" s="4">
        <f>TeamHero生成!C269</f>
        <v>36</v>
      </c>
      <c r="D269" s="5">
        <f>TeamHero生成!D269</f>
        <v>1614380</v>
      </c>
      <c r="E269" s="5">
        <f>TeamHero生成!E269</f>
        <v>35598</v>
      </c>
      <c r="F269" s="5">
        <f>TeamHero生成!F269</f>
        <v>27730</v>
      </c>
      <c r="G269" s="4" t="str">
        <f>TeamHero生成!AG269</f>
        <v>有效</v>
      </c>
      <c r="H269" s="4">
        <f>TeamHero生成!G269</f>
        <v>921748</v>
      </c>
      <c r="I269" s="4">
        <f>TeamHero生成!H269</f>
        <v>21009</v>
      </c>
      <c r="J269" s="4">
        <f>TeamHero生成!I269</f>
        <v>15083</v>
      </c>
    </row>
    <row r="270" ht="14.25" customHeight="1" spans="1:10">
      <c r="A270" s="4">
        <f>TeamHero生成!A270</f>
        <v>266</v>
      </c>
      <c r="B270" s="4">
        <f>TeamHero生成!B270</f>
        <v>1002</v>
      </c>
      <c r="C270" s="4">
        <f>TeamHero生成!C270</f>
        <v>37</v>
      </c>
      <c r="D270" s="5">
        <f>TeamHero生成!D270</f>
        <v>2464746</v>
      </c>
      <c r="E270" s="5">
        <f>TeamHero生成!E270</f>
        <v>30059</v>
      </c>
      <c r="F270" s="5">
        <f>TeamHero生成!F270</f>
        <v>41972</v>
      </c>
      <c r="G270" s="4" t="str">
        <f>TeamHero生成!AG270</f>
        <v>有效</v>
      </c>
      <c r="H270" s="4">
        <f>TeamHero生成!G270</f>
        <v>1443556</v>
      </c>
      <c r="I270" s="4">
        <f>TeamHero生成!H270</f>
        <v>18030</v>
      </c>
      <c r="J270" s="4">
        <f>TeamHero生成!I270</f>
        <v>23146</v>
      </c>
    </row>
    <row r="271" ht="14.25" customHeight="1" spans="1:10">
      <c r="A271" s="4">
        <f>TeamHero生成!A271</f>
        <v>267</v>
      </c>
      <c r="B271" s="4">
        <f>TeamHero生成!B271</f>
        <v>1006</v>
      </c>
      <c r="C271" s="4">
        <f>TeamHero生成!C271</f>
        <v>37</v>
      </c>
      <c r="D271" s="5">
        <f>TeamHero生成!D271</f>
        <v>1643164</v>
      </c>
      <c r="E271" s="5">
        <f>TeamHero生成!E271</f>
        <v>36071</v>
      </c>
      <c r="F271" s="5">
        <f>TeamHero生成!F271</f>
        <v>27981</v>
      </c>
      <c r="G271" s="4" t="str">
        <f>TeamHero生成!AG271</f>
        <v>有效</v>
      </c>
      <c r="H271" s="4">
        <f>TeamHero生成!G271</f>
        <v>962371</v>
      </c>
      <c r="I271" s="4">
        <f>TeamHero生成!H271</f>
        <v>21636</v>
      </c>
      <c r="J271" s="4">
        <f>TeamHero生成!I271</f>
        <v>15431</v>
      </c>
    </row>
    <row r="272" ht="14.25" customHeight="1" spans="1:10">
      <c r="A272" s="4">
        <f>TeamHero生成!A272</f>
        <v>268</v>
      </c>
      <c r="B272" s="4">
        <f>TeamHero生成!B272</f>
        <v>1024</v>
      </c>
      <c r="C272" s="4">
        <f>TeamHero生成!C272</f>
        <v>37</v>
      </c>
      <c r="D272" s="5">
        <f>TeamHero生成!D272</f>
        <v>1643164</v>
      </c>
      <c r="E272" s="5">
        <f>TeamHero生成!E272</f>
        <v>36071</v>
      </c>
      <c r="F272" s="5">
        <f>TeamHero生成!F272</f>
        <v>27981</v>
      </c>
      <c r="G272" s="4" t="str">
        <f>TeamHero生成!AG272</f>
        <v>有效</v>
      </c>
      <c r="H272" s="4">
        <f>TeamHero生成!G272</f>
        <v>962371</v>
      </c>
      <c r="I272" s="4">
        <f>TeamHero生成!H272</f>
        <v>21636</v>
      </c>
      <c r="J272" s="4">
        <f>TeamHero生成!I272</f>
        <v>15431</v>
      </c>
    </row>
    <row r="273" ht="14.25" customHeight="1" spans="1:10">
      <c r="A273" s="4">
        <f>TeamHero生成!A273</f>
        <v>269</v>
      </c>
      <c r="B273" s="4">
        <f>TeamHero生成!B273</f>
        <v>1015</v>
      </c>
      <c r="C273" s="4">
        <f>TeamHero生成!C273</f>
        <v>37</v>
      </c>
      <c r="D273" s="5">
        <f>TeamHero生成!D273</f>
        <v>2053955</v>
      </c>
      <c r="E273" s="5">
        <f>TeamHero生成!E273</f>
        <v>30059</v>
      </c>
      <c r="F273" s="5">
        <f>TeamHero生成!F273</f>
        <v>34976</v>
      </c>
      <c r="G273" s="4" t="str">
        <f>TeamHero生成!AG273</f>
        <v>有效</v>
      </c>
      <c r="H273" s="4">
        <f>TeamHero生成!G273</f>
        <v>1202964</v>
      </c>
      <c r="I273" s="4">
        <f>TeamHero生成!H273</f>
        <v>18030</v>
      </c>
      <c r="J273" s="4">
        <f>TeamHero生成!I273</f>
        <v>19289</v>
      </c>
    </row>
    <row r="274" ht="14.25" customHeight="1" spans="1:10">
      <c r="A274" s="4">
        <f>TeamHero生成!A274</f>
        <v>270</v>
      </c>
      <c r="B274" s="4">
        <f>TeamHero生成!B274</f>
        <v>1015</v>
      </c>
      <c r="C274" s="4">
        <f>TeamHero生成!C274</f>
        <v>37</v>
      </c>
      <c r="D274" s="5">
        <f>TeamHero生成!D274</f>
        <v>2053955</v>
      </c>
      <c r="E274" s="5">
        <f>TeamHero生成!E274</f>
        <v>30059</v>
      </c>
      <c r="F274" s="5">
        <f>TeamHero生成!F274</f>
        <v>34976</v>
      </c>
      <c r="G274" s="4" t="str">
        <f>TeamHero生成!AG274</f>
        <v>有效</v>
      </c>
      <c r="H274" s="4">
        <f>TeamHero生成!G274</f>
        <v>1202964</v>
      </c>
      <c r="I274" s="4">
        <f>TeamHero生成!H274</f>
        <v>18030</v>
      </c>
      <c r="J274" s="4">
        <f>TeamHero生成!I274</f>
        <v>19289</v>
      </c>
    </row>
    <row r="275" ht="14.25" customHeight="1" spans="1:10">
      <c r="A275" s="4">
        <f>TeamHero生成!A275</f>
        <v>271</v>
      </c>
      <c r="B275" s="4">
        <f>TeamHero生成!B275</f>
        <v>1003</v>
      </c>
      <c r="C275" s="4">
        <f>TeamHero生成!C275</f>
        <v>37</v>
      </c>
      <c r="D275" s="5">
        <f>TeamHero生成!D275</f>
        <v>2508486</v>
      </c>
      <c r="E275" s="5">
        <f>TeamHero生成!E275</f>
        <v>30458</v>
      </c>
      <c r="F275" s="5">
        <f>TeamHero生成!F275</f>
        <v>42350</v>
      </c>
      <c r="G275" s="4" t="str">
        <f>TeamHero生成!AG275</f>
        <v>有效</v>
      </c>
      <c r="H275" s="4">
        <f>TeamHero生成!G275</f>
        <v>1506391</v>
      </c>
      <c r="I275" s="4">
        <f>TeamHero生成!H275</f>
        <v>18564</v>
      </c>
      <c r="J275" s="4">
        <f>TeamHero生成!I275</f>
        <v>23672</v>
      </c>
    </row>
    <row r="276" ht="14.25" customHeight="1" spans="1:10">
      <c r="A276" s="4">
        <f>TeamHero生成!A276</f>
        <v>272</v>
      </c>
      <c r="B276" s="4">
        <f>TeamHero生成!B276</f>
        <v>1006</v>
      </c>
      <c r="C276" s="4">
        <f>TeamHero生成!C276</f>
        <v>37</v>
      </c>
      <c r="D276" s="5">
        <f>TeamHero生成!D276</f>
        <v>1672324</v>
      </c>
      <c r="E276" s="5">
        <f>TeamHero生成!E276</f>
        <v>36550</v>
      </c>
      <c r="F276" s="5">
        <f>TeamHero生成!F276</f>
        <v>28233</v>
      </c>
      <c r="G276" s="4" t="str">
        <f>TeamHero生成!AG276</f>
        <v>有效</v>
      </c>
      <c r="H276" s="4">
        <f>TeamHero生成!G276</f>
        <v>1004260</v>
      </c>
      <c r="I276" s="4">
        <f>TeamHero生成!H276</f>
        <v>22276</v>
      </c>
      <c r="J276" s="4">
        <f>TeamHero生成!I276</f>
        <v>15781</v>
      </c>
    </row>
    <row r="277" ht="14.25" customHeight="1" spans="1:10">
      <c r="A277" s="4">
        <f>TeamHero生成!A277</f>
        <v>273</v>
      </c>
      <c r="B277" s="4">
        <f>TeamHero生成!B277</f>
        <v>1029</v>
      </c>
      <c r="C277" s="4">
        <f>TeamHero生成!C277</f>
        <v>37</v>
      </c>
      <c r="D277" s="5">
        <f>TeamHero生成!D277</f>
        <v>2090405</v>
      </c>
      <c r="E277" s="5">
        <f>TeamHero生成!E277</f>
        <v>30458</v>
      </c>
      <c r="F277" s="5">
        <f>TeamHero生成!F277</f>
        <v>35291</v>
      </c>
      <c r="G277" s="4" t="str">
        <f>TeamHero生成!AG277</f>
        <v>有效</v>
      </c>
      <c r="H277" s="4">
        <f>TeamHero生成!G277</f>
        <v>1255326</v>
      </c>
      <c r="I277" s="4">
        <f>TeamHero生成!H277</f>
        <v>18564</v>
      </c>
      <c r="J277" s="4">
        <f>TeamHero生成!I277</f>
        <v>19727</v>
      </c>
    </row>
    <row r="278" ht="14.25" customHeight="1" spans="1:10">
      <c r="A278" s="4">
        <f>TeamHero生成!A278</f>
        <v>274</v>
      </c>
      <c r="B278" s="4">
        <f>TeamHero生成!B278</f>
        <v>1020</v>
      </c>
      <c r="C278" s="4">
        <f>TeamHero生成!C278</f>
        <v>37</v>
      </c>
      <c r="D278" s="5">
        <f>TeamHero生成!D278</f>
        <v>2090405</v>
      </c>
      <c r="E278" s="5">
        <f>TeamHero生成!E278</f>
        <v>30458</v>
      </c>
      <c r="F278" s="5">
        <f>TeamHero生成!F278</f>
        <v>35291</v>
      </c>
      <c r="G278" s="4" t="str">
        <f>TeamHero生成!AG278</f>
        <v>有效</v>
      </c>
      <c r="H278" s="4">
        <f>TeamHero生成!G278</f>
        <v>1255326</v>
      </c>
      <c r="I278" s="4">
        <f>TeamHero生成!H278</f>
        <v>18564</v>
      </c>
      <c r="J278" s="4">
        <f>TeamHero生成!I278</f>
        <v>19727</v>
      </c>
    </row>
    <row r="279" ht="14.25" customHeight="1" spans="1:10">
      <c r="A279" s="4">
        <f>TeamHero生成!A279</f>
        <v>275</v>
      </c>
      <c r="B279" s="4">
        <f>TeamHero生成!B279</f>
        <v>1018</v>
      </c>
      <c r="C279" s="4">
        <f>TeamHero生成!C279</f>
        <v>37</v>
      </c>
      <c r="D279" s="5">
        <f>TeamHero生成!D279</f>
        <v>2090405</v>
      </c>
      <c r="E279" s="5">
        <f>TeamHero生成!E279</f>
        <v>30458</v>
      </c>
      <c r="F279" s="5">
        <f>TeamHero生成!F279</f>
        <v>35291</v>
      </c>
      <c r="G279" s="4" t="str">
        <f>TeamHero生成!AG279</f>
        <v>有效</v>
      </c>
      <c r="H279" s="4">
        <f>TeamHero生成!G279</f>
        <v>1255326</v>
      </c>
      <c r="I279" s="4">
        <f>TeamHero生成!H279</f>
        <v>18564</v>
      </c>
      <c r="J279" s="4">
        <f>TeamHero生成!I279</f>
        <v>19727</v>
      </c>
    </row>
    <row r="280" ht="14.25" customHeight="1" spans="1:10">
      <c r="A280" s="4">
        <f>TeamHero生成!A280</f>
        <v>276</v>
      </c>
      <c r="B280" s="4">
        <f>TeamHero生成!B280</f>
        <v>1003</v>
      </c>
      <c r="C280" s="4">
        <f>TeamHero生成!C280</f>
        <v>38</v>
      </c>
      <c r="D280" s="5">
        <f>TeamHero生成!D280</f>
        <v>2552796</v>
      </c>
      <c r="E280" s="5">
        <f>TeamHero生成!E280</f>
        <v>30862</v>
      </c>
      <c r="F280" s="5">
        <f>TeamHero生成!F280</f>
        <v>42729</v>
      </c>
      <c r="G280" s="4" t="str">
        <f>TeamHero生成!AG280</f>
        <v>有效</v>
      </c>
      <c r="H280" s="4">
        <f>TeamHero生成!G280</f>
        <v>1571169</v>
      </c>
      <c r="I280" s="4">
        <f>TeamHero生成!H280</f>
        <v>19109</v>
      </c>
      <c r="J280" s="4">
        <f>TeamHero生成!I280</f>
        <v>24201</v>
      </c>
    </row>
    <row r="281" ht="14.25" customHeight="1" spans="1:10">
      <c r="A281" s="4">
        <f>TeamHero生成!A281</f>
        <v>277</v>
      </c>
      <c r="B281" s="4">
        <f>TeamHero生成!B281</f>
        <v>1015</v>
      </c>
      <c r="C281" s="4">
        <f>TeamHero生成!C281</f>
        <v>38</v>
      </c>
      <c r="D281" s="5">
        <f>TeamHero生成!D281</f>
        <v>2127330</v>
      </c>
      <c r="E281" s="5">
        <f>TeamHero生成!E281</f>
        <v>30862</v>
      </c>
      <c r="F281" s="5">
        <f>TeamHero生成!F281</f>
        <v>35608</v>
      </c>
      <c r="G281" s="4" t="str">
        <f>TeamHero生成!AG281</f>
        <v>有效</v>
      </c>
      <c r="H281" s="4">
        <f>TeamHero生成!G281</f>
        <v>1309308</v>
      </c>
      <c r="I281" s="4">
        <f>TeamHero生成!H281</f>
        <v>19109</v>
      </c>
      <c r="J281" s="4">
        <f>TeamHero生成!I281</f>
        <v>20168</v>
      </c>
    </row>
    <row r="282" ht="14.25" customHeight="1" spans="1:10">
      <c r="A282" s="4">
        <f>TeamHero生成!A282</f>
        <v>278</v>
      </c>
      <c r="B282" s="4">
        <f>TeamHero生成!B282</f>
        <v>1012</v>
      </c>
      <c r="C282" s="4">
        <f>TeamHero生成!C282</f>
        <v>38</v>
      </c>
      <c r="D282" s="5">
        <f>TeamHero生成!D282</f>
        <v>2127330</v>
      </c>
      <c r="E282" s="5">
        <f>TeamHero生成!E282</f>
        <v>30862</v>
      </c>
      <c r="F282" s="5">
        <f>TeamHero生成!F282</f>
        <v>35608</v>
      </c>
      <c r="G282" s="4" t="str">
        <f>TeamHero生成!AG282</f>
        <v>有效</v>
      </c>
      <c r="H282" s="4">
        <f>TeamHero生成!G282</f>
        <v>1309308</v>
      </c>
      <c r="I282" s="4">
        <f>TeamHero生成!H282</f>
        <v>19109</v>
      </c>
      <c r="J282" s="4">
        <f>TeamHero生成!I282</f>
        <v>20168</v>
      </c>
    </row>
    <row r="283" ht="14.25" customHeight="1" spans="1:10">
      <c r="A283" s="4">
        <f>TeamHero生成!A283</f>
        <v>279</v>
      </c>
      <c r="B283" s="4">
        <f>TeamHero生成!B283</f>
        <v>1006</v>
      </c>
      <c r="C283" s="4">
        <f>TeamHero生成!C283</f>
        <v>38</v>
      </c>
      <c r="D283" s="5">
        <f>TeamHero生成!D283</f>
        <v>1701864</v>
      </c>
      <c r="E283" s="5">
        <f>TeamHero生成!E283</f>
        <v>37034</v>
      </c>
      <c r="F283" s="5">
        <f>TeamHero生成!F283</f>
        <v>28486</v>
      </c>
      <c r="G283" s="4" t="str">
        <f>TeamHero生成!AG283</f>
        <v>有效</v>
      </c>
      <c r="H283" s="4">
        <f>TeamHero生成!G283</f>
        <v>1047446</v>
      </c>
      <c r="I283" s="4">
        <f>TeamHero生成!H283</f>
        <v>22930</v>
      </c>
      <c r="J283" s="4">
        <f>TeamHero生成!I283</f>
        <v>16134</v>
      </c>
    </row>
    <row r="284" ht="14.25" customHeight="1" spans="1:10">
      <c r="A284" s="4">
        <f>TeamHero生成!A284</f>
        <v>280</v>
      </c>
      <c r="B284" s="4">
        <f>TeamHero生成!B284</f>
        <v>1001</v>
      </c>
      <c r="C284" s="4">
        <f>TeamHero生成!C284</f>
        <v>38</v>
      </c>
      <c r="D284" s="5">
        <f>TeamHero生成!D284</f>
        <v>1701864</v>
      </c>
      <c r="E284" s="5">
        <f>TeamHero生成!E284</f>
        <v>37034</v>
      </c>
      <c r="F284" s="5">
        <f>TeamHero生成!F284</f>
        <v>28486</v>
      </c>
      <c r="G284" s="4" t="str">
        <f>TeamHero生成!AG284</f>
        <v>有效</v>
      </c>
      <c r="H284" s="4">
        <f>TeamHero生成!G284</f>
        <v>1047446</v>
      </c>
      <c r="I284" s="4">
        <f>TeamHero生成!H284</f>
        <v>22930</v>
      </c>
      <c r="J284" s="4">
        <f>TeamHero生成!I284</f>
        <v>16134</v>
      </c>
    </row>
    <row r="285" ht="14.25" customHeight="1" spans="1:10">
      <c r="A285" s="4">
        <f>TeamHero生成!A285</f>
        <v>281</v>
      </c>
      <c r="B285" s="4">
        <f>TeamHero生成!B285</f>
        <v>1002</v>
      </c>
      <c r="C285" s="4">
        <f>TeamHero生成!C285</f>
        <v>38</v>
      </c>
      <c r="D285" s="5">
        <f>TeamHero生成!D285</f>
        <v>2597682</v>
      </c>
      <c r="E285" s="5">
        <f>TeamHero生成!E285</f>
        <v>31270</v>
      </c>
      <c r="F285" s="5">
        <f>TeamHero生成!F285</f>
        <v>43110</v>
      </c>
      <c r="G285" s="4" t="str">
        <f>TeamHero生成!AG285</f>
        <v>有效</v>
      </c>
      <c r="H285" s="4">
        <f>TeamHero生成!G285</f>
        <v>1637935</v>
      </c>
      <c r="I285" s="4">
        <f>TeamHero生成!H285</f>
        <v>19667</v>
      </c>
      <c r="J285" s="4">
        <f>TeamHero生成!I285</f>
        <v>24736</v>
      </c>
    </row>
    <row r="286" ht="14.25" customHeight="1" spans="1:10">
      <c r="A286" s="4">
        <f>TeamHero生成!A286</f>
        <v>282</v>
      </c>
      <c r="B286" s="4">
        <f>TeamHero生成!B286</f>
        <v>1021</v>
      </c>
      <c r="C286" s="4">
        <f>TeamHero生成!C286</f>
        <v>38</v>
      </c>
      <c r="D286" s="5">
        <f>TeamHero生成!D286</f>
        <v>1731788</v>
      </c>
      <c r="E286" s="5">
        <f>TeamHero生成!E286</f>
        <v>37524</v>
      </c>
      <c r="F286" s="5">
        <f>TeamHero生成!F286</f>
        <v>28740</v>
      </c>
      <c r="G286" s="4" t="str">
        <f>TeamHero生成!AG286</f>
        <v>有效</v>
      </c>
      <c r="H286" s="4">
        <f>TeamHero生成!G286</f>
        <v>1091956</v>
      </c>
      <c r="I286" s="4">
        <f>TeamHero生成!H286</f>
        <v>23600</v>
      </c>
      <c r="J286" s="4">
        <f>TeamHero生成!I286</f>
        <v>16491</v>
      </c>
    </row>
    <row r="287" ht="14.25" customHeight="1" spans="1:10">
      <c r="A287" s="4">
        <f>TeamHero生成!A287</f>
        <v>283</v>
      </c>
      <c r="B287" s="4">
        <f>TeamHero生成!B287</f>
        <v>1001</v>
      </c>
      <c r="C287" s="4">
        <f>TeamHero生成!C287</f>
        <v>38</v>
      </c>
      <c r="D287" s="5">
        <f>TeamHero生成!D287</f>
        <v>1731788</v>
      </c>
      <c r="E287" s="5">
        <f>TeamHero生成!E287</f>
        <v>37524</v>
      </c>
      <c r="F287" s="5">
        <f>TeamHero生成!F287</f>
        <v>28740</v>
      </c>
      <c r="G287" s="4" t="str">
        <f>TeamHero生成!AG287</f>
        <v>有效</v>
      </c>
      <c r="H287" s="4">
        <f>TeamHero生成!G287</f>
        <v>1091956</v>
      </c>
      <c r="I287" s="4">
        <f>TeamHero生成!H287</f>
        <v>23600</v>
      </c>
      <c r="J287" s="4">
        <f>TeamHero生成!I287</f>
        <v>16491</v>
      </c>
    </row>
    <row r="288" ht="14.25" customHeight="1" spans="1:10">
      <c r="A288" s="4">
        <f>TeamHero生成!A288</f>
        <v>284</v>
      </c>
      <c r="B288" s="4">
        <f>TeamHero生成!B288</f>
        <v>1015</v>
      </c>
      <c r="C288" s="4">
        <f>TeamHero生成!C288</f>
        <v>38</v>
      </c>
      <c r="D288" s="5">
        <f>TeamHero生成!D288</f>
        <v>2164735</v>
      </c>
      <c r="E288" s="5">
        <f>TeamHero生成!E288</f>
        <v>31270</v>
      </c>
      <c r="F288" s="5">
        <f>TeamHero生成!F288</f>
        <v>35925</v>
      </c>
      <c r="G288" s="4" t="str">
        <f>TeamHero生成!AG288</f>
        <v>有效</v>
      </c>
      <c r="H288" s="4">
        <f>TeamHero生成!G288</f>
        <v>1364946</v>
      </c>
      <c r="I288" s="4">
        <f>TeamHero生成!H288</f>
        <v>19667</v>
      </c>
      <c r="J288" s="4">
        <f>TeamHero生成!I288</f>
        <v>20614</v>
      </c>
    </row>
    <row r="289" ht="14.25" customHeight="1" spans="1:10">
      <c r="A289" s="4">
        <f>TeamHero生成!A289</f>
        <v>285</v>
      </c>
      <c r="B289" s="4">
        <f>TeamHero生成!B289</f>
        <v>1024</v>
      </c>
      <c r="C289" s="4">
        <f>TeamHero生成!C289</f>
        <v>38</v>
      </c>
      <c r="D289" s="5">
        <f>TeamHero生成!D289</f>
        <v>1731788</v>
      </c>
      <c r="E289" s="5">
        <f>TeamHero生成!E289</f>
        <v>37524</v>
      </c>
      <c r="F289" s="5">
        <f>TeamHero生成!F289</f>
        <v>28740</v>
      </c>
      <c r="G289" s="4" t="str">
        <f>TeamHero生成!AG289</f>
        <v>有效</v>
      </c>
      <c r="H289" s="4">
        <f>TeamHero生成!G289</f>
        <v>1091956</v>
      </c>
      <c r="I289" s="4">
        <f>TeamHero生成!H289</f>
        <v>23600</v>
      </c>
      <c r="J289" s="4">
        <f>TeamHero生成!I289</f>
        <v>16491</v>
      </c>
    </row>
    <row r="290" ht="14.25" customHeight="1" spans="1:10">
      <c r="A290" s="4">
        <f>TeamHero生成!A290</f>
        <v>286</v>
      </c>
      <c r="B290" s="4">
        <f>TeamHero生成!B290</f>
        <v>1030</v>
      </c>
      <c r="C290" s="4">
        <f>TeamHero生成!C290</f>
        <v>39</v>
      </c>
      <c r="D290" s="5">
        <f>TeamHero生成!D290</f>
        <v>2643150</v>
      </c>
      <c r="E290" s="5">
        <f>TeamHero生成!E290</f>
        <v>31682</v>
      </c>
      <c r="F290" s="5">
        <f>TeamHero生成!F290</f>
        <v>43493</v>
      </c>
      <c r="G290" s="4" t="str">
        <f>TeamHero生成!AG290</f>
        <v>有效</v>
      </c>
      <c r="H290" s="4">
        <f>TeamHero生成!G290</f>
        <v>1706731</v>
      </c>
      <c r="I290" s="4">
        <f>TeamHero生成!H290</f>
        <v>20236</v>
      </c>
      <c r="J290" s="4">
        <f>TeamHero生成!I290</f>
        <v>25275</v>
      </c>
    </row>
    <row r="291" ht="14.25" customHeight="1" spans="1:10">
      <c r="A291" s="4">
        <f>TeamHero生成!A291</f>
        <v>287</v>
      </c>
      <c r="B291" s="4">
        <f>TeamHero生成!B291</f>
        <v>1015</v>
      </c>
      <c r="C291" s="4">
        <f>TeamHero生成!C291</f>
        <v>39</v>
      </c>
      <c r="D291" s="5">
        <f>TeamHero生成!D291</f>
        <v>2202625</v>
      </c>
      <c r="E291" s="5">
        <f>TeamHero生成!E291</f>
        <v>31682</v>
      </c>
      <c r="F291" s="5">
        <f>TeamHero生成!F291</f>
        <v>36244</v>
      </c>
      <c r="G291" s="4" t="str">
        <f>TeamHero生成!AG291</f>
        <v>有效</v>
      </c>
      <c r="H291" s="4">
        <f>TeamHero生成!G291</f>
        <v>1422276</v>
      </c>
      <c r="I291" s="4">
        <f>TeamHero生成!H291</f>
        <v>20236</v>
      </c>
      <c r="J291" s="4">
        <f>TeamHero生成!I291</f>
        <v>21063</v>
      </c>
    </row>
    <row r="292" ht="14.25" customHeight="1" spans="1:10">
      <c r="A292" s="4">
        <f>TeamHero生成!A292</f>
        <v>288</v>
      </c>
      <c r="B292" s="4">
        <f>TeamHero生成!B292</f>
        <v>1021</v>
      </c>
      <c r="C292" s="4">
        <f>TeamHero生成!C292</f>
        <v>39</v>
      </c>
      <c r="D292" s="5">
        <f>TeamHero生成!D292</f>
        <v>1762100</v>
      </c>
      <c r="E292" s="5">
        <f>TeamHero生成!E292</f>
        <v>38019</v>
      </c>
      <c r="F292" s="5">
        <f>TeamHero生成!F292</f>
        <v>28995</v>
      </c>
      <c r="G292" s="4" t="str">
        <f>TeamHero生成!AG292</f>
        <v>有效</v>
      </c>
      <c r="H292" s="4">
        <f>TeamHero生成!G292</f>
        <v>1137820</v>
      </c>
      <c r="I292" s="4">
        <f>TeamHero生成!H292</f>
        <v>24283</v>
      </c>
      <c r="J292" s="4">
        <f>TeamHero生成!I292</f>
        <v>16850</v>
      </c>
    </row>
    <row r="293" ht="14.25" customHeight="1" spans="1:10">
      <c r="A293" s="4">
        <f>TeamHero生成!A293</f>
        <v>289</v>
      </c>
      <c r="B293" s="4">
        <f>TeamHero生成!B293</f>
        <v>1021</v>
      </c>
      <c r="C293" s="4">
        <f>TeamHero生成!C293</f>
        <v>39</v>
      </c>
      <c r="D293" s="5">
        <f>TeamHero生成!D293</f>
        <v>1762100</v>
      </c>
      <c r="E293" s="5">
        <f>TeamHero生成!E293</f>
        <v>38019</v>
      </c>
      <c r="F293" s="5">
        <f>TeamHero生成!F293</f>
        <v>28995</v>
      </c>
      <c r="G293" s="4" t="str">
        <f>TeamHero生成!AG293</f>
        <v>有效</v>
      </c>
      <c r="H293" s="4">
        <f>TeamHero生成!G293</f>
        <v>1137820</v>
      </c>
      <c r="I293" s="4">
        <f>TeamHero生成!H293</f>
        <v>24283</v>
      </c>
      <c r="J293" s="4">
        <f>TeamHero生成!I293</f>
        <v>16850</v>
      </c>
    </row>
    <row r="294" ht="14.25" customHeight="1" spans="1:10">
      <c r="A294" s="4">
        <f>TeamHero生成!A294</f>
        <v>290</v>
      </c>
      <c r="B294" s="4">
        <f>TeamHero生成!B294</f>
        <v>1001</v>
      </c>
      <c r="C294" s="4">
        <f>TeamHero生成!C294</f>
        <v>39</v>
      </c>
      <c r="D294" s="5">
        <f>TeamHero生成!D294</f>
        <v>1762100</v>
      </c>
      <c r="E294" s="5">
        <f>TeamHero生成!E294</f>
        <v>38019</v>
      </c>
      <c r="F294" s="5">
        <f>TeamHero生成!F294</f>
        <v>28995</v>
      </c>
      <c r="G294" s="4" t="str">
        <f>TeamHero生成!AG294</f>
        <v>有效</v>
      </c>
      <c r="H294" s="4">
        <f>TeamHero生成!G294</f>
        <v>1137820</v>
      </c>
      <c r="I294" s="4">
        <f>TeamHero生成!H294</f>
        <v>24283</v>
      </c>
      <c r="J294" s="4">
        <f>TeamHero生成!I294</f>
        <v>16850</v>
      </c>
    </row>
    <row r="295" ht="14.25" customHeight="1" spans="1:10">
      <c r="A295" s="4">
        <f>TeamHero生成!A295</f>
        <v>291</v>
      </c>
      <c r="B295" s="4">
        <f>TeamHero生成!B295</f>
        <v>1030</v>
      </c>
      <c r="C295" s="4">
        <f>TeamHero生成!C295</f>
        <v>39</v>
      </c>
      <c r="D295" s="5">
        <f>TeamHero生成!D295</f>
        <v>2689206</v>
      </c>
      <c r="E295" s="5">
        <f>TeamHero生成!E295</f>
        <v>32100</v>
      </c>
      <c r="F295" s="5">
        <f>TeamHero生成!F295</f>
        <v>43877</v>
      </c>
      <c r="G295" s="4" t="str">
        <f>TeamHero生成!AG295</f>
        <v>有效</v>
      </c>
      <c r="H295" s="4">
        <f>TeamHero生成!G295</f>
        <v>1777586</v>
      </c>
      <c r="I295" s="4">
        <f>TeamHero生成!H295</f>
        <v>20816</v>
      </c>
      <c r="J295" s="4">
        <f>TeamHero生成!I295</f>
        <v>25818</v>
      </c>
    </row>
    <row r="296" ht="14.25" customHeight="1" spans="1:10">
      <c r="A296" s="4">
        <f>TeamHero生成!A296</f>
        <v>292</v>
      </c>
      <c r="B296" s="4">
        <f>TeamHero生成!B296</f>
        <v>1005</v>
      </c>
      <c r="C296" s="4">
        <f>TeamHero生成!C296</f>
        <v>39</v>
      </c>
      <c r="D296" s="5">
        <f>TeamHero生成!D296</f>
        <v>1792804</v>
      </c>
      <c r="E296" s="5">
        <f>TeamHero生成!E296</f>
        <v>38520</v>
      </c>
      <c r="F296" s="5">
        <f>TeamHero生成!F296</f>
        <v>29251</v>
      </c>
      <c r="G296" s="4" t="str">
        <f>TeamHero生成!AG296</f>
        <v>有效</v>
      </c>
      <c r="H296" s="4">
        <f>TeamHero生成!G296</f>
        <v>1185057</v>
      </c>
      <c r="I296" s="4">
        <f>TeamHero生成!H296</f>
        <v>24979</v>
      </c>
      <c r="J296" s="4">
        <f>TeamHero生成!I296</f>
        <v>17212</v>
      </c>
    </row>
    <row r="297" ht="14.25" customHeight="1" spans="1:10">
      <c r="A297" s="4">
        <f>TeamHero生成!A297</f>
        <v>293</v>
      </c>
      <c r="B297" s="4">
        <f>TeamHero生成!B297</f>
        <v>1005</v>
      </c>
      <c r="C297" s="4">
        <f>TeamHero生成!C297</f>
        <v>39</v>
      </c>
      <c r="D297" s="5">
        <f>TeamHero生成!D297</f>
        <v>1792804</v>
      </c>
      <c r="E297" s="5">
        <f>TeamHero生成!E297</f>
        <v>38520</v>
      </c>
      <c r="F297" s="5">
        <f>TeamHero生成!F297</f>
        <v>29251</v>
      </c>
      <c r="G297" s="4" t="str">
        <f>TeamHero生成!AG297</f>
        <v>有效</v>
      </c>
      <c r="H297" s="4">
        <f>TeamHero生成!G297</f>
        <v>1185057</v>
      </c>
      <c r="I297" s="4">
        <f>TeamHero生成!H297</f>
        <v>24979</v>
      </c>
      <c r="J297" s="4">
        <f>TeamHero生成!I297</f>
        <v>17212</v>
      </c>
    </row>
    <row r="298" ht="14.25" customHeight="1" spans="1:10">
      <c r="A298" s="4">
        <f>TeamHero生成!A298</f>
        <v>294</v>
      </c>
      <c r="B298" s="4">
        <f>TeamHero生成!B298</f>
        <v>1018</v>
      </c>
      <c r="C298" s="4">
        <f>TeamHero生成!C298</f>
        <v>39</v>
      </c>
      <c r="D298" s="5">
        <f>TeamHero生成!D298</f>
        <v>2241005</v>
      </c>
      <c r="E298" s="5">
        <f>TeamHero生成!E298</f>
        <v>32100</v>
      </c>
      <c r="F298" s="5">
        <f>TeamHero生成!F298</f>
        <v>36564</v>
      </c>
      <c r="G298" s="4" t="str">
        <f>TeamHero生成!AG298</f>
        <v>有效</v>
      </c>
      <c r="H298" s="4">
        <f>TeamHero生成!G298</f>
        <v>1481322</v>
      </c>
      <c r="I298" s="4">
        <f>TeamHero生成!H298</f>
        <v>20816</v>
      </c>
      <c r="J298" s="4">
        <f>TeamHero生成!I298</f>
        <v>21515</v>
      </c>
    </row>
    <row r="299" ht="14.25" customHeight="1" spans="1:10">
      <c r="A299" s="4">
        <f>TeamHero生成!A299</f>
        <v>295</v>
      </c>
      <c r="B299" s="4">
        <f>TeamHero生成!B299</f>
        <v>1007</v>
      </c>
      <c r="C299" s="4">
        <f>TeamHero生成!C299</f>
        <v>39</v>
      </c>
      <c r="D299" s="5">
        <f>TeamHero生成!D299</f>
        <v>2241005</v>
      </c>
      <c r="E299" s="5">
        <f>TeamHero生成!E299</f>
        <v>32100</v>
      </c>
      <c r="F299" s="5">
        <f>TeamHero生成!F299</f>
        <v>36564</v>
      </c>
      <c r="G299" s="4" t="str">
        <f>TeamHero生成!AG299</f>
        <v>有效</v>
      </c>
      <c r="H299" s="4">
        <f>TeamHero生成!G299</f>
        <v>1481322</v>
      </c>
      <c r="I299" s="4">
        <f>TeamHero生成!H299</f>
        <v>20816</v>
      </c>
      <c r="J299" s="4">
        <f>TeamHero生成!I299</f>
        <v>21515</v>
      </c>
    </row>
    <row r="300" ht="14.25" customHeight="1" spans="1:10">
      <c r="A300" s="4">
        <f>TeamHero生成!A300</f>
        <v>296</v>
      </c>
      <c r="B300" s="4">
        <f>TeamHero生成!B300</f>
        <v>1003</v>
      </c>
      <c r="C300" s="4">
        <f>TeamHero生成!C300</f>
        <v>40</v>
      </c>
      <c r="D300" s="5">
        <f>TeamHero生成!D300</f>
        <v>2759394</v>
      </c>
      <c r="E300" s="5">
        <f>TeamHero生成!E300</f>
        <v>32735</v>
      </c>
      <c r="F300" s="5">
        <f>TeamHero生成!F300</f>
        <v>44454</v>
      </c>
      <c r="G300" s="4" t="str">
        <f>TeamHero生成!AG300</f>
        <v>有效</v>
      </c>
      <c r="H300" s="4">
        <f>TeamHero生成!G300</f>
        <v>1850544</v>
      </c>
      <c r="I300" s="4">
        <f>TeamHero生成!H300</f>
        <v>21412</v>
      </c>
      <c r="J300" s="4">
        <f>TeamHero生成!I300</f>
        <v>26365</v>
      </c>
    </row>
    <row r="301" ht="14.25" customHeight="1" spans="1:10">
      <c r="A301" s="4">
        <f>TeamHero生成!A301</f>
        <v>297</v>
      </c>
      <c r="B301" s="4">
        <f>TeamHero生成!B301</f>
        <v>1005</v>
      </c>
      <c r="C301" s="4">
        <f>TeamHero生成!C301</f>
        <v>40</v>
      </c>
      <c r="D301" s="5">
        <f>TeamHero生成!D301</f>
        <v>1839596</v>
      </c>
      <c r="E301" s="5">
        <f>TeamHero生成!E301</f>
        <v>39282</v>
      </c>
      <c r="F301" s="5">
        <f>TeamHero生成!F301</f>
        <v>29636</v>
      </c>
      <c r="G301" s="4" t="str">
        <f>TeamHero生成!AG301</f>
        <v>有效</v>
      </c>
      <c r="H301" s="4">
        <f>TeamHero生成!G301</f>
        <v>1233696</v>
      </c>
      <c r="I301" s="4">
        <f>TeamHero生成!H301</f>
        <v>25694</v>
      </c>
      <c r="J301" s="4">
        <f>TeamHero生成!I301</f>
        <v>17576</v>
      </c>
    </row>
    <row r="302" ht="14.25" customHeight="1" spans="1:10">
      <c r="A302" s="4">
        <f>TeamHero生成!A302</f>
        <v>298</v>
      </c>
      <c r="B302" s="4">
        <f>TeamHero生成!B302</f>
        <v>1029</v>
      </c>
      <c r="C302" s="4">
        <f>TeamHero生成!C302</f>
        <v>40</v>
      </c>
      <c r="D302" s="5">
        <f>TeamHero生成!D302</f>
        <v>2299495</v>
      </c>
      <c r="E302" s="5">
        <f>TeamHero生成!E302</f>
        <v>32735</v>
      </c>
      <c r="F302" s="5">
        <f>TeamHero生成!F302</f>
        <v>37045</v>
      </c>
      <c r="G302" s="4" t="str">
        <f>TeamHero生成!AG302</f>
        <v>有效</v>
      </c>
      <c r="H302" s="4">
        <f>TeamHero生成!G302</f>
        <v>1542120</v>
      </c>
      <c r="I302" s="4">
        <f>TeamHero生成!H302</f>
        <v>21412</v>
      </c>
      <c r="J302" s="4">
        <f>TeamHero生成!I302</f>
        <v>21971</v>
      </c>
    </row>
    <row r="303" ht="14.25" customHeight="1" spans="1:10">
      <c r="A303" s="4">
        <f>TeamHero生成!A303</f>
        <v>299</v>
      </c>
      <c r="B303" s="4">
        <f>TeamHero生成!B303</f>
        <v>1007</v>
      </c>
      <c r="C303" s="4">
        <f>TeamHero生成!C303</f>
        <v>40</v>
      </c>
      <c r="D303" s="5">
        <f>TeamHero生成!D303</f>
        <v>2299495</v>
      </c>
      <c r="E303" s="5">
        <f>TeamHero生成!E303</f>
        <v>32735</v>
      </c>
      <c r="F303" s="5">
        <f>TeamHero生成!F303</f>
        <v>37045</v>
      </c>
      <c r="G303" s="4" t="str">
        <f>TeamHero生成!AG303</f>
        <v>有效</v>
      </c>
      <c r="H303" s="4">
        <f>TeamHero生成!G303</f>
        <v>1542120</v>
      </c>
      <c r="I303" s="4">
        <f>TeamHero生成!H303</f>
        <v>21412</v>
      </c>
      <c r="J303" s="4">
        <f>TeamHero生成!I303</f>
        <v>21971</v>
      </c>
    </row>
    <row r="304" ht="14.25" customHeight="1" spans="1:10">
      <c r="A304" s="4">
        <f>TeamHero生成!A304</f>
        <v>300</v>
      </c>
      <c r="B304" s="4">
        <f>TeamHero生成!B304</f>
        <v>1018</v>
      </c>
      <c r="C304" s="4">
        <f>TeamHero生成!C304</f>
        <v>40</v>
      </c>
      <c r="D304" s="5">
        <f>TeamHero生成!D304</f>
        <v>2299495</v>
      </c>
      <c r="E304" s="5">
        <f>TeamHero生成!E304</f>
        <v>32735</v>
      </c>
      <c r="F304" s="5">
        <f>TeamHero生成!F304</f>
        <v>37045</v>
      </c>
      <c r="G304" s="4" t="str">
        <f>TeamHero生成!AG304</f>
        <v>有效</v>
      </c>
      <c r="H304" s="4">
        <f>TeamHero生成!G304</f>
        <v>1542120</v>
      </c>
      <c r="I304" s="4">
        <f>TeamHero生成!H304</f>
        <v>21412</v>
      </c>
      <c r="J304" s="4">
        <f>TeamHero生成!I304</f>
        <v>21971</v>
      </c>
    </row>
    <row r="305" ht="14.25" customHeight="1" spans="1:10">
      <c r="A305" s="4">
        <f>TeamHero生成!A305</f>
        <v>301</v>
      </c>
      <c r="B305" s="4">
        <f>TeamHero生成!B305</f>
        <v>1003</v>
      </c>
      <c r="C305" s="4">
        <f>TeamHero生成!C305</f>
        <v>40</v>
      </c>
      <c r="D305" s="5">
        <f>TeamHero生成!D305</f>
        <v>2783088</v>
      </c>
      <c r="E305" s="5">
        <f>TeamHero生成!E305</f>
        <v>32950</v>
      </c>
      <c r="F305" s="5">
        <f>TeamHero生成!F305</f>
        <v>44648</v>
      </c>
      <c r="G305" s="4" t="str">
        <f>TeamHero生成!AG305</f>
        <v>有效</v>
      </c>
      <c r="H305" s="4">
        <f>TeamHero生成!G305</f>
        <v>1925647</v>
      </c>
      <c r="I305" s="4">
        <f>TeamHero生成!H305</f>
        <v>22019</v>
      </c>
      <c r="J305" s="4">
        <f>TeamHero生成!I305</f>
        <v>26917</v>
      </c>
    </row>
    <row r="306" ht="14.25" customHeight="1" spans="1:10">
      <c r="A306" s="4">
        <f>TeamHero生成!A306</f>
        <v>302</v>
      </c>
      <c r="B306" s="4">
        <f>TeamHero生成!B306</f>
        <v>1001</v>
      </c>
      <c r="C306" s="4">
        <f>TeamHero生成!C306</f>
        <v>40</v>
      </c>
      <c r="D306" s="5">
        <f>TeamHero生成!D306</f>
        <v>1855392</v>
      </c>
      <c r="E306" s="5">
        <f>TeamHero生成!E306</f>
        <v>39540</v>
      </c>
      <c r="F306" s="5">
        <f>TeamHero生成!F306</f>
        <v>29765</v>
      </c>
      <c r="G306" s="4" t="str">
        <f>TeamHero生成!AG306</f>
        <v>有效</v>
      </c>
      <c r="H306" s="4">
        <f>TeamHero生成!G306</f>
        <v>1283764</v>
      </c>
      <c r="I306" s="4">
        <f>TeamHero生成!H306</f>
        <v>26422</v>
      </c>
      <c r="J306" s="4">
        <f>TeamHero生成!I306</f>
        <v>17944</v>
      </c>
    </row>
    <row r="307" ht="14.25" customHeight="1" spans="1:10">
      <c r="A307" s="4">
        <f>TeamHero生成!A307</f>
        <v>303</v>
      </c>
      <c r="B307" s="4">
        <f>TeamHero生成!B307</f>
        <v>1012</v>
      </c>
      <c r="C307" s="4">
        <f>TeamHero生成!C307</f>
        <v>40</v>
      </c>
      <c r="D307" s="5">
        <f>TeamHero生成!D307</f>
        <v>2319240</v>
      </c>
      <c r="E307" s="5">
        <f>TeamHero生成!E307</f>
        <v>32950</v>
      </c>
      <c r="F307" s="5">
        <f>TeamHero生成!F307</f>
        <v>37206</v>
      </c>
      <c r="G307" s="4" t="str">
        <f>TeamHero生成!AG307</f>
        <v>有效</v>
      </c>
      <c r="H307" s="4">
        <f>TeamHero生成!G307</f>
        <v>1604706</v>
      </c>
      <c r="I307" s="4">
        <f>TeamHero生成!H307</f>
        <v>22019</v>
      </c>
      <c r="J307" s="4">
        <f>TeamHero生成!I307</f>
        <v>22431</v>
      </c>
    </row>
    <row r="308" ht="14.25" customHeight="1" spans="1:10">
      <c r="A308" s="4">
        <f>TeamHero生成!A308</f>
        <v>304</v>
      </c>
      <c r="B308" s="4">
        <f>TeamHero生成!B308</f>
        <v>1021</v>
      </c>
      <c r="C308" s="4">
        <f>TeamHero生成!C308</f>
        <v>40</v>
      </c>
      <c r="D308" s="5">
        <f>TeamHero生成!D308</f>
        <v>1855392</v>
      </c>
      <c r="E308" s="5">
        <f>TeamHero生成!E308</f>
        <v>39540</v>
      </c>
      <c r="F308" s="5">
        <f>TeamHero生成!F308</f>
        <v>29765</v>
      </c>
      <c r="G308" s="4" t="str">
        <f>TeamHero生成!AG308</f>
        <v>有效</v>
      </c>
      <c r="H308" s="4">
        <f>TeamHero生成!G308</f>
        <v>1283764</v>
      </c>
      <c r="I308" s="4">
        <f>TeamHero生成!H308</f>
        <v>26422</v>
      </c>
      <c r="J308" s="4">
        <f>TeamHero生成!I308</f>
        <v>17944</v>
      </c>
    </row>
    <row r="309" ht="14.25" customHeight="1" spans="1:10">
      <c r="A309" s="4">
        <f>TeamHero生成!A309</f>
        <v>305</v>
      </c>
      <c r="B309" s="4">
        <f>TeamHero生成!B309</f>
        <v>1005</v>
      </c>
      <c r="C309" s="4">
        <f>TeamHero生成!C309</f>
        <v>40</v>
      </c>
      <c r="D309" s="5">
        <f>TeamHero生成!D309</f>
        <v>1855392</v>
      </c>
      <c r="E309" s="5">
        <f>TeamHero生成!E309</f>
        <v>39540</v>
      </c>
      <c r="F309" s="5">
        <f>TeamHero生成!F309</f>
        <v>29765</v>
      </c>
      <c r="G309" s="4" t="str">
        <f>TeamHero生成!AG309</f>
        <v>有效</v>
      </c>
      <c r="H309" s="4">
        <f>TeamHero生成!G309</f>
        <v>1283764</v>
      </c>
      <c r="I309" s="4">
        <f>TeamHero生成!H309</f>
        <v>26422</v>
      </c>
      <c r="J309" s="4">
        <f>TeamHero生成!I309</f>
        <v>17944</v>
      </c>
    </row>
    <row r="310" ht="14.25" customHeight="1" spans="1:10">
      <c r="A310" s="4">
        <f>TeamHero生成!A310</f>
        <v>306</v>
      </c>
      <c r="B310" s="4">
        <f>TeamHero生成!B310</f>
        <v>1004</v>
      </c>
      <c r="C310" s="4">
        <f>TeamHero生成!C310</f>
        <v>41</v>
      </c>
      <c r="D310" s="5">
        <f>TeamHero生成!D310</f>
        <v>2830932</v>
      </c>
      <c r="E310" s="5">
        <f>TeamHero生成!E310</f>
        <v>33382</v>
      </c>
      <c r="F310" s="5">
        <f>TeamHero生成!F310</f>
        <v>45036</v>
      </c>
      <c r="G310" s="4" t="str">
        <f>TeamHero生成!AG310</f>
        <v>有效</v>
      </c>
      <c r="H310" s="4">
        <f>TeamHero生成!G310</f>
        <v>2002946</v>
      </c>
      <c r="I310" s="4">
        <f>TeamHero生成!H310</f>
        <v>22639</v>
      </c>
      <c r="J310" s="4">
        <f>TeamHero生成!I310</f>
        <v>27474</v>
      </c>
    </row>
    <row r="311" ht="14.25" customHeight="1" spans="1:10">
      <c r="A311" s="4">
        <f>TeamHero生成!A311</f>
        <v>307</v>
      </c>
      <c r="B311" s="4">
        <f>TeamHero生成!B311</f>
        <v>1011</v>
      </c>
      <c r="C311" s="4">
        <f>TeamHero生成!C311</f>
        <v>41</v>
      </c>
      <c r="D311" s="5">
        <f>TeamHero生成!D311</f>
        <v>2359110</v>
      </c>
      <c r="E311" s="5">
        <f>TeamHero生成!E311</f>
        <v>33382</v>
      </c>
      <c r="F311" s="5">
        <f>TeamHero生成!F311</f>
        <v>37530</v>
      </c>
      <c r="G311" s="4" t="str">
        <f>TeamHero生成!AG311</f>
        <v>有效</v>
      </c>
      <c r="H311" s="4">
        <f>TeamHero生成!G311</f>
        <v>1669122</v>
      </c>
      <c r="I311" s="4">
        <f>TeamHero生成!H311</f>
        <v>22639</v>
      </c>
      <c r="J311" s="4">
        <f>TeamHero生成!I311</f>
        <v>22895</v>
      </c>
    </row>
    <row r="312" ht="14.25" customHeight="1" spans="1:10">
      <c r="A312" s="4">
        <f>TeamHero生成!A312</f>
        <v>308</v>
      </c>
      <c r="B312" s="4">
        <f>TeamHero生成!B312</f>
        <v>1014</v>
      </c>
      <c r="C312" s="4">
        <f>TeamHero生成!C312</f>
        <v>41</v>
      </c>
      <c r="D312" s="5">
        <f>TeamHero生成!D312</f>
        <v>1887288</v>
      </c>
      <c r="E312" s="5">
        <f>TeamHero生成!E312</f>
        <v>40058</v>
      </c>
      <c r="F312" s="5">
        <f>TeamHero生成!F312</f>
        <v>30024</v>
      </c>
      <c r="G312" s="4" t="str">
        <f>TeamHero生成!AG312</f>
        <v>有效</v>
      </c>
      <c r="H312" s="4">
        <f>TeamHero生成!G312</f>
        <v>1335297</v>
      </c>
      <c r="I312" s="4">
        <f>TeamHero生成!H312</f>
        <v>27166</v>
      </c>
      <c r="J312" s="4">
        <f>TeamHero生成!I312</f>
        <v>18316</v>
      </c>
    </row>
    <row r="313" ht="14.25" customHeight="1" spans="1:10">
      <c r="A313" s="4">
        <f>TeamHero生成!A313</f>
        <v>309</v>
      </c>
      <c r="B313" s="4">
        <f>TeamHero生成!B313</f>
        <v>1021</v>
      </c>
      <c r="C313" s="4">
        <f>TeamHero生成!C313</f>
        <v>41</v>
      </c>
      <c r="D313" s="5">
        <f>TeamHero生成!D313</f>
        <v>1887288</v>
      </c>
      <c r="E313" s="5">
        <f>TeamHero生成!E313</f>
        <v>40058</v>
      </c>
      <c r="F313" s="5">
        <f>TeamHero生成!F313</f>
        <v>30024</v>
      </c>
      <c r="G313" s="4" t="str">
        <f>TeamHero生成!AG313</f>
        <v>有效</v>
      </c>
      <c r="H313" s="4">
        <f>TeamHero生成!G313</f>
        <v>1335297</v>
      </c>
      <c r="I313" s="4">
        <f>TeamHero生成!H313</f>
        <v>27166</v>
      </c>
      <c r="J313" s="4">
        <f>TeamHero生成!I313</f>
        <v>18316</v>
      </c>
    </row>
    <row r="314" ht="14.25" customHeight="1" spans="1:10">
      <c r="A314" s="4">
        <f>TeamHero生成!A314</f>
        <v>310</v>
      </c>
      <c r="B314" s="4">
        <f>TeamHero生成!B314</f>
        <v>1006</v>
      </c>
      <c r="C314" s="4">
        <f>TeamHero生成!C314</f>
        <v>41</v>
      </c>
      <c r="D314" s="5">
        <f>TeamHero生成!D314</f>
        <v>1887288</v>
      </c>
      <c r="E314" s="5">
        <f>TeamHero生成!E314</f>
        <v>40058</v>
      </c>
      <c r="F314" s="5">
        <f>TeamHero生成!F314</f>
        <v>30024</v>
      </c>
      <c r="G314" s="4" t="str">
        <f>TeamHero生成!AG314</f>
        <v>有效</v>
      </c>
      <c r="H314" s="4">
        <f>TeamHero生成!G314</f>
        <v>1335297</v>
      </c>
      <c r="I314" s="4">
        <f>TeamHero生成!H314</f>
        <v>27166</v>
      </c>
      <c r="J314" s="4">
        <f>TeamHero生成!I314</f>
        <v>18316</v>
      </c>
    </row>
    <row r="315" ht="14.25" customHeight="1" spans="1:10">
      <c r="A315" s="4">
        <f>TeamHero生成!A315</f>
        <v>311</v>
      </c>
      <c r="B315" s="4">
        <f>TeamHero生成!B315</f>
        <v>1002</v>
      </c>
      <c r="C315" s="4">
        <f>TeamHero生成!C315</f>
        <v>41</v>
      </c>
      <c r="D315" s="5">
        <f>TeamHero生成!D315</f>
        <v>2879382</v>
      </c>
      <c r="E315" s="5">
        <f>TeamHero生成!E315</f>
        <v>33818</v>
      </c>
      <c r="F315" s="5">
        <f>TeamHero生成!F315</f>
        <v>45425</v>
      </c>
      <c r="G315" s="4" t="str">
        <f>TeamHero生成!AG315</f>
        <v>有效</v>
      </c>
      <c r="H315" s="4">
        <f>TeamHero生成!G315</f>
        <v>2082470</v>
      </c>
      <c r="I315" s="4">
        <f>TeamHero生成!H315</f>
        <v>23274</v>
      </c>
      <c r="J315" s="4">
        <f>TeamHero生成!I315</f>
        <v>28034</v>
      </c>
    </row>
    <row r="316" ht="14.25" customHeight="1" spans="1:10">
      <c r="A316" s="4">
        <f>TeamHero生成!A316</f>
        <v>312</v>
      </c>
      <c r="B316" s="4">
        <f>TeamHero生成!B316</f>
        <v>1008</v>
      </c>
      <c r="C316" s="4">
        <f>TeamHero生成!C316</f>
        <v>41</v>
      </c>
      <c r="D316" s="5">
        <f>TeamHero生成!D316</f>
        <v>1919588</v>
      </c>
      <c r="E316" s="5">
        <f>TeamHero生成!E316</f>
        <v>40582</v>
      </c>
      <c r="F316" s="5">
        <f>TeamHero生成!F316</f>
        <v>30283</v>
      </c>
      <c r="G316" s="4" t="str">
        <f>TeamHero生成!AG316</f>
        <v>有效</v>
      </c>
      <c r="H316" s="4">
        <f>TeamHero生成!G316</f>
        <v>1388313</v>
      </c>
      <c r="I316" s="4">
        <f>TeamHero生成!H316</f>
        <v>27928</v>
      </c>
      <c r="J316" s="4">
        <f>TeamHero生成!I316</f>
        <v>18689</v>
      </c>
    </row>
    <row r="317" ht="14.25" customHeight="1" spans="1:10">
      <c r="A317" s="4">
        <f>TeamHero生成!A317</f>
        <v>313</v>
      </c>
      <c r="B317" s="4">
        <f>TeamHero生成!B317</f>
        <v>1006</v>
      </c>
      <c r="C317" s="4">
        <f>TeamHero生成!C317</f>
        <v>41</v>
      </c>
      <c r="D317" s="5">
        <f>TeamHero生成!D317</f>
        <v>1919588</v>
      </c>
      <c r="E317" s="5">
        <f>TeamHero生成!E317</f>
        <v>40582</v>
      </c>
      <c r="F317" s="5">
        <f>TeamHero生成!F317</f>
        <v>30283</v>
      </c>
      <c r="G317" s="4" t="str">
        <f>TeamHero生成!AG317</f>
        <v>有效</v>
      </c>
      <c r="H317" s="4">
        <f>TeamHero生成!G317</f>
        <v>1388313</v>
      </c>
      <c r="I317" s="4">
        <f>TeamHero生成!H317</f>
        <v>27928</v>
      </c>
      <c r="J317" s="4">
        <f>TeamHero生成!I317</f>
        <v>18689</v>
      </c>
    </row>
    <row r="318" ht="14.25" customHeight="1" spans="1:10">
      <c r="A318" s="4">
        <f>TeamHero生成!A318</f>
        <v>314</v>
      </c>
      <c r="B318" s="4">
        <f>TeamHero生成!B318</f>
        <v>1007</v>
      </c>
      <c r="C318" s="4">
        <f>TeamHero生成!C318</f>
        <v>41</v>
      </c>
      <c r="D318" s="5">
        <f>TeamHero生成!D318</f>
        <v>2399485</v>
      </c>
      <c r="E318" s="5">
        <f>TeamHero生成!E318</f>
        <v>33818</v>
      </c>
      <c r="F318" s="5">
        <f>TeamHero生成!F318</f>
        <v>37854</v>
      </c>
      <c r="G318" s="4" t="str">
        <f>TeamHero生成!AG318</f>
        <v>有效</v>
      </c>
      <c r="H318" s="4">
        <f>TeamHero生成!G318</f>
        <v>1735392</v>
      </c>
      <c r="I318" s="4">
        <f>TeamHero生成!H318</f>
        <v>23274</v>
      </c>
      <c r="J318" s="4">
        <f>TeamHero生成!I318</f>
        <v>23362</v>
      </c>
    </row>
    <row r="319" ht="14.25" customHeight="1" spans="1:10">
      <c r="A319" s="4">
        <f>TeamHero生成!A319</f>
        <v>315</v>
      </c>
      <c r="B319" s="4">
        <f>TeamHero生成!B319</f>
        <v>1007</v>
      </c>
      <c r="C319" s="4">
        <f>TeamHero生成!C319</f>
        <v>41</v>
      </c>
      <c r="D319" s="5">
        <f>TeamHero生成!D319</f>
        <v>2399485</v>
      </c>
      <c r="E319" s="5">
        <f>TeamHero生成!E319</f>
        <v>33818</v>
      </c>
      <c r="F319" s="5">
        <f>TeamHero生成!F319</f>
        <v>37854</v>
      </c>
      <c r="G319" s="4" t="str">
        <f>TeamHero生成!AG319</f>
        <v>有效</v>
      </c>
      <c r="H319" s="4">
        <f>TeamHero生成!G319</f>
        <v>1735392</v>
      </c>
      <c r="I319" s="4">
        <f>TeamHero生成!H319</f>
        <v>23274</v>
      </c>
      <c r="J319" s="4">
        <f>TeamHero生成!I319</f>
        <v>23362</v>
      </c>
    </row>
    <row r="320" ht="14.25" customHeight="1" spans="1:10">
      <c r="A320" s="4">
        <f>TeamHero生成!A320</f>
        <v>316</v>
      </c>
      <c r="B320" s="4">
        <f>TeamHero生成!B320</f>
        <v>1004</v>
      </c>
      <c r="C320" s="4">
        <f>TeamHero生成!C320</f>
        <v>42</v>
      </c>
      <c r="D320" s="5">
        <f>TeamHero生成!D320</f>
        <v>2928450</v>
      </c>
      <c r="E320" s="5">
        <f>TeamHero生成!E320</f>
        <v>34260</v>
      </c>
      <c r="F320" s="5">
        <f>TeamHero生成!F320</f>
        <v>45816</v>
      </c>
      <c r="G320" s="4" t="str">
        <f>TeamHero生成!AG320</f>
        <v>有效</v>
      </c>
      <c r="H320" s="4">
        <f>TeamHero生成!G320</f>
        <v>2164269</v>
      </c>
      <c r="I320" s="4">
        <f>TeamHero生成!H320</f>
        <v>23922</v>
      </c>
      <c r="J320" s="4">
        <f>TeamHero生成!I320</f>
        <v>28599</v>
      </c>
    </row>
    <row r="321" ht="14.25" customHeight="1" spans="1:10">
      <c r="A321" s="4">
        <f>TeamHero生成!A321</f>
        <v>317</v>
      </c>
      <c r="B321" s="4">
        <f>TeamHero生成!B321</f>
        <v>1021</v>
      </c>
      <c r="C321" s="4">
        <f>TeamHero生成!C321</f>
        <v>42</v>
      </c>
      <c r="D321" s="5">
        <f>TeamHero生成!D321</f>
        <v>1952300</v>
      </c>
      <c r="E321" s="5">
        <f>TeamHero生成!E321</f>
        <v>41112</v>
      </c>
      <c r="F321" s="5">
        <f>TeamHero生成!F321</f>
        <v>30544</v>
      </c>
      <c r="G321" s="4" t="str">
        <f>TeamHero生成!AG321</f>
        <v>有效</v>
      </c>
      <c r="H321" s="4">
        <f>TeamHero生成!G321</f>
        <v>1442846</v>
      </c>
      <c r="I321" s="4">
        <f>TeamHero生成!H321</f>
        <v>28706</v>
      </c>
      <c r="J321" s="4">
        <f>TeamHero生成!I321</f>
        <v>19066</v>
      </c>
    </row>
    <row r="322" ht="14.25" customHeight="1" spans="1:10">
      <c r="A322" s="4">
        <f>TeamHero生成!A322</f>
        <v>318</v>
      </c>
      <c r="B322" s="4">
        <f>TeamHero生成!B322</f>
        <v>1006</v>
      </c>
      <c r="C322" s="4">
        <f>TeamHero生成!C322</f>
        <v>42</v>
      </c>
      <c r="D322" s="5">
        <f>TeamHero生成!D322</f>
        <v>1952300</v>
      </c>
      <c r="E322" s="5">
        <f>TeamHero生成!E322</f>
        <v>41112</v>
      </c>
      <c r="F322" s="5">
        <f>TeamHero生成!F322</f>
        <v>30544</v>
      </c>
      <c r="G322" s="4" t="str">
        <f>TeamHero生成!AG322</f>
        <v>有效</v>
      </c>
      <c r="H322" s="4">
        <f>TeamHero生成!G322</f>
        <v>1442846</v>
      </c>
      <c r="I322" s="4">
        <f>TeamHero生成!H322</f>
        <v>28706</v>
      </c>
      <c r="J322" s="4">
        <f>TeamHero生成!I322</f>
        <v>19066</v>
      </c>
    </row>
    <row r="323" ht="14.25" customHeight="1" spans="1:10">
      <c r="A323" s="4">
        <f>TeamHero生成!A323</f>
        <v>319</v>
      </c>
      <c r="B323" s="4">
        <f>TeamHero生成!B323</f>
        <v>1012</v>
      </c>
      <c r="C323" s="4">
        <f>TeamHero生成!C323</f>
        <v>42</v>
      </c>
      <c r="D323" s="5">
        <f>TeamHero生成!D323</f>
        <v>2440375</v>
      </c>
      <c r="E323" s="5">
        <f>TeamHero生成!E323</f>
        <v>34260</v>
      </c>
      <c r="F323" s="5">
        <f>TeamHero生成!F323</f>
        <v>38180</v>
      </c>
      <c r="G323" s="4" t="str">
        <f>TeamHero生成!AG323</f>
        <v>有效</v>
      </c>
      <c r="H323" s="4">
        <f>TeamHero生成!G323</f>
        <v>1803558</v>
      </c>
      <c r="I323" s="4">
        <f>TeamHero生成!H323</f>
        <v>23922</v>
      </c>
      <c r="J323" s="4">
        <f>TeamHero生成!I323</f>
        <v>23833</v>
      </c>
    </row>
    <row r="324" ht="14.25" customHeight="1" spans="1:10">
      <c r="A324" s="4">
        <f>TeamHero生成!A324</f>
        <v>320</v>
      </c>
      <c r="B324" s="4">
        <f>TeamHero生成!B324</f>
        <v>1014</v>
      </c>
      <c r="C324" s="4">
        <f>TeamHero生成!C324</f>
        <v>42</v>
      </c>
      <c r="D324" s="5">
        <f>TeamHero生成!D324</f>
        <v>1952300</v>
      </c>
      <c r="E324" s="5">
        <f>TeamHero生成!E324</f>
        <v>41112</v>
      </c>
      <c r="F324" s="5">
        <f>TeamHero生成!F324</f>
        <v>30544</v>
      </c>
      <c r="G324" s="4" t="str">
        <f>TeamHero生成!AG324</f>
        <v>有效</v>
      </c>
      <c r="H324" s="4">
        <f>TeamHero生成!G324</f>
        <v>1442846</v>
      </c>
      <c r="I324" s="4">
        <f>TeamHero生成!H324</f>
        <v>28706</v>
      </c>
      <c r="J324" s="4">
        <f>TeamHero生成!I324</f>
        <v>19066</v>
      </c>
    </row>
    <row r="325" ht="14.25" customHeight="1" spans="1:10">
      <c r="A325" s="4">
        <f>TeamHero生成!A325</f>
        <v>321</v>
      </c>
      <c r="B325" s="4">
        <f>TeamHero生成!B325</f>
        <v>1003</v>
      </c>
      <c r="C325" s="4">
        <f>TeamHero生成!C325</f>
        <v>42</v>
      </c>
      <c r="D325" s="5">
        <f>TeamHero生成!D325</f>
        <v>2953212</v>
      </c>
      <c r="E325" s="5">
        <f>TeamHero生成!E325</f>
        <v>34483</v>
      </c>
      <c r="F325" s="5">
        <f>TeamHero生成!F325</f>
        <v>46011</v>
      </c>
      <c r="G325" s="4" t="str">
        <f>TeamHero生成!AG325</f>
        <v>有效</v>
      </c>
      <c r="H325" s="4">
        <f>TeamHero生成!G325</f>
        <v>2248387</v>
      </c>
      <c r="I325" s="4">
        <f>TeamHero生成!H325</f>
        <v>24586</v>
      </c>
      <c r="J325" s="4">
        <f>TeamHero生成!I325</f>
        <v>29168</v>
      </c>
    </row>
    <row r="326" ht="14.25" customHeight="1" spans="1:10">
      <c r="A326" s="4">
        <f>TeamHero生成!A326</f>
        <v>322</v>
      </c>
      <c r="B326" s="4">
        <f>TeamHero生成!B326</f>
        <v>1008</v>
      </c>
      <c r="C326" s="4">
        <f>TeamHero生成!C326</f>
        <v>42</v>
      </c>
      <c r="D326" s="5">
        <f>TeamHero生成!D326</f>
        <v>1968808</v>
      </c>
      <c r="E326" s="5">
        <f>TeamHero生成!E326</f>
        <v>41380</v>
      </c>
      <c r="F326" s="5">
        <f>TeamHero生成!F326</f>
        <v>30674</v>
      </c>
      <c r="G326" s="4" t="str">
        <f>TeamHero生成!AG326</f>
        <v>有效</v>
      </c>
      <c r="H326" s="4">
        <f>TeamHero生成!G326</f>
        <v>1498924</v>
      </c>
      <c r="I326" s="4">
        <f>TeamHero生成!H326</f>
        <v>29503</v>
      </c>
      <c r="J326" s="4">
        <f>TeamHero生成!I326</f>
        <v>19445</v>
      </c>
    </row>
    <row r="327" ht="14.25" customHeight="1" spans="1:10">
      <c r="A327" s="4">
        <f>TeamHero生成!A327</f>
        <v>323</v>
      </c>
      <c r="B327" s="4">
        <f>TeamHero生成!B327</f>
        <v>1007</v>
      </c>
      <c r="C327" s="4">
        <f>TeamHero生成!C327</f>
        <v>42</v>
      </c>
      <c r="D327" s="5">
        <f>TeamHero生成!D327</f>
        <v>2461010</v>
      </c>
      <c r="E327" s="5">
        <f>TeamHero生成!E327</f>
        <v>34483</v>
      </c>
      <c r="F327" s="5">
        <f>TeamHero生成!F327</f>
        <v>38343</v>
      </c>
      <c r="G327" s="4" t="str">
        <f>TeamHero生成!AG327</f>
        <v>有效</v>
      </c>
      <c r="H327" s="4">
        <f>TeamHero生成!G327</f>
        <v>1873656</v>
      </c>
      <c r="I327" s="4">
        <f>TeamHero生成!H327</f>
        <v>24586</v>
      </c>
      <c r="J327" s="4">
        <f>TeamHero生成!I327</f>
        <v>24307</v>
      </c>
    </row>
    <row r="328" ht="14.25" customHeight="1" spans="1:10">
      <c r="A328" s="4">
        <f>TeamHero生成!A328</f>
        <v>324</v>
      </c>
      <c r="B328" s="4">
        <f>TeamHero生成!B328</f>
        <v>1011</v>
      </c>
      <c r="C328" s="4">
        <f>TeamHero生成!C328</f>
        <v>42</v>
      </c>
      <c r="D328" s="5">
        <f>TeamHero生成!D328</f>
        <v>2461010</v>
      </c>
      <c r="E328" s="5">
        <f>TeamHero生成!E328</f>
        <v>34483</v>
      </c>
      <c r="F328" s="5">
        <f>TeamHero生成!F328</f>
        <v>38343</v>
      </c>
      <c r="G328" s="4" t="str">
        <f>TeamHero生成!AG328</f>
        <v>有效</v>
      </c>
      <c r="H328" s="4">
        <f>TeamHero生成!G328</f>
        <v>1873656</v>
      </c>
      <c r="I328" s="4">
        <f>TeamHero生成!H328</f>
        <v>24586</v>
      </c>
      <c r="J328" s="4">
        <f>TeamHero生成!I328</f>
        <v>24307</v>
      </c>
    </row>
    <row r="329" ht="14.25" customHeight="1" spans="1:10">
      <c r="A329" s="4">
        <f>TeamHero生成!A329</f>
        <v>325</v>
      </c>
      <c r="B329" s="4">
        <f>TeamHero生成!B329</f>
        <v>1020</v>
      </c>
      <c r="C329" s="4">
        <f>TeamHero生成!C329</f>
        <v>42</v>
      </c>
      <c r="D329" s="5">
        <f>TeamHero生成!D329</f>
        <v>2461010</v>
      </c>
      <c r="E329" s="5">
        <f>TeamHero生成!E329</f>
        <v>34483</v>
      </c>
      <c r="F329" s="5">
        <f>TeamHero生成!F329</f>
        <v>38343</v>
      </c>
      <c r="G329" s="4" t="str">
        <f>TeamHero生成!AG329</f>
        <v>有效</v>
      </c>
      <c r="H329" s="4">
        <f>TeamHero生成!G329</f>
        <v>1873656</v>
      </c>
      <c r="I329" s="4">
        <f>TeamHero生成!H329</f>
        <v>24586</v>
      </c>
      <c r="J329" s="4">
        <f>TeamHero生成!I329</f>
        <v>24307</v>
      </c>
    </row>
    <row r="330" ht="14.25" customHeight="1" spans="1:10">
      <c r="A330" s="4">
        <f>TeamHero生成!A330</f>
        <v>326</v>
      </c>
      <c r="B330" s="4">
        <f>TeamHero生成!B330</f>
        <v>1004</v>
      </c>
      <c r="C330" s="4">
        <f>TeamHero生成!C330</f>
        <v>43</v>
      </c>
      <c r="D330" s="5">
        <f>TeamHero生成!D330</f>
        <v>2978130</v>
      </c>
      <c r="E330" s="5">
        <f>TeamHero生成!E330</f>
        <v>34708</v>
      </c>
      <c r="F330" s="5">
        <f>TeamHero生成!F330</f>
        <v>46208</v>
      </c>
      <c r="G330" s="4" t="str">
        <f>TeamHero生成!AG330</f>
        <v>有效</v>
      </c>
      <c r="H330" s="4">
        <f>TeamHero生成!G330</f>
        <v>2334866</v>
      </c>
      <c r="I330" s="4">
        <f>TeamHero生成!H330</f>
        <v>25264</v>
      </c>
      <c r="J330" s="4">
        <f>TeamHero生成!I330</f>
        <v>29742</v>
      </c>
    </row>
    <row r="331" ht="14.25" customHeight="1" spans="1:10">
      <c r="A331" s="4">
        <f>TeamHero生成!A331</f>
        <v>327</v>
      </c>
      <c r="B331" s="4">
        <f>TeamHero生成!B331</f>
        <v>1021</v>
      </c>
      <c r="C331" s="4">
        <f>TeamHero生成!C331</f>
        <v>43</v>
      </c>
      <c r="D331" s="5">
        <f>TeamHero生成!D331</f>
        <v>1985420</v>
      </c>
      <c r="E331" s="5">
        <f>TeamHero生成!E331</f>
        <v>41649</v>
      </c>
      <c r="F331" s="5">
        <f>TeamHero生成!F331</f>
        <v>30805</v>
      </c>
      <c r="G331" s="4" t="str">
        <f>TeamHero生成!AG331</f>
        <v>有效</v>
      </c>
      <c r="H331" s="4">
        <f>TeamHero生成!G331</f>
        <v>1556577</v>
      </c>
      <c r="I331" s="4">
        <f>TeamHero生成!H331</f>
        <v>30316</v>
      </c>
      <c r="J331" s="4">
        <f>TeamHero生成!I331</f>
        <v>19828</v>
      </c>
    </row>
    <row r="332" ht="14.25" customHeight="1" spans="1:10">
      <c r="A332" s="4">
        <f>TeamHero生成!A332</f>
        <v>328</v>
      </c>
      <c r="B332" s="4">
        <f>TeamHero生成!B332</f>
        <v>1006</v>
      </c>
      <c r="C332" s="4">
        <f>TeamHero生成!C332</f>
        <v>43</v>
      </c>
      <c r="D332" s="5">
        <f>TeamHero生成!D332</f>
        <v>1985420</v>
      </c>
      <c r="E332" s="5">
        <f>TeamHero生成!E332</f>
        <v>41649</v>
      </c>
      <c r="F332" s="5">
        <f>TeamHero生成!F332</f>
        <v>30805</v>
      </c>
      <c r="G332" s="4" t="str">
        <f>TeamHero生成!AG332</f>
        <v>有效</v>
      </c>
      <c r="H332" s="4">
        <f>TeamHero生成!G332</f>
        <v>1556577</v>
      </c>
      <c r="I332" s="4">
        <f>TeamHero生成!H332</f>
        <v>30316</v>
      </c>
      <c r="J332" s="4">
        <f>TeamHero生成!I332</f>
        <v>19828</v>
      </c>
    </row>
    <row r="333" ht="14.25" customHeight="1" spans="1:10">
      <c r="A333" s="4">
        <f>TeamHero生成!A333</f>
        <v>329</v>
      </c>
      <c r="B333" s="4">
        <f>TeamHero生成!B333</f>
        <v>1021</v>
      </c>
      <c r="C333" s="4">
        <f>TeamHero生成!C333</f>
        <v>43</v>
      </c>
      <c r="D333" s="5">
        <f>TeamHero生成!D333</f>
        <v>1985420</v>
      </c>
      <c r="E333" s="5">
        <f>TeamHero生成!E333</f>
        <v>41649</v>
      </c>
      <c r="F333" s="5">
        <f>TeamHero生成!F333</f>
        <v>30805</v>
      </c>
      <c r="G333" s="4" t="str">
        <f>TeamHero生成!AG333</f>
        <v>有效</v>
      </c>
      <c r="H333" s="4">
        <f>TeamHero生成!G333</f>
        <v>1556577</v>
      </c>
      <c r="I333" s="4">
        <f>TeamHero生成!H333</f>
        <v>30316</v>
      </c>
      <c r="J333" s="4">
        <f>TeamHero生成!I333</f>
        <v>19828</v>
      </c>
    </row>
    <row r="334" ht="14.25" customHeight="1" spans="1:10">
      <c r="A334" s="4">
        <f>TeamHero生成!A334</f>
        <v>330</v>
      </c>
      <c r="B334" s="4">
        <f>TeamHero生成!B334</f>
        <v>1012</v>
      </c>
      <c r="C334" s="4">
        <f>TeamHero生成!C334</f>
        <v>43</v>
      </c>
      <c r="D334" s="5">
        <f>TeamHero生成!D334</f>
        <v>2481775</v>
      </c>
      <c r="E334" s="5">
        <f>TeamHero生成!E334</f>
        <v>34708</v>
      </c>
      <c r="F334" s="5">
        <f>TeamHero生成!F334</f>
        <v>38506</v>
      </c>
      <c r="G334" s="4" t="str">
        <f>TeamHero生成!AG334</f>
        <v>有效</v>
      </c>
      <c r="H334" s="4">
        <f>TeamHero生成!G334</f>
        <v>1945722</v>
      </c>
      <c r="I334" s="4">
        <f>TeamHero生成!H334</f>
        <v>25264</v>
      </c>
      <c r="J334" s="4">
        <f>TeamHero生成!I334</f>
        <v>24785</v>
      </c>
    </row>
    <row r="335" ht="14.25" customHeight="1" spans="1:10">
      <c r="A335" s="4">
        <f>TeamHero生成!A335</f>
        <v>331</v>
      </c>
      <c r="B335" s="4">
        <f>TeamHero生成!B335</f>
        <v>1004</v>
      </c>
      <c r="C335" s="4">
        <f>TeamHero生成!C335</f>
        <v>43</v>
      </c>
      <c r="D335" s="5">
        <f>TeamHero生成!D335</f>
        <v>3028434</v>
      </c>
      <c r="E335" s="5">
        <f>TeamHero生成!E335</f>
        <v>35160</v>
      </c>
      <c r="F335" s="5">
        <f>TeamHero生成!F335</f>
        <v>46601</v>
      </c>
      <c r="G335" s="4" t="str">
        <f>TeamHero生成!AG335</f>
        <v>有效</v>
      </c>
      <c r="H335" s="4">
        <f>TeamHero生成!G335</f>
        <v>2423750</v>
      </c>
      <c r="I335" s="4">
        <f>TeamHero生成!H335</f>
        <v>25956</v>
      </c>
      <c r="J335" s="4">
        <f>TeamHero生成!I335</f>
        <v>30320</v>
      </c>
    </row>
    <row r="336" ht="14.25" customHeight="1" spans="1:10">
      <c r="A336" s="4">
        <f>TeamHero生成!A336</f>
        <v>332</v>
      </c>
      <c r="B336" s="4">
        <f>TeamHero生成!B336</f>
        <v>1015</v>
      </c>
      <c r="C336" s="4">
        <f>TeamHero生成!C336</f>
        <v>43</v>
      </c>
      <c r="D336" s="5">
        <f>TeamHero生成!D336</f>
        <v>2523695</v>
      </c>
      <c r="E336" s="5">
        <f>TeamHero生成!E336</f>
        <v>35160</v>
      </c>
      <c r="F336" s="5">
        <f>TeamHero生成!F336</f>
        <v>38834</v>
      </c>
      <c r="G336" s="4" t="str">
        <f>TeamHero生成!AG336</f>
        <v>有效</v>
      </c>
      <c r="H336" s="4">
        <f>TeamHero生成!G336</f>
        <v>2019792</v>
      </c>
      <c r="I336" s="4">
        <f>TeamHero生成!H336</f>
        <v>25956</v>
      </c>
      <c r="J336" s="4">
        <f>TeamHero生成!I336</f>
        <v>25267</v>
      </c>
    </row>
    <row r="337" ht="14.25" customHeight="1" spans="1:10">
      <c r="A337" s="4">
        <f>TeamHero生成!A337</f>
        <v>333</v>
      </c>
      <c r="B337" s="4">
        <f>TeamHero生成!B337</f>
        <v>1005</v>
      </c>
      <c r="C337" s="4">
        <f>TeamHero生成!C337</f>
        <v>43</v>
      </c>
      <c r="D337" s="5">
        <f>TeamHero生成!D337</f>
        <v>2018956</v>
      </c>
      <c r="E337" s="5">
        <f>TeamHero生成!E337</f>
        <v>42192</v>
      </c>
      <c r="F337" s="5">
        <f>TeamHero生成!F337</f>
        <v>31067</v>
      </c>
      <c r="G337" s="4" t="str">
        <f>TeamHero生成!AG337</f>
        <v>有效</v>
      </c>
      <c r="H337" s="4">
        <f>TeamHero生成!G337</f>
        <v>1615833</v>
      </c>
      <c r="I337" s="4">
        <f>TeamHero生成!H337</f>
        <v>31147</v>
      </c>
      <c r="J337" s="4">
        <f>TeamHero生成!I337</f>
        <v>20213</v>
      </c>
    </row>
    <row r="338" ht="14.25" customHeight="1" spans="1:10">
      <c r="A338" s="4">
        <f>TeamHero生成!A338</f>
        <v>334</v>
      </c>
      <c r="B338" s="4">
        <f>TeamHero生成!B338</f>
        <v>1005</v>
      </c>
      <c r="C338" s="4">
        <f>TeamHero生成!C338</f>
        <v>43</v>
      </c>
      <c r="D338" s="5">
        <f>TeamHero生成!D338</f>
        <v>2018956</v>
      </c>
      <c r="E338" s="5">
        <f>TeamHero生成!E338</f>
        <v>42192</v>
      </c>
      <c r="F338" s="5">
        <f>TeamHero生成!F338</f>
        <v>31067</v>
      </c>
      <c r="G338" s="4" t="str">
        <f>TeamHero生成!AG338</f>
        <v>有效</v>
      </c>
      <c r="H338" s="4">
        <f>TeamHero生成!G338</f>
        <v>1615833</v>
      </c>
      <c r="I338" s="4">
        <f>TeamHero生成!H338</f>
        <v>31147</v>
      </c>
      <c r="J338" s="4">
        <f>TeamHero生成!I338</f>
        <v>20213</v>
      </c>
    </row>
    <row r="339" ht="14.25" customHeight="1" spans="1:10">
      <c r="A339" s="4">
        <f>TeamHero生成!A339</f>
        <v>335</v>
      </c>
      <c r="B339" s="4">
        <f>TeamHero生成!B339</f>
        <v>1008</v>
      </c>
      <c r="C339" s="4">
        <f>TeamHero生成!C339</f>
        <v>43</v>
      </c>
      <c r="D339" s="5">
        <f>TeamHero生成!D339</f>
        <v>2018956</v>
      </c>
      <c r="E339" s="5">
        <f>TeamHero生成!E339</f>
        <v>42192</v>
      </c>
      <c r="F339" s="5">
        <f>TeamHero生成!F339</f>
        <v>31067</v>
      </c>
      <c r="G339" s="4" t="str">
        <f>TeamHero生成!AG339</f>
        <v>有效</v>
      </c>
      <c r="H339" s="4">
        <f>TeamHero生成!G339</f>
        <v>1615833</v>
      </c>
      <c r="I339" s="4">
        <f>TeamHero生成!H339</f>
        <v>31147</v>
      </c>
      <c r="J339" s="4">
        <f>TeamHero生成!I339</f>
        <v>20213</v>
      </c>
    </row>
    <row r="340" ht="14.25" customHeight="1" spans="1:10">
      <c r="A340" s="4">
        <f>TeamHero生成!A340</f>
        <v>336</v>
      </c>
      <c r="B340" s="4">
        <f>TeamHero生成!B340</f>
        <v>1002</v>
      </c>
      <c r="C340" s="4">
        <f>TeamHero生成!C340</f>
        <v>44</v>
      </c>
      <c r="D340" s="5">
        <f>TeamHero生成!D340</f>
        <v>3053826</v>
      </c>
      <c r="E340" s="5">
        <f>TeamHero生成!E340</f>
        <v>35389</v>
      </c>
      <c r="F340" s="5">
        <f>TeamHero生成!F340</f>
        <v>46799</v>
      </c>
      <c r="G340" s="4" t="str">
        <f>TeamHero生成!AG340</f>
        <v>有效</v>
      </c>
      <c r="H340" s="4">
        <f>TeamHero生成!G340</f>
        <v>2515089</v>
      </c>
      <c r="I340" s="4">
        <f>TeamHero生成!H340</f>
        <v>26665</v>
      </c>
      <c r="J340" s="4">
        <f>TeamHero生成!I340</f>
        <v>30902</v>
      </c>
    </row>
    <row r="341" ht="14.25" customHeight="1" spans="1:10">
      <c r="A341" s="4">
        <f>TeamHero生成!A341</f>
        <v>337</v>
      </c>
      <c r="B341" s="4">
        <f>TeamHero生成!B341</f>
        <v>1001</v>
      </c>
      <c r="C341" s="4">
        <f>TeamHero生成!C341</f>
        <v>44</v>
      </c>
      <c r="D341" s="5">
        <f>TeamHero生成!D341</f>
        <v>2035884</v>
      </c>
      <c r="E341" s="5">
        <f>TeamHero生成!E341</f>
        <v>42467</v>
      </c>
      <c r="F341" s="5">
        <f>TeamHero生成!F341</f>
        <v>31199</v>
      </c>
      <c r="G341" s="4" t="str">
        <f>TeamHero生成!AG341</f>
        <v>有效</v>
      </c>
      <c r="H341" s="4">
        <f>TeamHero生成!G341</f>
        <v>1676726</v>
      </c>
      <c r="I341" s="4">
        <f>TeamHero生成!H341</f>
        <v>31998</v>
      </c>
      <c r="J341" s="4">
        <f>TeamHero生成!I341</f>
        <v>20601</v>
      </c>
    </row>
    <row r="342" ht="14.25" customHeight="1" spans="1:10">
      <c r="A342" s="4">
        <f>TeamHero生成!A342</f>
        <v>338</v>
      </c>
      <c r="B342" s="4">
        <f>TeamHero生成!B342</f>
        <v>1001</v>
      </c>
      <c r="C342" s="4">
        <f>TeamHero生成!C342</f>
        <v>44</v>
      </c>
      <c r="D342" s="5">
        <f>TeamHero生成!D342</f>
        <v>2035884</v>
      </c>
      <c r="E342" s="5">
        <f>TeamHero生成!E342</f>
        <v>42467</v>
      </c>
      <c r="F342" s="5">
        <f>TeamHero生成!F342</f>
        <v>31199</v>
      </c>
      <c r="G342" s="4" t="str">
        <f>TeamHero生成!AG342</f>
        <v>有效</v>
      </c>
      <c r="H342" s="4">
        <f>TeamHero生成!G342</f>
        <v>1676726</v>
      </c>
      <c r="I342" s="4">
        <f>TeamHero生成!H342</f>
        <v>31998</v>
      </c>
      <c r="J342" s="4">
        <f>TeamHero生成!I342</f>
        <v>20601</v>
      </c>
    </row>
    <row r="343" ht="14.25" customHeight="1" spans="1:10">
      <c r="A343" s="4">
        <f>TeamHero生成!A343</f>
        <v>339</v>
      </c>
      <c r="B343" s="4">
        <f>TeamHero生成!B343</f>
        <v>1012</v>
      </c>
      <c r="C343" s="4">
        <f>TeamHero生成!C343</f>
        <v>44</v>
      </c>
      <c r="D343" s="5">
        <f>TeamHero生成!D343</f>
        <v>2544855</v>
      </c>
      <c r="E343" s="5">
        <f>TeamHero生成!E343</f>
        <v>35389</v>
      </c>
      <c r="F343" s="5">
        <f>TeamHero生成!F343</f>
        <v>38999</v>
      </c>
      <c r="G343" s="4" t="str">
        <f>TeamHero生成!AG343</f>
        <v>有效</v>
      </c>
      <c r="H343" s="4">
        <f>TeamHero生成!G343</f>
        <v>2095908</v>
      </c>
      <c r="I343" s="4">
        <f>TeamHero生成!H343</f>
        <v>26665</v>
      </c>
      <c r="J343" s="4">
        <f>TeamHero生成!I343</f>
        <v>25752</v>
      </c>
    </row>
    <row r="344" ht="14.25" customHeight="1" spans="1:10">
      <c r="A344" s="4">
        <f>TeamHero生成!A344</f>
        <v>340</v>
      </c>
      <c r="B344" s="4">
        <f>TeamHero生成!B344</f>
        <v>1012</v>
      </c>
      <c r="C344" s="4">
        <f>TeamHero生成!C344</f>
        <v>44</v>
      </c>
      <c r="D344" s="5">
        <f>TeamHero生成!D344</f>
        <v>2544855</v>
      </c>
      <c r="E344" s="5">
        <f>TeamHero生成!E344</f>
        <v>35389</v>
      </c>
      <c r="F344" s="5">
        <f>TeamHero生成!F344</f>
        <v>38999</v>
      </c>
      <c r="G344" s="4" t="str">
        <f>TeamHero生成!AG344</f>
        <v>有效</v>
      </c>
      <c r="H344" s="4">
        <f>TeamHero生成!G344</f>
        <v>2095908</v>
      </c>
      <c r="I344" s="4">
        <f>TeamHero生成!H344</f>
        <v>26665</v>
      </c>
      <c r="J344" s="4">
        <f>TeamHero生成!I344</f>
        <v>25752</v>
      </c>
    </row>
    <row r="345" ht="14.25" customHeight="1" spans="1:10">
      <c r="A345" s="4">
        <f>TeamHero生成!A345</f>
        <v>341</v>
      </c>
      <c r="B345" s="4">
        <f>TeamHero生成!B345</f>
        <v>1004</v>
      </c>
      <c r="C345" s="4">
        <f>TeamHero生成!C345</f>
        <v>44</v>
      </c>
      <c r="D345" s="5">
        <f>TeamHero生成!D345</f>
        <v>3105078</v>
      </c>
      <c r="E345" s="5">
        <f>TeamHero生成!E345</f>
        <v>35849</v>
      </c>
      <c r="F345" s="5">
        <f>TeamHero生成!F345</f>
        <v>47193</v>
      </c>
      <c r="G345" s="4" t="str">
        <f>TeamHero生成!AG345</f>
        <v>有效</v>
      </c>
      <c r="H345" s="4">
        <f>TeamHero生成!G345</f>
        <v>2608920</v>
      </c>
      <c r="I345" s="4">
        <f>TeamHero生成!H345</f>
        <v>27390</v>
      </c>
      <c r="J345" s="4">
        <f>TeamHero生成!I345</f>
        <v>31489</v>
      </c>
    </row>
    <row r="346" ht="14.25" customHeight="1" spans="1:10">
      <c r="A346" s="4">
        <f>TeamHero生成!A346</f>
        <v>342</v>
      </c>
      <c r="B346" s="4">
        <f>TeamHero生成!B346</f>
        <v>1007</v>
      </c>
      <c r="C346" s="4">
        <f>TeamHero生成!C346</f>
        <v>44</v>
      </c>
      <c r="D346" s="5">
        <f>TeamHero生成!D346</f>
        <v>2587565</v>
      </c>
      <c r="E346" s="5">
        <f>TeamHero生成!E346</f>
        <v>35849</v>
      </c>
      <c r="F346" s="5">
        <f>TeamHero生成!F346</f>
        <v>39328</v>
      </c>
      <c r="G346" s="4" t="str">
        <f>TeamHero生成!AG346</f>
        <v>有效</v>
      </c>
      <c r="H346" s="4">
        <f>TeamHero生成!G346</f>
        <v>2174100</v>
      </c>
      <c r="I346" s="4">
        <f>TeamHero生成!H346</f>
        <v>27390</v>
      </c>
      <c r="J346" s="4">
        <f>TeamHero生成!I346</f>
        <v>26241</v>
      </c>
    </row>
    <row r="347" ht="14.25" customHeight="1" spans="1:10">
      <c r="A347" s="4">
        <f>TeamHero生成!A347</f>
        <v>343</v>
      </c>
      <c r="B347" s="4">
        <f>TeamHero生成!B347</f>
        <v>1007</v>
      </c>
      <c r="C347" s="4">
        <f>TeamHero生成!C347</f>
        <v>44</v>
      </c>
      <c r="D347" s="5">
        <f>TeamHero生成!D347</f>
        <v>2587565</v>
      </c>
      <c r="E347" s="5">
        <f>TeamHero生成!E347</f>
        <v>35849</v>
      </c>
      <c r="F347" s="5">
        <f>TeamHero生成!F347</f>
        <v>39328</v>
      </c>
      <c r="G347" s="4" t="str">
        <f>TeamHero生成!AG347</f>
        <v>有效</v>
      </c>
      <c r="H347" s="4">
        <f>TeamHero生成!G347</f>
        <v>2174100</v>
      </c>
      <c r="I347" s="4">
        <f>TeamHero生成!H347</f>
        <v>27390</v>
      </c>
      <c r="J347" s="4">
        <f>TeamHero生成!I347</f>
        <v>26241</v>
      </c>
    </row>
    <row r="348" ht="14.25" customHeight="1" spans="1:10">
      <c r="A348" s="4">
        <f>TeamHero生成!A348</f>
        <v>344</v>
      </c>
      <c r="B348" s="4">
        <f>TeamHero生成!B348</f>
        <v>1008</v>
      </c>
      <c r="C348" s="4">
        <f>TeamHero生成!C348</f>
        <v>44</v>
      </c>
      <c r="D348" s="5">
        <f>TeamHero生成!D348</f>
        <v>2070052</v>
      </c>
      <c r="E348" s="5">
        <f>TeamHero生成!E348</f>
        <v>43019</v>
      </c>
      <c r="F348" s="5">
        <f>TeamHero生成!F348</f>
        <v>31462</v>
      </c>
      <c r="G348" s="4" t="str">
        <f>TeamHero生成!AG348</f>
        <v>有效</v>
      </c>
      <c r="H348" s="4">
        <f>TeamHero生成!G348</f>
        <v>1739280</v>
      </c>
      <c r="I348" s="4">
        <f>TeamHero生成!H348</f>
        <v>32868</v>
      </c>
      <c r="J348" s="4">
        <f>TeamHero生成!I348</f>
        <v>20992</v>
      </c>
    </row>
    <row r="349" ht="14.25" customHeight="1" spans="1:10">
      <c r="A349" s="4">
        <f>TeamHero生成!A349</f>
        <v>345</v>
      </c>
      <c r="B349" s="4">
        <f>TeamHero生成!B349</f>
        <v>1021</v>
      </c>
      <c r="C349" s="4">
        <f>TeamHero生成!C349</f>
        <v>44</v>
      </c>
      <c r="D349" s="5">
        <f>TeamHero生成!D349</f>
        <v>2070052</v>
      </c>
      <c r="E349" s="5">
        <f>TeamHero生成!E349</f>
        <v>43019</v>
      </c>
      <c r="F349" s="5">
        <f>TeamHero生成!F349</f>
        <v>31462</v>
      </c>
      <c r="G349" s="4" t="str">
        <f>TeamHero生成!AG349</f>
        <v>有效</v>
      </c>
      <c r="H349" s="4">
        <f>TeamHero生成!G349</f>
        <v>1739280</v>
      </c>
      <c r="I349" s="4">
        <f>TeamHero生成!H349</f>
        <v>32868</v>
      </c>
      <c r="J349" s="4">
        <f>TeamHero生成!I349</f>
        <v>20992</v>
      </c>
    </row>
    <row r="350" ht="14.25" customHeight="1" spans="1:10">
      <c r="A350" s="4">
        <f>TeamHero生成!A350</f>
        <v>346</v>
      </c>
      <c r="B350" s="4">
        <f>TeamHero生成!B350</f>
        <v>1003</v>
      </c>
      <c r="C350" s="4">
        <f>TeamHero生成!C350</f>
        <v>45</v>
      </c>
      <c r="D350" s="5">
        <f>TeamHero生成!D350</f>
        <v>3156966</v>
      </c>
      <c r="E350" s="5">
        <f>TeamHero生成!E350</f>
        <v>36316</v>
      </c>
      <c r="F350" s="5">
        <f>TeamHero生成!F350</f>
        <v>47591</v>
      </c>
      <c r="G350" s="4" t="str">
        <f>TeamHero生成!AG350</f>
        <v>有效</v>
      </c>
      <c r="H350" s="4">
        <f>TeamHero生成!G350</f>
        <v>2705299</v>
      </c>
      <c r="I350" s="4">
        <f>TeamHero生成!H350</f>
        <v>28132</v>
      </c>
      <c r="J350" s="4">
        <f>TeamHero生成!I350</f>
        <v>32079</v>
      </c>
    </row>
    <row r="351" ht="14.25" customHeight="1" spans="1:10">
      <c r="A351" s="4">
        <f>TeamHero生成!A351</f>
        <v>347</v>
      </c>
      <c r="B351" s="4">
        <f>TeamHero生成!B351</f>
        <v>1017</v>
      </c>
      <c r="C351" s="4">
        <f>TeamHero生成!C351</f>
        <v>45</v>
      </c>
      <c r="D351" s="5">
        <f>TeamHero生成!D351</f>
        <v>2104644</v>
      </c>
      <c r="E351" s="5">
        <f>TeamHero生成!E351</f>
        <v>43579</v>
      </c>
      <c r="F351" s="5">
        <f>TeamHero生成!F351</f>
        <v>31727</v>
      </c>
      <c r="G351" s="4" t="str">
        <f>TeamHero生成!AG351</f>
        <v>有效</v>
      </c>
      <c r="H351" s="4">
        <f>TeamHero生成!G351</f>
        <v>1803532</v>
      </c>
      <c r="I351" s="4">
        <f>TeamHero生成!H351</f>
        <v>33758</v>
      </c>
      <c r="J351" s="4">
        <f>TeamHero生成!I351</f>
        <v>21386</v>
      </c>
    </row>
    <row r="352" ht="14.25" customHeight="1" spans="1:10">
      <c r="A352" s="4">
        <f>TeamHero生成!A352</f>
        <v>348</v>
      </c>
      <c r="B352" s="4">
        <f>TeamHero生成!B352</f>
        <v>1015</v>
      </c>
      <c r="C352" s="4">
        <f>TeamHero生成!C352</f>
        <v>45</v>
      </c>
      <c r="D352" s="5">
        <f>TeamHero生成!D352</f>
        <v>2630805</v>
      </c>
      <c r="E352" s="5">
        <f>TeamHero生成!E352</f>
        <v>36316</v>
      </c>
      <c r="F352" s="5">
        <f>TeamHero生成!F352</f>
        <v>39659</v>
      </c>
      <c r="G352" s="4" t="str">
        <f>TeamHero生成!AG352</f>
        <v>有效</v>
      </c>
      <c r="H352" s="4">
        <f>TeamHero生成!G352</f>
        <v>2254416</v>
      </c>
      <c r="I352" s="4">
        <f>TeamHero生成!H352</f>
        <v>28132</v>
      </c>
      <c r="J352" s="4">
        <f>TeamHero生成!I352</f>
        <v>26733</v>
      </c>
    </row>
    <row r="353" ht="14.25" customHeight="1" spans="1:10">
      <c r="A353" s="4">
        <f>TeamHero生成!A353</f>
        <v>349</v>
      </c>
      <c r="B353" s="4">
        <f>TeamHero生成!B353</f>
        <v>1026</v>
      </c>
      <c r="C353" s="4">
        <f>TeamHero生成!C353</f>
        <v>45</v>
      </c>
      <c r="D353" s="5">
        <f>TeamHero生成!D353</f>
        <v>2104644</v>
      </c>
      <c r="E353" s="5">
        <f>TeamHero生成!E353</f>
        <v>43579</v>
      </c>
      <c r="F353" s="5">
        <f>TeamHero生成!F353</f>
        <v>31727</v>
      </c>
      <c r="G353" s="4" t="str">
        <f>TeamHero生成!AG353</f>
        <v>有效</v>
      </c>
      <c r="H353" s="4">
        <f>TeamHero生成!G353</f>
        <v>1803532</v>
      </c>
      <c r="I353" s="4">
        <f>TeamHero生成!H353</f>
        <v>33758</v>
      </c>
      <c r="J353" s="4">
        <f>TeamHero生成!I353</f>
        <v>21386</v>
      </c>
    </row>
    <row r="354" ht="14.25" customHeight="1" spans="1:10">
      <c r="A354" s="4">
        <f>TeamHero生成!A354</f>
        <v>350</v>
      </c>
      <c r="B354" s="4">
        <f>TeamHero生成!B354</f>
        <v>1007</v>
      </c>
      <c r="C354" s="4">
        <f>TeamHero生成!C354</f>
        <v>45</v>
      </c>
      <c r="D354" s="5">
        <f>TeamHero生成!D354</f>
        <v>2630805</v>
      </c>
      <c r="E354" s="5">
        <f>TeamHero生成!E354</f>
        <v>36316</v>
      </c>
      <c r="F354" s="5">
        <f>TeamHero生成!F354</f>
        <v>39659</v>
      </c>
      <c r="G354" s="4" t="str">
        <f>TeamHero生成!AG354</f>
        <v>有效</v>
      </c>
      <c r="H354" s="4">
        <f>TeamHero生成!G354</f>
        <v>2254416</v>
      </c>
      <c r="I354" s="4">
        <f>TeamHero生成!H354</f>
        <v>28132</v>
      </c>
      <c r="J354" s="4">
        <f>TeamHero生成!I354</f>
        <v>26733</v>
      </c>
    </row>
    <row r="355" ht="14.25" customHeight="1" spans="1:10">
      <c r="A355" s="4">
        <f>TeamHero生成!A355</f>
        <v>351</v>
      </c>
      <c r="B355" s="4">
        <f>TeamHero生成!B355</f>
        <v>1003</v>
      </c>
      <c r="C355" s="4">
        <f>TeamHero生成!C355</f>
        <v>45</v>
      </c>
      <c r="D355" s="5">
        <f>TeamHero生成!D355</f>
        <v>3156966</v>
      </c>
      <c r="E355" s="5">
        <f>TeamHero生成!E355</f>
        <v>36316</v>
      </c>
      <c r="F355" s="5">
        <f>TeamHero生成!F355</f>
        <v>47591</v>
      </c>
      <c r="G355" s="4" t="str">
        <f>TeamHero生成!AG355</f>
        <v>有效</v>
      </c>
      <c r="H355" s="4">
        <f>TeamHero生成!G355</f>
        <v>2804270</v>
      </c>
      <c r="I355" s="4">
        <f>TeamHero生成!H355</f>
        <v>28889</v>
      </c>
      <c r="J355" s="4">
        <f>TeamHero生成!I355</f>
        <v>32676</v>
      </c>
    </row>
    <row r="356" ht="14.25" customHeight="1" spans="1:10">
      <c r="A356" s="4">
        <f>TeamHero生成!A356</f>
        <v>352</v>
      </c>
      <c r="B356" s="4">
        <f>TeamHero生成!B356</f>
        <v>1006</v>
      </c>
      <c r="C356" s="4">
        <f>TeamHero生成!C356</f>
        <v>45</v>
      </c>
      <c r="D356" s="5">
        <f>TeamHero生成!D356</f>
        <v>2104644</v>
      </c>
      <c r="E356" s="5">
        <f>TeamHero生成!E356</f>
        <v>43579</v>
      </c>
      <c r="F356" s="5">
        <f>TeamHero生成!F356</f>
        <v>31727</v>
      </c>
      <c r="G356" s="4" t="str">
        <f>TeamHero生成!AG356</f>
        <v>有效</v>
      </c>
      <c r="H356" s="4">
        <f>TeamHero生成!G356</f>
        <v>1869513</v>
      </c>
      <c r="I356" s="4">
        <f>TeamHero生成!H356</f>
        <v>34666</v>
      </c>
      <c r="J356" s="4">
        <f>TeamHero生成!I356</f>
        <v>21784</v>
      </c>
    </row>
    <row r="357" ht="14.25" customHeight="1" spans="1:10">
      <c r="A357" s="4">
        <f>TeamHero生成!A357</f>
        <v>353</v>
      </c>
      <c r="B357" s="4">
        <f>TeamHero生成!B357</f>
        <v>1007</v>
      </c>
      <c r="C357" s="4">
        <f>TeamHero生成!C357</f>
        <v>45</v>
      </c>
      <c r="D357" s="5">
        <f>TeamHero生成!D357</f>
        <v>2630805</v>
      </c>
      <c r="E357" s="5">
        <f>TeamHero生成!E357</f>
        <v>36316</v>
      </c>
      <c r="F357" s="5">
        <f>TeamHero生成!F357</f>
        <v>39659</v>
      </c>
      <c r="G357" s="4" t="str">
        <f>TeamHero生成!AG357</f>
        <v>有效</v>
      </c>
      <c r="H357" s="4">
        <f>TeamHero生成!G357</f>
        <v>2336892</v>
      </c>
      <c r="I357" s="4">
        <f>TeamHero生成!H357</f>
        <v>28889</v>
      </c>
      <c r="J357" s="4">
        <f>TeamHero生成!I357</f>
        <v>27230</v>
      </c>
    </row>
    <row r="358" ht="14.25" customHeight="1" spans="1:10">
      <c r="A358" s="4">
        <f>TeamHero生成!A358</f>
        <v>354</v>
      </c>
      <c r="B358" s="4">
        <f>TeamHero生成!B358</f>
        <v>1006</v>
      </c>
      <c r="C358" s="4">
        <f>TeamHero生成!C358</f>
        <v>45</v>
      </c>
      <c r="D358" s="5">
        <f>TeamHero生成!D358</f>
        <v>2104644</v>
      </c>
      <c r="E358" s="5">
        <f>TeamHero生成!E358</f>
        <v>43579</v>
      </c>
      <c r="F358" s="5">
        <f>TeamHero生成!F358</f>
        <v>31727</v>
      </c>
      <c r="G358" s="4" t="str">
        <f>TeamHero生成!AG358</f>
        <v>有效</v>
      </c>
      <c r="H358" s="4">
        <f>TeamHero生成!G358</f>
        <v>1869513</v>
      </c>
      <c r="I358" s="4">
        <f>TeamHero生成!H358</f>
        <v>34666</v>
      </c>
      <c r="J358" s="4">
        <f>TeamHero生成!I358</f>
        <v>21784</v>
      </c>
    </row>
    <row r="359" ht="14.25" customHeight="1" spans="1:10">
      <c r="A359" s="4">
        <f>TeamHero生成!A359</f>
        <v>355</v>
      </c>
      <c r="B359" s="4">
        <f>TeamHero生成!B359</f>
        <v>1001</v>
      </c>
      <c r="C359" s="4">
        <f>TeamHero生成!C359</f>
        <v>45</v>
      </c>
      <c r="D359" s="5">
        <f>TeamHero生成!D359</f>
        <v>2104644</v>
      </c>
      <c r="E359" s="5">
        <f>TeamHero生成!E359</f>
        <v>43579</v>
      </c>
      <c r="F359" s="5">
        <f>TeamHero生成!F359</f>
        <v>31727</v>
      </c>
      <c r="G359" s="4" t="str">
        <f>TeamHero生成!AG359</f>
        <v>有效</v>
      </c>
      <c r="H359" s="4">
        <f>TeamHero生成!G359</f>
        <v>1869513</v>
      </c>
      <c r="I359" s="4">
        <f>TeamHero生成!H359</f>
        <v>34666</v>
      </c>
      <c r="J359" s="4">
        <f>TeamHero生成!I359</f>
        <v>21784</v>
      </c>
    </row>
    <row r="360" ht="14.25" customHeight="1" spans="1:10">
      <c r="A360" s="4">
        <f>TeamHero生成!A360</f>
        <v>356</v>
      </c>
      <c r="B360" s="4">
        <f>TeamHero生成!B360</f>
        <v>1004</v>
      </c>
      <c r="C360" s="4">
        <f>TeamHero生成!C360</f>
        <v>46</v>
      </c>
      <c r="D360" s="5">
        <f>TeamHero生成!D360</f>
        <v>3183156</v>
      </c>
      <c r="E360" s="5">
        <f>TeamHero生成!E360</f>
        <v>36550</v>
      </c>
      <c r="F360" s="5">
        <f>TeamHero生成!F360</f>
        <v>47789</v>
      </c>
      <c r="G360" s="4" t="str">
        <f>TeamHero生成!AG360</f>
        <v>有效</v>
      </c>
      <c r="H360" s="4">
        <f>TeamHero生成!G360</f>
        <v>2905884</v>
      </c>
      <c r="I360" s="4">
        <f>TeamHero生成!H360</f>
        <v>29665</v>
      </c>
      <c r="J360" s="4">
        <f>TeamHero生成!I360</f>
        <v>33276</v>
      </c>
    </row>
    <row r="361" ht="14.25" customHeight="1" spans="1:10">
      <c r="A361" s="4">
        <f>TeamHero生成!A361</f>
        <v>357</v>
      </c>
      <c r="B361" s="4">
        <f>TeamHero生成!B361</f>
        <v>1013</v>
      </c>
      <c r="C361" s="4">
        <f>TeamHero生成!C361</f>
        <v>46</v>
      </c>
      <c r="D361" s="5">
        <f>TeamHero生成!D361</f>
        <v>2122104</v>
      </c>
      <c r="E361" s="5">
        <f>TeamHero生成!E361</f>
        <v>43860</v>
      </c>
      <c r="F361" s="5">
        <f>TeamHero生成!F361</f>
        <v>31859</v>
      </c>
      <c r="G361" s="4" t="str">
        <f>TeamHero生成!AG361</f>
        <v>有效</v>
      </c>
      <c r="H361" s="4">
        <f>TeamHero生成!G361</f>
        <v>1937256</v>
      </c>
      <c r="I361" s="4">
        <f>TeamHero生成!H361</f>
        <v>35598</v>
      </c>
      <c r="J361" s="4">
        <f>TeamHero生成!I361</f>
        <v>22184</v>
      </c>
    </row>
    <row r="362" ht="14.25" customHeight="1" spans="1:10">
      <c r="A362" s="4">
        <f>TeamHero生成!A362</f>
        <v>358</v>
      </c>
      <c r="B362" s="4">
        <f>TeamHero生成!B362</f>
        <v>1017</v>
      </c>
      <c r="C362" s="4">
        <f>TeamHero生成!C362</f>
        <v>46</v>
      </c>
      <c r="D362" s="5">
        <f>TeamHero生成!D362</f>
        <v>2122104</v>
      </c>
      <c r="E362" s="5">
        <f>TeamHero生成!E362</f>
        <v>43860</v>
      </c>
      <c r="F362" s="5">
        <f>TeamHero生成!F362</f>
        <v>31859</v>
      </c>
      <c r="G362" s="4" t="str">
        <f>TeamHero生成!AG362</f>
        <v>有效</v>
      </c>
      <c r="H362" s="4">
        <f>TeamHero生成!G362</f>
        <v>1937256</v>
      </c>
      <c r="I362" s="4">
        <f>TeamHero生成!H362</f>
        <v>35598</v>
      </c>
      <c r="J362" s="4">
        <f>TeamHero生成!I362</f>
        <v>22184</v>
      </c>
    </row>
    <row r="363" ht="14.25" customHeight="1" spans="1:10">
      <c r="A363" s="4">
        <f>TeamHero生成!A363</f>
        <v>359</v>
      </c>
      <c r="B363" s="4">
        <f>TeamHero生成!B363</f>
        <v>1005</v>
      </c>
      <c r="C363" s="4">
        <f>TeamHero生成!C363</f>
        <v>46</v>
      </c>
      <c r="D363" s="5">
        <f>TeamHero生成!D363</f>
        <v>2122104</v>
      </c>
      <c r="E363" s="5">
        <f>TeamHero生成!E363</f>
        <v>43860</v>
      </c>
      <c r="F363" s="5">
        <f>TeamHero生成!F363</f>
        <v>31859</v>
      </c>
      <c r="G363" s="4" t="str">
        <f>TeamHero生成!AG363</f>
        <v>有效</v>
      </c>
      <c r="H363" s="4">
        <f>TeamHero生成!G363</f>
        <v>1937256</v>
      </c>
      <c r="I363" s="4">
        <f>TeamHero生成!H363</f>
        <v>35598</v>
      </c>
      <c r="J363" s="4">
        <f>TeamHero生成!I363</f>
        <v>22184</v>
      </c>
    </row>
    <row r="364" ht="14.25" customHeight="1" spans="1:10">
      <c r="A364" s="4">
        <f>TeamHero生成!A364</f>
        <v>360</v>
      </c>
      <c r="B364" s="4">
        <f>TeamHero生成!B364</f>
        <v>1007</v>
      </c>
      <c r="C364" s="4">
        <f>TeamHero生成!C364</f>
        <v>46</v>
      </c>
      <c r="D364" s="5">
        <f>TeamHero生成!D364</f>
        <v>2652630</v>
      </c>
      <c r="E364" s="5">
        <f>TeamHero生成!E364</f>
        <v>36550</v>
      </c>
      <c r="F364" s="5">
        <f>TeamHero生成!F364</f>
        <v>39824</v>
      </c>
      <c r="G364" s="4" t="str">
        <f>TeamHero生成!AG364</f>
        <v>有效</v>
      </c>
      <c r="H364" s="4">
        <f>TeamHero生成!G364</f>
        <v>2421570</v>
      </c>
      <c r="I364" s="4">
        <f>TeamHero生成!H364</f>
        <v>29665</v>
      </c>
      <c r="J364" s="4">
        <f>TeamHero生成!I364</f>
        <v>27730</v>
      </c>
    </row>
    <row r="365" ht="14.25" customHeight="1" spans="1:10">
      <c r="A365" s="4">
        <f>TeamHero生成!A365</f>
        <v>361</v>
      </c>
      <c r="B365" s="4">
        <f>TeamHero生成!B365</f>
        <v>1004</v>
      </c>
      <c r="C365" s="4">
        <f>TeamHero生成!C365</f>
        <v>46</v>
      </c>
      <c r="D365" s="5">
        <f>TeamHero生成!D365</f>
        <v>3236010</v>
      </c>
      <c r="E365" s="5">
        <f>TeamHero生成!E365</f>
        <v>37024</v>
      </c>
      <c r="F365" s="5">
        <f>TeamHero生成!F365</f>
        <v>48188</v>
      </c>
      <c r="G365" s="4" t="str">
        <f>TeamHero生成!AG365</f>
        <v>有效</v>
      </c>
      <c r="H365" s="4">
        <f>TeamHero生成!G365</f>
        <v>3010183</v>
      </c>
      <c r="I365" s="4">
        <f>TeamHero生成!H365</f>
        <v>30458</v>
      </c>
      <c r="J365" s="4">
        <f>TeamHero生成!I365</f>
        <v>33879</v>
      </c>
    </row>
    <row r="366" ht="14.25" customHeight="1" spans="1:10">
      <c r="A366" s="4">
        <f>TeamHero生成!A366</f>
        <v>362</v>
      </c>
      <c r="B366" s="4">
        <f>TeamHero生成!B366</f>
        <v>1017</v>
      </c>
      <c r="C366" s="4">
        <f>TeamHero生成!C366</f>
        <v>46</v>
      </c>
      <c r="D366" s="5">
        <f>TeamHero生成!D366</f>
        <v>2157340</v>
      </c>
      <c r="E366" s="5">
        <f>TeamHero生成!E366</f>
        <v>44428</v>
      </c>
      <c r="F366" s="5">
        <f>TeamHero生成!F366</f>
        <v>32125</v>
      </c>
      <c r="G366" s="4" t="str">
        <f>TeamHero生成!AG366</f>
        <v>有效</v>
      </c>
      <c r="H366" s="4">
        <f>TeamHero生成!G366</f>
        <v>2006788</v>
      </c>
      <c r="I366" s="4">
        <f>TeamHero生成!H366</f>
        <v>36549</v>
      </c>
      <c r="J366" s="4">
        <f>TeamHero生成!I366</f>
        <v>22586</v>
      </c>
    </row>
    <row r="367" ht="14.25" customHeight="1" spans="1:10">
      <c r="A367" s="4">
        <f>TeamHero生成!A367</f>
        <v>363</v>
      </c>
      <c r="B367" s="4">
        <f>TeamHero生成!B367</f>
        <v>1006</v>
      </c>
      <c r="C367" s="4">
        <f>TeamHero生成!C367</f>
        <v>46</v>
      </c>
      <c r="D367" s="5">
        <f>TeamHero生成!D367</f>
        <v>2157340</v>
      </c>
      <c r="E367" s="5">
        <f>TeamHero生成!E367</f>
        <v>44428</v>
      </c>
      <c r="F367" s="5">
        <f>TeamHero生成!F367</f>
        <v>32125</v>
      </c>
      <c r="G367" s="4" t="str">
        <f>TeamHero生成!AG367</f>
        <v>有效</v>
      </c>
      <c r="H367" s="4">
        <f>TeamHero生成!G367</f>
        <v>2006788</v>
      </c>
      <c r="I367" s="4">
        <f>TeamHero生成!H367</f>
        <v>36549</v>
      </c>
      <c r="J367" s="4">
        <f>TeamHero生成!I367</f>
        <v>22586</v>
      </c>
    </row>
    <row r="368" ht="14.25" customHeight="1" spans="1:10">
      <c r="A368" s="4">
        <f>TeamHero生成!A368</f>
        <v>364</v>
      </c>
      <c r="B368" s="4">
        <f>TeamHero生成!B368</f>
        <v>1014</v>
      </c>
      <c r="C368" s="4">
        <f>TeamHero生成!C368</f>
        <v>46</v>
      </c>
      <c r="D368" s="5">
        <f>TeamHero生成!D368</f>
        <v>2157340</v>
      </c>
      <c r="E368" s="5">
        <f>TeamHero生成!E368</f>
        <v>44428</v>
      </c>
      <c r="F368" s="5">
        <f>TeamHero生成!F368</f>
        <v>32125</v>
      </c>
      <c r="G368" s="4" t="str">
        <f>TeamHero生成!AG368</f>
        <v>有效</v>
      </c>
      <c r="H368" s="4">
        <f>TeamHero生成!G368</f>
        <v>2006788</v>
      </c>
      <c r="I368" s="4">
        <f>TeamHero生成!H368</f>
        <v>36549</v>
      </c>
      <c r="J368" s="4">
        <f>TeamHero生成!I368</f>
        <v>22586</v>
      </c>
    </row>
    <row r="369" ht="14.25" customHeight="1" spans="1:10">
      <c r="A369" s="4">
        <f>TeamHero生成!A369</f>
        <v>365</v>
      </c>
      <c r="B369" s="4">
        <f>TeamHero生成!B369</f>
        <v>1011</v>
      </c>
      <c r="C369" s="4">
        <f>TeamHero生成!C369</f>
        <v>46</v>
      </c>
      <c r="D369" s="5">
        <f>TeamHero生成!D369</f>
        <v>2696675</v>
      </c>
      <c r="E369" s="5">
        <f>TeamHero生成!E369</f>
        <v>37024</v>
      </c>
      <c r="F369" s="5">
        <f>TeamHero生成!F369</f>
        <v>40156</v>
      </c>
      <c r="G369" s="4" t="str">
        <f>TeamHero生成!AG369</f>
        <v>有效</v>
      </c>
      <c r="H369" s="4">
        <f>TeamHero生成!G369</f>
        <v>2508486</v>
      </c>
      <c r="I369" s="4">
        <f>TeamHero生成!H369</f>
        <v>30458</v>
      </c>
      <c r="J369" s="4">
        <f>TeamHero生成!I369</f>
        <v>28233</v>
      </c>
    </row>
    <row r="370" ht="14.25" customHeight="1" spans="1:10">
      <c r="A370" s="4">
        <f>TeamHero生成!A370</f>
        <v>366</v>
      </c>
      <c r="B370" s="4">
        <f>TeamHero生成!B370</f>
        <v>1003</v>
      </c>
      <c r="C370" s="4">
        <f>TeamHero生成!C370</f>
        <v>47</v>
      </c>
      <c r="D370" s="5">
        <f>TeamHero生成!D370</f>
        <v>3262686</v>
      </c>
      <c r="E370" s="5">
        <f>TeamHero生成!E370</f>
        <v>37264</v>
      </c>
      <c r="F370" s="5">
        <f>TeamHero生成!F370</f>
        <v>48387</v>
      </c>
      <c r="G370" s="4" t="str">
        <f>TeamHero生成!AG370</f>
        <v>有效</v>
      </c>
      <c r="H370" s="4">
        <f>TeamHero生成!G370</f>
        <v>3117218</v>
      </c>
      <c r="I370" s="4">
        <f>TeamHero生成!H370</f>
        <v>31270</v>
      </c>
      <c r="J370" s="4">
        <f>TeamHero生成!I370</f>
        <v>34488</v>
      </c>
    </row>
    <row r="371" ht="14.25" customHeight="1" spans="1:10">
      <c r="A371" s="4">
        <f>TeamHero生成!A371</f>
        <v>367</v>
      </c>
      <c r="B371" s="4">
        <f>TeamHero生成!B371</f>
        <v>1005</v>
      </c>
      <c r="C371" s="4">
        <f>TeamHero生成!C371</f>
        <v>47</v>
      </c>
      <c r="D371" s="5">
        <f>TeamHero生成!D371</f>
        <v>2175124</v>
      </c>
      <c r="E371" s="5">
        <f>TeamHero生成!E371</f>
        <v>44716</v>
      </c>
      <c r="F371" s="5">
        <f>TeamHero生成!F371</f>
        <v>32258</v>
      </c>
      <c r="G371" s="4" t="str">
        <f>TeamHero生成!AG371</f>
        <v>有效</v>
      </c>
      <c r="H371" s="4">
        <f>TeamHero生成!G371</f>
        <v>2078145</v>
      </c>
      <c r="I371" s="4">
        <f>TeamHero生成!H371</f>
        <v>37524</v>
      </c>
      <c r="J371" s="4">
        <f>TeamHero生成!I371</f>
        <v>22992</v>
      </c>
    </row>
    <row r="372" ht="14.25" customHeight="1" spans="1:10">
      <c r="A372" s="4">
        <f>TeamHero生成!A372</f>
        <v>368</v>
      </c>
      <c r="B372" s="4">
        <f>TeamHero生成!B372</f>
        <v>1014</v>
      </c>
      <c r="C372" s="4">
        <f>TeamHero生成!C372</f>
        <v>47</v>
      </c>
      <c r="D372" s="5">
        <f>TeamHero生成!D372</f>
        <v>2175124</v>
      </c>
      <c r="E372" s="5">
        <f>TeamHero生成!E372</f>
        <v>44716</v>
      </c>
      <c r="F372" s="5">
        <f>TeamHero生成!F372</f>
        <v>32258</v>
      </c>
      <c r="G372" s="4" t="str">
        <f>TeamHero生成!AG372</f>
        <v>有效</v>
      </c>
      <c r="H372" s="4">
        <f>TeamHero生成!G372</f>
        <v>2078145</v>
      </c>
      <c r="I372" s="4">
        <f>TeamHero生成!H372</f>
        <v>37524</v>
      </c>
      <c r="J372" s="4">
        <f>TeamHero生成!I372</f>
        <v>22992</v>
      </c>
    </row>
    <row r="373" ht="14.25" customHeight="1" spans="1:10">
      <c r="A373" s="4">
        <f>TeamHero生成!A373</f>
        <v>369</v>
      </c>
      <c r="B373" s="4">
        <f>TeamHero生成!B373</f>
        <v>1012</v>
      </c>
      <c r="C373" s="4">
        <f>TeamHero生成!C373</f>
        <v>47</v>
      </c>
      <c r="D373" s="5">
        <f>TeamHero生成!D373</f>
        <v>2718905</v>
      </c>
      <c r="E373" s="5">
        <f>TeamHero生成!E373</f>
        <v>37264</v>
      </c>
      <c r="F373" s="5">
        <f>TeamHero生成!F373</f>
        <v>40323</v>
      </c>
      <c r="G373" s="4" t="str">
        <f>TeamHero生成!AG373</f>
        <v>有效</v>
      </c>
      <c r="H373" s="4">
        <f>TeamHero生成!G373</f>
        <v>2597682</v>
      </c>
      <c r="I373" s="4">
        <f>TeamHero生成!H373</f>
        <v>31270</v>
      </c>
      <c r="J373" s="4">
        <f>TeamHero生成!I373</f>
        <v>28740</v>
      </c>
    </row>
    <row r="374" ht="14.25" customHeight="1" spans="1:10">
      <c r="A374" s="4">
        <f>TeamHero生成!A374</f>
        <v>370</v>
      </c>
      <c r="B374" s="4">
        <f>TeamHero生成!B374</f>
        <v>1008</v>
      </c>
      <c r="C374" s="4">
        <f>TeamHero生成!C374</f>
        <v>47</v>
      </c>
      <c r="D374" s="5">
        <f>TeamHero生成!D374</f>
        <v>2175124</v>
      </c>
      <c r="E374" s="5">
        <f>TeamHero生成!E374</f>
        <v>44716</v>
      </c>
      <c r="F374" s="5">
        <f>TeamHero生成!F374</f>
        <v>32258</v>
      </c>
      <c r="G374" s="4" t="str">
        <f>TeamHero生成!AG374</f>
        <v>有效</v>
      </c>
      <c r="H374" s="4">
        <f>TeamHero生成!G374</f>
        <v>2078145</v>
      </c>
      <c r="I374" s="4">
        <f>TeamHero生成!H374</f>
        <v>37524</v>
      </c>
      <c r="J374" s="4">
        <f>TeamHero生成!I374</f>
        <v>22992</v>
      </c>
    </row>
    <row r="375" ht="14.25" customHeight="1" spans="1:10">
      <c r="A375" s="4">
        <f>TeamHero生成!A375</f>
        <v>371</v>
      </c>
      <c r="B375" s="4">
        <f>TeamHero生成!B375</f>
        <v>1003</v>
      </c>
      <c r="C375" s="4">
        <f>TeamHero生成!C375</f>
        <v>47</v>
      </c>
      <c r="D375" s="5">
        <f>TeamHero生成!D375</f>
        <v>3289524</v>
      </c>
      <c r="E375" s="5">
        <f>TeamHero生成!E375</f>
        <v>37504</v>
      </c>
      <c r="F375" s="5">
        <f>TeamHero生成!F375</f>
        <v>48588</v>
      </c>
      <c r="G375" s="4" t="str">
        <f>TeamHero生成!AG375</f>
        <v>有效</v>
      </c>
      <c r="H375" s="4">
        <f>TeamHero生成!G375</f>
        <v>3227047</v>
      </c>
      <c r="I375" s="4">
        <f>TeamHero生成!H375</f>
        <v>32100</v>
      </c>
      <c r="J375" s="4">
        <f>TeamHero生成!I375</f>
        <v>35101</v>
      </c>
    </row>
    <row r="376" ht="14.25" customHeight="1" spans="1:10">
      <c r="A376" s="4">
        <f>TeamHero生成!A376</f>
        <v>372</v>
      </c>
      <c r="B376" s="4">
        <f>TeamHero生成!B376</f>
        <v>1017</v>
      </c>
      <c r="C376" s="4">
        <f>TeamHero生成!C376</f>
        <v>47</v>
      </c>
      <c r="D376" s="5">
        <f>TeamHero生成!D376</f>
        <v>2193016</v>
      </c>
      <c r="E376" s="5">
        <f>TeamHero生成!E376</f>
        <v>45004</v>
      </c>
      <c r="F376" s="5">
        <f>TeamHero生成!F376</f>
        <v>32392</v>
      </c>
      <c r="G376" s="4" t="str">
        <f>TeamHero生成!AG376</f>
        <v>有效</v>
      </c>
      <c r="H376" s="4">
        <f>TeamHero生成!G376</f>
        <v>2151364</v>
      </c>
      <c r="I376" s="4">
        <f>TeamHero生成!H376</f>
        <v>38520</v>
      </c>
      <c r="J376" s="4">
        <f>TeamHero生成!I376</f>
        <v>23400</v>
      </c>
    </row>
    <row r="377" ht="14.25" customHeight="1" spans="1:10">
      <c r="A377" s="4">
        <f>TeamHero生成!A377</f>
        <v>373</v>
      </c>
      <c r="B377" s="4">
        <f>TeamHero生成!B377</f>
        <v>1017</v>
      </c>
      <c r="C377" s="4">
        <f>TeamHero生成!C377</f>
        <v>47</v>
      </c>
      <c r="D377" s="5">
        <f>TeamHero生成!D377</f>
        <v>2193016</v>
      </c>
      <c r="E377" s="5">
        <f>TeamHero生成!E377</f>
        <v>45004</v>
      </c>
      <c r="F377" s="5">
        <f>TeamHero生成!F377</f>
        <v>32392</v>
      </c>
      <c r="G377" s="4" t="str">
        <f>TeamHero生成!AG377</f>
        <v>有效</v>
      </c>
      <c r="H377" s="4">
        <f>TeamHero生成!G377</f>
        <v>2151364</v>
      </c>
      <c r="I377" s="4">
        <f>TeamHero生成!H377</f>
        <v>38520</v>
      </c>
      <c r="J377" s="4">
        <f>TeamHero生成!I377</f>
        <v>23400</v>
      </c>
    </row>
    <row r="378" ht="14.25" customHeight="1" spans="1:10">
      <c r="A378" s="4">
        <f>TeamHero生成!A378</f>
        <v>374</v>
      </c>
      <c r="B378" s="4">
        <f>TeamHero生成!B378</f>
        <v>1007</v>
      </c>
      <c r="C378" s="4">
        <f>TeamHero生成!C378</f>
        <v>47</v>
      </c>
      <c r="D378" s="5">
        <f>TeamHero生成!D378</f>
        <v>2741270</v>
      </c>
      <c r="E378" s="5">
        <f>TeamHero生成!E378</f>
        <v>37504</v>
      </c>
      <c r="F378" s="5">
        <f>TeamHero生成!F378</f>
        <v>40490</v>
      </c>
      <c r="G378" s="4" t="str">
        <f>TeamHero生成!AG378</f>
        <v>有效</v>
      </c>
      <c r="H378" s="4">
        <f>TeamHero生成!G378</f>
        <v>2689206</v>
      </c>
      <c r="I378" s="4">
        <f>TeamHero生成!H378</f>
        <v>32100</v>
      </c>
      <c r="J378" s="4">
        <f>TeamHero生成!I378</f>
        <v>29251</v>
      </c>
    </row>
    <row r="379" ht="14.25" customHeight="1" spans="1:10">
      <c r="A379" s="4">
        <f>TeamHero生成!A379</f>
        <v>375</v>
      </c>
      <c r="B379" s="4">
        <f>TeamHero生成!B379</f>
        <v>1015</v>
      </c>
      <c r="C379" s="4">
        <f>TeamHero生成!C379</f>
        <v>47</v>
      </c>
      <c r="D379" s="5">
        <f>TeamHero生成!D379</f>
        <v>2741270</v>
      </c>
      <c r="E379" s="5">
        <f>TeamHero生成!E379</f>
        <v>37504</v>
      </c>
      <c r="F379" s="5">
        <f>TeamHero生成!F379</f>
        <v>40490</v>
      </c>
      <c r="G379" s="4" t="str">
        <f>TeamHero生成!AG379</f>
        <v>有效</v>
      </c>
      <c r="H379" s="4">
        <f>TeamHero生成!G379</f>
        <v>2689206</v>
      </c>
      <c r="I379" s="4">
        <f>TeamHero生成!H379</f>
        <v>32100</v>
      </c>
      <c r="J379" s="4">
        <f>TeamHero生成!I379</f>
        <v>29251</v>
      </c>
    </row>
    <row r="380" ht="14.25" customHeight="1" spans="1:10">
      <c r="A380" s="4">
        <f>TeamHero生成!A380</f>
        <v>376</v>
      </c>
      <c r="B380" s="4">
        <f>TeamHero生成!B380</f>
        <v>1003</v>
      </c>
      <c r="C380" s="4">
        <f>TeamHero生成!C380</f>
        <v>48</v>
      </c>
      <c r="D380" s="5">
        <f>TeamHero生成!D380</f>
        <v>3316524</v>
      </c>
      <c r="E380" s="5">
        <f>TeamHero生成!E380</f>
        <v>37746</v>
      </c>
      <c r="F380" s="5">
        <f>TeamHero生成!F380</f>
        <v>48789</v>
      </c>
      <c r="G380" s="4" t="str">
        <f>TeamHero生成!AG380</f>
        <v>有效</v>
      </c>
      <c r="H380" s="4">
        <f>TeamHero生成!G380</f>
        <v>3368325</v>
      </c>
      <c r="I380" s="4">
        <f>TeamHero生成!H380</f>
        <v>33164</v>
      </c>
      <c r="J380" s="4">
        <f>TeamHero生成!I380</f>
        <v>35874</v>
      </c>
    </row>
    <row r="381" ht="14.25" customHeight="1" spans="1:10">
      <c r="A381" s="4">
        <f>TeamHero生成!A381</f>
        <v>377</v>
      </c>
      <c r="B381" s="4">
        <f>TeamHero生成!B381</f>
        <v>1007</v>
      </c>
      <c r="C381" s="4">
        <f>TeamHero生成!C381</f>
        <v>48</v>
      </c>
      <c r="D381" s="5">
        <f>TeamHero生成!D381</f>
        <v>2763770</v>
      </c>
      <c r="E381" s="5">
        <f>TeamHero生成!E381</f>
        <v>37746</v>
      </c>
      <c r="F381" s="5">
        <f>TeamHero生成!F381</f>
        <v>40658</v>
      </c>
      <c r="G381" s="4" t="str">
        <f>TeamHero生成!AG381</f>
        <v>有效</v>
      </c>
      <c r="H381" s="4">
        <f>TeamHero生成!G381</f>
        <v>2806938</v>
      </c>
      <c r="I381" s="4">
        <f>TeamHero生成!H381</f>
        <v>33164</v>
      </c>
      <c r="J381" s="4">
        <f>TeamHero生成!I381</f>
        <v>29895</v>
      </c>
    </row>
    <row r="382" ht="14.25" customHeight="1" spans="1:10">
      <c r="A382" s="4">
        <f>TeamHero生成!A382</f>
        <v>378</v>
      </c>
      <c r="B382" s="4">
        <f>TeamHero生成!B382</f>
        <v>1006</v>
      </c>
      <c r="C382" s="4">
        <f>TeamHero生成!C382</f>
        <v>48</v>
      </c>
      <c r="D382" s="5">
        <f>TeamHero生成!D382</f>
        <v>2211016</v>
      </c>
      <c r="E382" s="5">
        <f>TeamHero生成!E382</f>
        <v>45295</v>
      </c>
      <c r="F382" s="5">
        <f>TeamHero生成!F382</f>
        <v>32526</v>
      </c>
      <c r="G382" s="4" t="str">
        <f>TeamHero生成!AG382</f>
        <v>有效</v>
      </c>
      <c r="H382" s="4">
        <f>TeamHero生成!G382</f>
        <v>2245550</v>
      </c>
      <c r="I382" s="4">
        <f>TeamHero生成!H382</f>
        <v>39796</v>
      </c>
      <c r="J382" s="4">
        <f>TeamHero生成!I382</f>
        <v>23916</v>
      </c>
    </row>
    <row r="383" ht="14.25" customHeight="1" spans="1:10">
      <c r="A383" s="4">
        <f>TeamHero生成!A383</f>
        <v>379</v>
      </c>
      <c r="B383" s="4">
        <f>TeamHero生成!B383</f>
        <v>1008</v>
      </c>
      <c r="C383" s="4">
        <f>TeamHero生成!C383</f>
        <v>48</v>
      </c>
      <c r="D383" s="5">
        <f>TeamHero生成!D383</f>
        <v>2211016</v>
      </c>
      <c r="E383" s="5">
        <f>TeamHero生成!E383</f>
        <v>45295</v>
      </c>
      <c r="F383" s="5">
        <f>TeamHero生成!F383</f>
        <v>32526</v>
      </c>
      <c r="G383" s="4" t="str">
        <f>TeamHero生成!AG383</f>
        <v>有效</v>
      </c>
      <c r="H383" s="4">
        <f>TeamHero生成!G383</f>
        <v>2245550</v>
      </c>
      <c r="I383" s="4">
        <f>TeamHero生成!H383</f>
        <v>39796</v>
      </c>
      <c r="J383" s="4">
        <f>TeamHero生成!I383</f>
        <v>23916</v>
      </c>
    </row>
    <row r="384" ht="14.25" customHeight="1" spans="1:10">
      <c r="A384" s="4">
        <f>TeamHero生成!A384</f>
        <v>380</v>
      </c>
      <c r="B384" s="4">
        <f>TeamHero生成!B384</f>
        <v>1017</v>
      </c>
      <c r="C384" s="4">
        <f>TeamHero生成!C384</f>
        <v>48</v>
      </c>
      <c r="D384" s="5">
        <f>TeamHero生成!D384</f>
        <v>2211016</v>
      </c>
      <c r="E384" s="5">
        <f>TeamHero生成!E384</f>
        <v>45295</v>
      </c>
      <c r="F384" s="5">
        <f>TeamHero生成!F384</f>
        <v>32526</v>
      </c>
      <c r="G384" s="4" t="str">
        <f>TeamHero生成!AG384</f>
        <v>有效</v>
      </c>
      <c r="H384" s="4">
        <f>TeamHero生成!G384</f>
        <v>2245550</v>
      </c>
      <c r="I384" s="4">
        <f>TeamHero生成!H384</f>
        <v>39796</v>
      </c>
      <c r="J384" s="4">
        <f>TeamHero生成!I384</f>
        <v>23916</v>
      </c>
    </row>
    <row r="385" ht="14.25" customHeight="1" spans="1:10">
      <c r="A385" s="4">
        <f>TeamHero生成!A385</f>
        <v>381</v>
      </c>
      <c r="B385" s="4">
        <f>TeamHero生成!B385</f>
        <v>1004</v>
      </c>
      <c r="C385" s="4">
        <f>TeamHero生成!C385</f>
        <v>48</v>
      </c>
      <c r="D385" s="5">
        <f>TeamHero生成!D385</f>
        <v>3371022</v>
      </c>
      <c r="E385" s="5">
        <f>TeamHero生成!E385</f>
        <v>38233</v>
      </c>
      <c r="F385" s="5">
        <f>TeamHero生成!F385</f>
        <v>49191</v>
      </c>
      <c r="G385" s="4" t="str">
        <f>TeamHero生成!AG385</f>
        <v>有效</v>
      </c>
      <c r="H385" s="4">
        <f>TeamHero生成!G385</f>
        <v>3484605</v>
      </c>
      <c r="I385" s="4">
        <f>TeamHero生成!H385</f>
        <v>34039</v>
      </c>
      <c r="J385" s="4">
        <f>TeamHero生成!I385</f>
        <v>36495</v>
      </c>
    </row>
    <row r="386" ht="14.25" customHeight="1" spans="1:10">
      <c r="A386" s="4">
        <f>TeamHero生成!A386</f>
        <v>382</v>
      </c>
      <c r="B386" s="4">
        <f>TeamHero生成!B386</f>
        <v>1012</v>
      </c>
      <c r="C386" s="4">
        <f>TeamHero生成!C386</f>
        <v>48</v>
      </c>
      <c r="D386" s="5">
        <f>TeamHero生成!D386</f>
        <v>2809185</v>
      </c>
      <c r="E386" s="5">
        <f>TeamHero生成!E386</f>
        <v>38233</v>
      </c>
      <c r="F386" s="5">
        <f>TeamHero生成!F386</f>
        <v>40993</v>
      </c>
      <c r="G386" s="4" t="str">
        <f>TeamHero生成!AG386</f>
        <v>有效</v>
      </c>
      <c r="H386" s="4">
        <f>TeamHero生成!G386</f>
        <v>2903838</v>
      </c>
      <c r="I386" s="4">
        <f>TeamHero生成!H386</f>
        <v>34039</v>
      </c>
      <c r="J386" s="4">
        <f>TeamHero生成!I386</f>
        <v>30413</v>
      </c>
    </row>
    <row r="387" ht="14.25" customHeight="1" spans="1:10">
      <c r="A387" s="4">
        <f>TeamHero生成!A387</f>
        <v>383</v>
      </c>
      <c r="B387" s="4">
        <f>TeamHero生成!B387</f>
        <v>1014</v>
      </c>
      <c r="C387" s="4">
        <f>TeamHero生成!C387</f>
        <v>48</v>
      </c>
      <c r="D387" s="5">
        <f>TeamHero生成!D387</f>
        <v>2247348</v>
      </c>
      <c r="E387" s="5">
        <f>TeamHero生成!E387</f>
        <v>45880</v>
      </c>
      <c r="F387" s="5">
        <f>TeamHero生成!F387</f>
        <v>32794</v>
      </c>
      <c r="G387" s="4" t="str">
        <f>TeamHero生成!AG387</f>
        <v>有效</v>
      </c>
      <c r="H387" s="4">
        <f>TeamHero生成!G387</f>
        <v>2323070</v>
      </c>
      <c r="I387" s="4">
        <f>TeamHero生成!H387</f>
        <v>40846</v>
      </c>
      <c r="J387" s="4">
        <f>TeamHero生成!I387</f>
        <v>24330</v>
      </c>
    </row>
    <row r="388" ht="14.25" customHeight="1" spans="1:10">
      <c r="A388" s="4">
        <f>TeamHero生成!A388</f>
        <v>384</v>
      </c>
      <c r="B388" s="4">
        <f>TeamHero生成!B388</f>
        <v>1006</v>
      </c>
      <c r="C388" s="4">
        <f>TeamHero生成!C388</f>
        <v>48</v>
      </c>
      <c r="D388" s="5">
        <f>TeamHero生成!D388</f>
        <v>2247348</v>
      </c>
      <c r="E388" s="5">
        <f>TeamHero生成!E388</f>
        <v>45880</v>
      </c>
      <c r="F388" s="5">
        <f>TeamHero生成!F388</f>
        <v>32794</v>
      </c>
      <c r="G388" s="4" t="str">
        <f>TeamHero生成!AG388</f>
        <v>有效</v>
      </c>
      <c r="H388" s="4">
        <f>TeamHero生成!G388</f>
        <v>2323070</v>
      </c>
      <c r="I388" s="4">
        <f>TeamHero生成!H388</f>
        <v>40846</v>
      </c>
      <c r="J388" s="4">
        <f>TeamHero生成!I388</f>
        <v>24330</v>
      </c>
    </row>
    <row r="389" ht="14.25" customHeight="1" spans="1:10">
      <c r="A389" s="4">
        <f>TeamHero生成!A389</f>
        <v>385</v>
      </c>
      <c r="B389" s="4">
        <f>TeamHero生成!B389</f>
        <v>1017</v>
      </c>
      <c r="C389" s="4">
        <f>TeamHero生成!C389</f>
        <v>48</v>
      </c>
      <c r="D389" s="5">
        <f>TeamHero生成!D389</f>
        <v>2247348</v>
      </c>
      <c r="E389" s="5">
        <f>TeamHero生成!E389</f>
        <v>45880</v>
      </c>
      <c r="F389" s="5">
        <f>TeamHero生成!F389</f>
        <v>32794</v>
      </c>
      <c r="G389" s="4" t="str">
        <f>TeamHero生成!AG389</f>
        <v>有效</v>
      </c>
      <c r="H389" s="4">
        <f>TeamHero生成!G389</f>
        <v>2323070</v>
      </c>
      <c r="I389" s="4">
        <f>TeamHero生成!H389</f>
        <v>40846</v>
      </c>
      <c r="J389" s="4">
        <f>TeamHero生成!I389</f>
        <v>24330</v>
      </c>
    </row>
    <row r="390" ht="14.25" customHeight="1" spans="1:10">
      <c r="A390" s="4">
        <f>TeamHero生成!A390</f>
        <v>386</v>
      </c>
      <c r="B390" s="4">
        <f>TeamHero生成!B390</f>
        <v>1004</v>
      </c>
      <c r="C390" s="4">
        <f>TeamHero生成!C390</f>
        <v>49</v>
      </c>
      <c r="D390" s="5">
        <f>TeamHero生成!D390</f>
        <v>3398520</v>
      </c>
      <c r="E390" s="5">
        <f>TeamHero生成!E390</f>
        <v>38480</v>
      </c>
      <c r="F390" s="5">
        <f>TeamHero生成!F390</f>
        <v>49392</v>
      </c>
      <c r="G390" s="4" t="str">
        <f>TeamHero生成!AG390</f>
        <v>有效</v>
      </c>
      <c r="H390" s="4">
        <f>TeamHero生成!G390</f>
        <v>3603844</v>
      </c>
      <c r="I390" s="4">
        <f>TeamHero生成!H390</f>
        <v>34933</v>
      </c>
      <c r="J390" s="4">
        <f>TeamHero生成!I390</f>
        <v>37123</v>
      </c>
    </row>
    <row r="391" ht="14.25" customHeight="1" spans="1:10">
      <c r="A391" s="4">
        <f>TeamHero生成!A391</f>
        <v>387</v>
      </c>
      <c r="B391" s="4">
        <f>TeamHero生成!B391</f>
        <v>1013</v>
      </c>
      <c r="C391" s="4">
        <f>TeamHero生成!C391</f>
        <v>49</v>
      </c>
      <c r="D391" s="5">
        <f>TeamHero生成!D391</f>
        <v>2265680</v>
      </c>
      <c r="E391" s="5">
        <f>TeamHero生成!E391</f>
        <v>46176</v>
      </c>
      <c r="F391" s="5">
        <f>TeamHero生成!F391</f>
        <v>32928</v>
      </c>
      <c r="G391" s="4" t="str">
        <f>TeamHero生成!AG391</f>
        <v>有效</v>
      </c>
      <c r="H391" s="4">
        <f>TeamHero生成!G391</f>
        <v>2402563</v>
      </c>
      <c r="I391" s="4">
        <f>TeamHero生成!H391</f>
        <v>41919</v>
      </c>
      <c r="J391" s="4">
        <f>TeamHero生成!I391</f>
        <v>24748</v>
      </c>
    </row>
    <row r="392" ht="14.25" customHeight="1" spans="1:10">
      <c r="A392" s="4">
        <f>TeamHero生成!A392</f>
        <v>388</v>
      </c>
      <c r="B392" s="4">
        <f>TeamHero生成!B392</f>
        <v>1006</v>
      </c>
      <c r="C392" s="4">
        <f>TeamHero生成!C392</f>
        <v>49</v>
      </c>
      <c r="D392" s="5">
        <f>TeamHero生成!D392</f>
        <v>2265680</v>
      </c>
      <c r="E392" s="5">
        <f>TeamHero生成!E392</f>
        <v>46176</v>
      </c>
      <c r="F392" s="5">
        <f>TeamHero生成!F392</f>
        <v>32928</v>
      </c>
      <c r="G392" s="4" t="str">
        <f>TeamHero生成!AG392</f>
        <v>有效</v>
      </c>
      <c r="H392" s="4">
        <f>TeamHero生成!G392</f>
        <v>2402563</v>
      </c>
      <c r="I392" s="4">
        <f>TeamHero生成!H392</f>
        <v>41919</v>
      </c>
      <c r="J392" s="4">
        <f>TeamHero生成!I392</f>
        <v>24748</v>
      </c>
    </row>
    <row r="393" ht="14.25" customHeight="1" spans="1:10">
      <c r="A393" s="4">
        <f>TeamHero生成!A393</f>
        <v>389</v>
      </c>
      <c r="B393" s="4">
        <f>TeamHero生成!B393</f>
        <v>1006</v>
      </c>
      <c r="C393" s="4">
        <f>TeamHero生成!C393</f>
        <v>49</v>
      </c>
      <c r="D393" s="5">
        <f>TeamHero生成!D393</f>
        <v>2265680</v>
      </c>
      <c r="E393" s="5">
        <f>TeamHero生成!E393</f>
        <v>46176</v>
      </c>
      <c r="F393" s="5">
        <f>TeamHero生成!F393</f>
        <v>32928</v>
      </c>
      <c r="G393" s="4" t="str">
        <f>TeamHero生成!AG393</f>
        <v>有效</v>
      </c>
      <c r="H393" s="4">
        <f>TeamHero生成!G393</f>
        <v>2402563</v>
      </c>
      <c r="I393" s="4">
        <f>TeamHero生成!H393</f>
        <v>41919</v>
      </c>
      <c r="J393" s="4">
        <f>TeamHero生成!I393</f>
        <v>24748</v>
      </c>
    </row>
    <row r="394" ht="14.25" customHeight="1" spans="1:10">
      <c r="A394" s="4">
        <f>TeamHero生成!A394</f>
        <v>390</v>
      </c>
      <c r="B394" s="4">
        <f>TeamHero生成!B394</f>
        <v>1011</v>
      </c>
      <c r="C394" s="4">
        <f>TeamHero生成!C394</f>
        <v>49</v>
      </c>
      <c r="D394" s="5">
        <f>TeamHero生成!D394</f>
        <v>2832100</v>
      </c>
      <c r="E394" s="5">
        <f>TeamHero生成!E394</f>
        <v>38480</v>
      </c>
      <c r="F394" s="5">
        <f>TeamHero生成!F394</f>
        <v>41160</v>
      </c>
      <c r="G394" s="4" t="str">
        <f>TeamHero生成!AG394</f>
        <v>有效</v>
      </c>
      <c r="H394" s="4">
        <f>TeamHero生成!G394</f>
        <v>3003204</v>
      </c>
      <c r="I394" s="4">
        <f>TeamHero生成!H394</f>
        <v>34933</v>
      </c>
      <c r="J394" s="4">
        <f>TeamHero生成!I394</f>
        <v>30936</v>
      </c>
    </row>
    <row r="395" ht="14.25" customHeight="1" spans="1:10">
      <c r="A395" s="4">
        <f>TeamHero生成!A395</f>
        <v>391</v>
      </c>
      <c r="B395" s="4">
        <f>TeamHero生成!B395</f>
        <v>1003</v>
      </c>
      <c r="C395" s="4">
        <f>TeamHero生成!C395</f>
        <v>49</v>
      </c>
      <c r="D395" s="5">
        <f>TeamHero生成!D395</f>
        <v>3426186</v>
      </c>
      <c r="E395" s="5">
        <f>TeamHero生成!E395</f>
        <v>38728</v>
      </c>
      <c r="F395" s="5">
        <f>TeamHero生成!F395</f>
        <v>49595</v>
      </c>
      <c r="G395" s="4" t="str">
        <f>TeamHero生成!AG395</f>
        <v>有效</v>
      </c>
      <c r="H395" s="4">
        <f>TeamHero生成!G395</f>
        <v>3726093</v>
      </c>
      <c r="I395" s="4">
        <f>TeamHero生成!H395</f>
        <v>35849</v>
      </c>
      <c r="J395" s="4">
        <f>TeamHero生成!I395</f>
        <v>37754</v>
      </c>
    </row>
    <row r="396" ht="14.25" customHeight="1" spans="1:10">
      <c r="A396" s="4">
        <f>TeamHero生成!A396</f>
        <v>392</v>
      </c>
      <c r="B396" s="4">
        <f>TeamHero生成!B396</f>
        <v>1011</v>
      </c>
      <c r="C396" s="4">
        <f>TeamHero生成!C396</f>
        <v>49</v>
      </c>
      <c r="D396" s="5">
        <f>TeamHero生成!D396</f>
        <v>2855155</v>
      </c>
      <c r="E396" s="5">
        <f>TeamHero生成!E396</f>
        <v>38728</v>
      </c>
      <c r="F396" s="5">
        <f>TeamHero生成!F396</f>
        <v>41329</v>
      </c>
      <c r="G396" s="4" t="str">
        <f>TeamHero生成!AG396</f>
        <v>有效</v>
      </c>
      <c r="H396" s="4">
        <f>TeamHero生成!G396</f>
        <v>3105078</v>
      </c>
      <c r="I396" s="4">
        <f>TeamHero生成!H396</f>
        <v>35849</v>
      </c>
      <c r="J396" s="4">
        <f>TeamHero生成!I396</f>
        <v>31462</v>
      </c>
    </row>
    <row r="397" ht="14.25" customHeight="1" spans="1:10">
      <c r="A397" s="4">
        <f>TeamHero生成!A397</f>
        <v>393</v>
      </c>
      <c r="B397" s="4">
        <f>TeamHero生成!B397</f>
        <v>1013</v>
      </c>
      <c r="C397" s="4">
        <f>TeamHero生成!C397</f>
        <v>49</v>
      </c>
      <c r="D397" s="5">
        <f>TeamHero生成!D397</f>
        <v>2284124</v>
      </c>
      <c r="E397" s="5">
        <f>TeamHero生成!E397</f>
        <v>46473</v>
      </c>
      <c r="F397" s="5">
        <f>TeamHero生成!F397</f>
        <v>33063</v>
      </c>
      <c r="G397" s="4" t="str">
        <f>TeamHero生成!AG397</f>
        <v>有效</v>
      </c>
      <c r="H397" s="4">
        <f>TeamHero生成!G397</f>
        <v>2484062</v>
      </c>
      <c r="I397" s="4">
        <f>TeamHero生成!H397</f>
        <v>43018</v>
      </c>
      <c r="J397" s="4">
        <f>TeamHero生成!I397</f>
        <v>25169</v>
      </c>
    </row>
    <row r="398" ht="14.25" customHeight="1" spans="1:10">
      <c r="A398" s="4">
        <f>TeamHero生成!A398</f>
        <v>394</v>
      </c>
      <c r="B398" s="4">
        <f>TeamHero生成!B398</f>
        <v>1001</v>
      </c>
      <c r="C398" s="4">
        <f>TeamHero生成!C398</f>
        <v>49</v>
      </c>
      <c r="D398" s="5">
        <f>TeamHero生成!D398</f>
        <v>2284124</v>
      </c>
      <c r="E398" s="5">
        <f>TeamHero生成!E398</f>
        <v>46473</v>
      </c>
      <c r="F398" s="5">
        <f>TeamHero生成!F398</f>
        <v>33063</v>
      </c>
      <c r="G398" s="4" t="str">
        <f>TeamHero生成!AG398</f>
        <v>有效</v>
      </c>
      <c r="H398" s="4">
        <f>TeamHero生成!G398</f>
        <v>2484062</v>
      </c>
      <c r="I398" s="4">
        <f>TeamHero生成!H398</f>
        <v>43018</v>
      </c>
      <c r="J398" s="4">
        <f>TeamHero生成!I398</f>
        <v>25169</v>
      </c>
    </row>
    <row r="399" ht="14.25" customHeight="1" spans="1:10">
      <c r="A399" s="4">
        <f>TeamHero生成!A399</f>
        <v>395</v>
      </c>
      <c r="B399" s="4">
        <f>TeamHero生成!B399</f>
        <v>1001</v>
      </c>
      <c r="C399" s="4">
        <f>TeamHero生成!C399</f>
        <v>49</v>
      </c>
      <c r="D399" s="5">
        <f>TeamHero生成!D399</f>
        <v>2284124</v>
      </c>
      <c r="E399" s="5">
        <f>TeamHero生成!E399</f>
        <v>46473</v>
      </c>
      <c r="F399" s="5">
        <f>TeamHero生成!F399</f>
        <v>33063</v>
      </c>
      <c r="G399" s="4" t="str">
        <f>TeamHero生成!AG399</f>
        <v>有效</v>
      </c>
      <c r="H399" s="4">
        <f>TeamHero生成!G399</f>
        <v>2484062</v>
      </c>
      <c r="I399" s="4">
        <f>TeamHero生成!H399</f>
        <v>43018</v>
      </c>
      <c r="J399" s="4">
        <f>TeamHero生成!I399</f>
        <v>25169</v>
      </c>
    </row>
    <row r="400" ht="14.25" customHeight="1" spans="1:10">
      <c r="A400" s="4">
        <f>TeamHero生成!A400</f>
        <v>396</v>
      </c>
      <c r="B400" s="4">
        <f>TeamHero生成!B400</f>
        <v>1003</v>
      </c>
      <c r="C400" s="4">
        <f>TeamHero生成!C400</f>
        <v>50</v>
      </c>
      <c r="D400" s="5">
        <f>TeamHero生成!D400</f>
        <v>3482028</v>
      </c>
      <c r="E400" s="5">
        <f>TeamHero生成!E400</f>
        <v>39227</v>
      </c>
      <c r="F400" s="5">
        <f>TeamHero生成!F400</f>
        <v>50000</v>
      </c>
      <c r="G400" s="4" t="str">
        <f>TeamHero生成!AG400</f>
        <v>有效</v>
      </c>
      <c r="H400" s="4">
        <f>TeamHero生成!G400</f>
        <v>3851402</v>
      </c>
      <c r="I400" s="4">
        <f>TeamHero生成!H400</f>
        <v>36786</v>
      </c>
      <c r="J400" s="4">
        <f>TeamHero生成!I400</f>
        <v>38390</v>
      </c>
    </row>
    <row r="401" ht="14.25" customHeight="1" spans="1:10">
      <c r="A401" s="4">
        <f>TeamHero生成!A401</f>
        <v>397</v>
      </c>
      <c r="B401" s="4">
        <f>TeamHero生成!B401</f>
        <v>1013</v>
      </c>
      <c r="C401" s="4">
        <f>TeamHero生成!C401</f>
        <v>50</v>
      </c>
      <c r="D401" s="5">
        <f>TeamHero生成!D401</f>
        <v>2321352</v>
      </c>
      <c r="E401" s="5">
        <f>TeamHero生成!E401</f>
        <v>47072</v>
      </c>
      <c r="F401" s="5">
        <f>TeamHero生成!F401</f>
        <v>33333</v>
      </c>
      <c r="G401" s="4" t="str">
        <f>TeamHero生成!AG401</f>
        <v>有效</v>
      </c>
      <c r="H401" s="4">
        <f>TeamHero生成!G401</f>
        <v>2567601</v>
      </c>
      <c r="I401" s="4">
        <f>TeamHero生成!H401</f>
        <v>44143</v>
      </c>
      <c r="J401" s="4">
        <f>TeamHero生成!I401</f>
        <v>25593</v>
      </c>
    </row>
    <row r="402" ht="14.25" customHeight="1" spans="1:10">
      <c r="A402" s="4">
        <f>TeamHero生成!A402</f>
        <v>398</v>
      </c>
      <c r="B402" s="4">
        <f>TeamHero生成!B402</f>
        <v>1020</v>
      </c>
      <c r="C402" s="4">
        <f>TeamHero生成!C402</f>
        <v>50</v>
      </c>
      <c r="D402" s="5">
        <f>TeamHero生成!D402</f>
        <v>2901690</v>
      </c>
      <c r="E402" s="5">
        <f>TeamHero生成!E402</f>
        <v>39227</v>
      </c>
      <c r="F402" s="5">
        <f>TeamHero生成!F402</f>
        <v>41666</v>
      </c>
      <c r="G402" s="4" t="str">
        <f>TeamHero生成!AG402</f>
        <v>有效</v>
      </c>
      <c r="H402" s="4">
        <f>TeamHero生成!G402</f>
        <v>3209502</v>
      </c>
      <c r="I402" s="4">
        <f>TeamHero生成!H402</f>
        <v>36786</v>
      </c>
      <c r="J402" s="4">
        <f>TeamHero生成!I402</f>
        <v>31992</v>
      </c>
    </row>
    <row r="403" ht="14.25" customHeight="1" spans="1:10">
      <c r="A403" s="4">
        <f>TeamHero生成!A403</f>
        <v>399</v>
      </c>
      <c r="B403" s="4">
        <f>TeamHero生成!B403</f>
        <v>1012</v>
      </c>
      <c r="C403" s="4">
        <f>TeamHero生成!C403</f>
        <v>50</v>
      </c>
      <c r="D403" s="5">
        <f>TeamHero生成!D403</f>
        <v>2901690</v>
      </c>
      <c r="E403" s="5">
        <f>TeamHero生成!E403</f>
        <v>39227</v>
      </c>
      <c r="F403" s="5">
        <f>TeamHero生成!F403</f>
        <v>41666</v>
      </c>
      <c r="G403" s="4" t="str">
        <f>TeamHero生成!AG403</f>
        <v>有效</v>
      </c>
      <c r="H403" s="4">
        <f>TeamHero生成!G403</f>
        <v>3209502</v>
      </c>
      <c r="I403" s="4">
        <f>TeamHero生成!H403</f>
        <v>36786</v>
      </c>
      <c r="J403" s="4">
        <f>TeamHero生成!I403</f>
        <v>31992</v>
      </c>
    </row>
    <row r="404" ht="14.25" customHeight="1" spans="1:10">
      <c r="A404" s="4">
        <f>TeamHero生成!A404</f>
        <v>400</v>
      </c>
      <c r="B404" s="4">
        <f>TeamHero生成!B404</f>
        <v>1018</v>
      </c>
      <c r="C404" s="4">
        <f>TeamHero生成!C404</f>
        <v>50</v>
      </c>
      <c r="D404" s="5">
        <f>TeamHero生成!D404</f>
        <v>2901690</v>
      </c>
      <c r="E404" s="5">
        <f>TeamHero生成!E404</f>
        <v>39227</v>
      </c>
      <c r="F404" s="5">
        <f>TeamHero生成!F404</f>
        <v>41666</v>
      </c>
      <c r="G404" s="4" t="str">
        <f>TeamHero生成!AG404</f>
        <v>有效</v>
      </c>
      <c r="H404" s="4">
        <f>TeamHero生成!G404</f>
        <v>3209502</v>
      </c>
      <c r="I404" s="4">
        <f>TeamHero生成!H404</f>
        <v>36786</v>
      </c>
      <c r="J404" s="4">
        <f>TeamHero生成!I404</f>
        <v>31992</v>
      </c>
    </row>
    <row r="405" ht="14.25" customHeight="1" spans="1:10">
      <c r="A405" s="4">
        <f>TeamHero生成!A405</f>
        <v>401</v>
      </c>
      <c r="B405" s="4">
        <f>TeamHero生成!B405</f>
        <v>1004</v>
      </c>
      <c r="C405" s="4">
        <f>TeamHero生成!C405</f>
        <v>50</v>
      </c>
      <c r="D405" s="5">
        <f>TeamHero生成!D405</f>
        <v>3510198</v>
      </c>
      <c r="E405" s="5">
        <f>TeamHero生成!E405</f>
        <v>39479</v>
      </c>
      <c r="F405" s="5">
        <f>TeamHero生成!F405</f>
        <v>50202</v>
      </c>
      <c r="G405" s="4" t="str">
        <f>TeamHero生成!AG405</f>
        <v>有效</v>
      </c>
      <c r="H405" s="4">
        <f>TeamHero生成!G405</f>
        <v>3979828</v>
      </c>
      <c r="I405" s="4">
        <f>TeamHero生成!H405</f>
        <v>37746</v>
      </c>
      <c r="J405" s="4">
        <f>TeamHero生成!I405</f>
        <v>39031</v>
      </c>
    </row>
    <row r="406" ht="14.25" customHeight="1" spans="1:10">
      <c r="A406" s="4">
        <f>TeamHero生成!A406</f>
        <v>402</v>
      </c>
      <c r="B406" s="4">
        <f>TeamHero生成!B406</f>
        <v>1017</v>
      </c>
      <c r="C406" s="4">
        <f>TeamHero生成!C406</f>
        <v>50</v>
      </c>
      <c r="D406" s="5">
        <f>TeamHero生成!D406</f>
        <v>2340132</v>
      </c>
      <c r="E406" s="5">
        <f>TeamHero生成!E406</f>
        <v>47375</v>
      </c>
      <c r="F406" s="5">
        <f>TeamHero生成!F406</f>
        <v>33468</v>
      </c>
      <c r="G406" s="4" t="str">
        <f>TeamHero生成!AG406</f>
        <v>有效</v>
      </c>
      <c r="H406" s="4">
        <f>TeamHero生成!G406</f>
        <v>2653219</v>
      </c>
      <c r="I406" s="4">
        <f>TeamHero生成!H406</f>
        <v>45295</v>
      </c>
      <c r="J406" s="4">
        <f>TeamHero生成!I406</f>
        <v>26020</v>
      </c>
    </row>
    <row r="407" ht="14.25" customHeight="1" spans="1:10">
      <c r="A407" s="4">
        <f>TeamHero生成!A407</f>
        <v>403</v>
      </c>
      <c r="B407" s="4">
        <f>TeamHero生成!B407</f>
        <v>1013</v>
      </c>
      <c r="C407" s="4">
        <f>TeamHero生成!C407</f>
        <v>50</v>
      </c>
      <c r="D407" s="5">
        <f>TeamHero生成!D407</f>
        <v>2340132</v>
      </c>
      <c r="E407" s="5">
        <f>TeamHero生成!E407</f>
        <v>47375</v>
      </c>
      <c r="F407" s="5">
        <f>TeamHero生成!F407</f>
        <v>33468</v>
      </c>
      <c r="G407" s="4" t="str">
        <f>TeamHero生成!AG407</f>
        <v>有效</v>
      </c>
      <c r="H407" s="4">
        <f>TeamHero生成!G407</f>
        <v>2653219</v>
      </c>
      <c r="I407" s="4">
        <f>TeamHero生成!H407</f>
        <v>45295</v>
      </c>
      <c r="J407" s="4">
        <f>TeamHero生成!I407</f>
        <v>26020</v>
      </c>
    </row>
    <row r="408" ht="14.25" customHeight="1" spans="1:10">
      <c r="A408" s="4">
        <f>TeamHero生成!A408</f>
        <v>404</v>
      </c>
      <c r="B408" s="4">
        <f>TeamHero生成!B408</f>
        <v>1007</v>
      </c>
      <c r="C408" s="4">
        <f>TeamHero生成!C408</f>
        <v>50</v>
      </c>
      <c r="D408" s="5">
        <f>TeamHero生成!D408</f>
        <v>2925165</v>
      </c>
      <c r="E408" s="5">
        <f>TeamHero生成!E408</f>
        <v>39479</v>
      </c>
      <c r="F408" s="5">
        <f>TeamHero生成!F408</f>
        <v>41835</v>
      </c>
      <c r="G408" s="4" t="str">
        <f>TeamHero生成!AG408</f>
        <v>有效</v>
      </c>
      <c r="H408" s="4">
        <f>TeamHero生成!G408</f>
        <v>3316524</v>
      </c>
      <c r="I408" s="4">
        <f>TeamHero生成!H408</f>
        <v>37746</v>
      </c>
      <c r="J408" s="4">
        <f>TeamHero生成!I408</f>
        <v>32526</v>
      </c>
    </row>
    <row r="409" ht="14.25" customHeight="1" spans="1:10">
      <c r="A409" s="4">
        <f>TeamHero生成!A409</f>
        <v>405</v>
      </c>
      <c r="B409" s="4">
        <f>TeamHero生成!B409</f>
        <v>1008</v>
      </c>
      <c r="C409" s="4">
        <f>TeamHero生成!C409</f>
        <v>50</v>
      </c>
      <c r="D409" s="5">
        <f>TeamHero生成!D409</f>
        <v>2340132</v>
      </c>
      <c r="E409" s="5">
        <f>TeamHero生成!E409</f>
        <v>47375</v>
      </c>
      <c r="F409" s="5">
        <f>TeamHero生成!F409</f>
        <v>33468</v>
      </c>
      <c r="G409" s="4" t="str">
        <f>TeamHero生成!AG409</f>
        <v>有效</v>
      </c>
      <c r="H409" s="4">
        <f>TeamHero生成!G409</f>
        <v>2653219</v>
      </c>
      <c r="I409" s="4">
        <f>TeamHero生成!H409</f>
        <v>45295</v>
      </c>
      <c r="J409" s="4">
        <f>TeamHero生成!I409</f>
        <v>26020</v>
      </c>
    </row>
    <row r="410" ht="14.25" customHeight="1" spans="1:10">
      <c r="A410" s="4">
        <f>TeamHero生成!A410</f>
        <v>406</v>
      </c>
      <c r="B410" s="4">
        <f>TeamHero生成!B410</f>
        <v>1003</v>
      </c>
      <c r="C410" s="4">
        <f>TeamHero生成!C410</f>
        <v>51</v>
      </c>
      <c r="D410" s="5">
        <f>TeamHero生成!D410</f>
        <v>3538542</v>
      </c>
      <c r="E410" s="5">
        <f>TeamHero生成!E410</f>
        <v>39733</v>
      </c>
      <c r="F410" s="5">
        <f>TeamHero生成!F410</f>
        <v>50406</v>
      </c>
      <c r="G410" s="4" t="str">
        <f>TeamHero生成!AG410</f>
        <v>有效</v>
      </c>
      <c r="H410" s="4">
        <f>TeamHero生成!G410</f>
        <v>4111423</v>
      </c>
      <c r="I410" s="4">
        <f>TeamHero生成!H410</f>
        <v>38728</v>
      </c>
      <c r="J410" s="4">
        <f>TeamHero生成!I410</f>
        <v>39675</v>
      </c>
    </row>
    <row r="411" ht="14.25" customHeight="1" spans="1:10">
      <c r="A411" s="4">
        <f>TeamHero生成!A411</f>
        <v>407</v>
      </c>
      <c r="B411" s="4">
        <f>TeamHero生成!B411</f>
        <v>1011</v>
      </c>
      <c r="C411" s="4">
        <f>TeamHero生成!C411</f>
        <v>51</v>
      </c>
      <c r="D411" s="5">
        <f>TeamHero生成!D411</f>
        <v>2948785</v>
      </c>
      <c r="E411" s="5">
        <f>TeamHero生成!E411</f>
        <v>39733</v>
      </c>
      <c r="F411" s="5">
        <f>TeamHero生成!F411</f>
        <v>42005</v>
      </c>
      <c r="G411" s="4" t="str">
        <f>TeamHero生成!AG411</f>
        <v>有效</v>
      </c>
      <c r="H411" s="4">
        <f>TeamHero生成!G411</f>
        <v>3426186</v>
      </c>
      <c r="I411" s="4">
        <f>TeamHero生成!H411</f>
        <v>38728</v>
      </c>
      <c r="J411" s="4">
        <f>TeamHero生成!I411</f>
        <v>33063</v>
      </c>
    </row>
    <row r="412" ht="14.25" customHeight="1" spans="1:10">
      <c r="A412" s="4">
        <f>TeamHero生成!A412</f>
        <v>408</v>
      </c>
      <c r="B412" s="4">
        <f>TeamHero生成!B412</f>
        <v>1013</v>
      </c>
      <c r="C412" s="4">
        <f>TeamHero生成!C412</f>
        <v>51</v>
      </c>
      <c r="D412" s="5">
        <f>TeamHero生成!D412</f>
        <v>2359028</v>
      </c>
      <c r="E412" s="5">
        <f>TeamHero生成!E412</f>
        <v>47680</v>
      </c>
      <c r="F412" s="5">
        <f>TeamHero生成!F412</f>
        <v>33604</v>
      </c>
      <c r="G412" s="4" t="str">
        <f>TeamHero生成!AG412</f>
        <v>有效</v>
      </c>
      <c r="H412" s="4">
        <f>TeamHero生成!G412</f>
        <v>2740948</v>
      </c>
      <c r="I412" s="4">
        <f>TeamHero生成!H412</f>
        <v>46473</v>
      </c>
      <c r="J412" s="4">
        <f>TeamHero生成!I412</f>
        <v>26450</v>
      </c>
    </row>
    <row r="413" ht="14.25" customHeight="1" spans="1:10">
      <c r="A413" s="4">
        <f>TeamHero生成!A413</f>
        <v>409</v>
      </c>
      <c r="B413" s="4">
        <f>TeamHero生成!B413</f>
        <v>1017</v>
      </c>
      <c r="C413" s="4">
        <f>TeamHero生成!C413</f>
        <v>51</v>
      </c>
      <c r="D413" s="5">
        <f>TeamHero生成!D413</f>
        <v>2359028</v>
      </c>
      <c r="E413" s="5">
        <f>TeamHero生成!E413</f>
        <v>47680</v>
      </c>
      <c r="F413" s="5">
        <f>TeamHero生成!F413</f>
        <v>33604</v>
      </c>
      <c r="G413" s="4" t="str">
        <f>TeamHero生成!AG413</f>
        <v>有效</v>
      </c>
      <c r="H413" s="4">
        <f>TeamHero生成!G413</f>
        <v>2740948</v>
      </c>
      <c r="I413" s="4">
        <f>TeamHero生成!H413</f>
        <v>46473</v>
      </c>
      <c r="J413" s="4">
        <f>TeamHero生成!I413</f>
        <v>26450</v>
      </c>
    </row>
    <row r="414" ht="14.25" customHeight="1" spans="1:10">
      <c r="A414" s="4">
        <f>TeamHero生成!A414</f>
        <v>410</v>
      </c>
      <c r="B414" s="4">
        <f>TeamHero生成!B414</f>
        <v>1006</v>
      </c>
      <c r="C414" s="4">
        <f>TeamHero生成!C414</f>
        <v>51</v>
      </c>
      <c r="D414" s="5">
        <f>TeamHero生成!D414</f>
        <v>2359028</v>
      </c>
      <c r="E414" s="5">
        <f>TeamHero生成!E414</f>
        <v>47680</v>
      </c>
      <c r="F414" s="5">
        <f>TeamHero生成!F414</f>
        <v>33604</v>
      </c>
      <c r="G414" s="4" t="str">
        <f>TeamHero生成!AG414</f>
        <v>有效</v>
      </c>
      <c r="H414" s="4">
        <f>TeamHero生成!G414</f>
        <v>2740948</v>
      </c>
      <c r="I414" s="4">
        <f>TeamHero生成!H414</f>
        <v>46473</v>
      </c>
      <c r="J414" s="4">
        <f>TeamHero生成!I414</f>
        <v>26450</v>
      </c>
    </row>
    <row r="415" ht="14.25" customHeight="1" spans="1:10">
      <c r="A415" s="4">
        <f>TeamHero生成!A415</f>
        <v>411</v>
      </c>
      <c r="B415" s="4">
        <f>TeamHero生成!B415</f>
        <v>1004</v>
      </c>
      <c r="C415" s="4">
        <f>TeamHero生成!C415</f>
        <v>51</v>
      </c>
      <c r="D415" s="5">
        <f>TeamHero生成!D415</f>
        <v>3567060</v>
      </c>
      <c r="E415" s="5">
        <f>TeamHero生成!E415</f>
        <v>39988</v>
      </c>
      <c r="F415" s="5">
        <f>TeamHero生成!F415</f>
        <v>50609</v>
      </c>
      <c r="G415" s="4" t="str">
        <f>TeamHero生成!AG415</f>
        <v>有效</v>
      </c>
      <c r="H415" s="4">
        <f>TeamHero生成!G415</f>
        <v>4246250</v>
      </c>
      <c r="I415" s="4">
        <f>TeamHero生成!H415</f>
        <v>39733</v>
      </c>
      <c r="J415" s="4">
        <f>TeamHero生成!I415</f>
        <v>40324</v>
      </c>
    </row>
    <row r="416" ht="14.25" customHeight="1" spans="1:10">
      <c r="A416" s="4">
        <f>TeamHero生成!A416</f>
        <v>412</v>
      </c>
      <c r="B416" s="4">
        <f>TeamHero生成!B416</f>
        <v>1017</v>
      </c>
      <c r="C416" s="4">
        <f>TeamHero生成!C416</f>
        <v>51</v>
      </c>
      <c r="D416" s="5">
        <f>TeamHero生成!D416</f>
        <v>2378040</v>
      </c>
      <c r="E416" s="5">
        <f>TeamHero生成!E416</f>
        <v>47985</v>
      </c>
      <c r="F416" s="5">
        <f>TeamHero生成!F416</f>
        <v>33739</v>
      </c>
      <c r="G416" s="4" t="str">
        <f>TeamHero生成!AG416</f>
        <v>有效</v>
      </c>
      <c r="H416" s="4">
        <f>TeamHero生成!G416</f>
        <v>2830833</v>
      </c>
      <c r="I416" s="4">
        <f>TeamHero生成!H416</f>
        <v>47679</v>
      </c>
      <c r="J416" s="4">
        <f>TeamHero生成!I416</f>
        <v>26883</v>
      </c>
    </row>
    <row r="417" ht="14.25" customHeight="1" spans="1:10">
      <c r="A417" s="4">
        <f>TeamHero生成!A417</f>
        <v>413</v>
      </c>
      <c r="B417" s="4">
        <f>TeamHero生成!B417</f>
        <v>1008</v>
      </c>
      <c r="C417" s="4">
        <f>TeamHero生成!C417</f>
        <v>51</v>
      </c>
      <c r="D417" s="5">
        <f>TeamHero生成!D417</f>
        <v>2378040</v>
      </c>
      <c r="E417" s="5">
        <f>TeamHero生成!E417</f>
        <v>47985</v>
      </c>
      <c r="F417" s="5">
        <f>TeamHero生成!F417</f>
        <v>33739</v>
      </c>
      <c r="G417" s="4" t="str">
        <f>TeamHero生成!AG417</f>
        <v>有效</v>
      </c>
      <c r="H417" s="4">
        <f>TeamHero生成!G417</f>
        <v>2830833</v>
      </c>
      <c r="I417" s="4">
        <f>TeamHero生成!H417</f>
        <v>47679</v>
      </c>
      <c r="J417" s="4">
        <f>TeamHero生成!I417</f>
        <v>26883</v>
      </c>
    </row>
    <row r="418" ht="14.25" customHeight="1" spans="1:10">
      <c r="A418" s="4">
        <f>TeamHero生成!A418</f>
        <v>414</v>
      </c>
      <c r="B418" s="4">
        <f>TeamHero生成!B418</f>
        <v>1011</v>
      </c>
      <c r="C418" s="4">
        <f>TeamHero生成!C418</f>
        <v>51</v>
      </c>
      <c r="D418" s="5">
        <f>TeamHero生成!D418</f>
        <v>2972550</v>
      </c>
      <c r="E418" s="5">
        <f>TeamHero生成!E418</f>
        <v>39988</v>
      </c>
      <c r="F418" s="5">
        <f>TeamHero生成!F418</f>
        <v>42174</v>
      </c>
      <c r="G418" s="4" t="str">
        <f>TeamHero生成!AG418</f>
        <v>有效</v>
      </c>
      <c r="H418" s="4">
        <f>TeamHero生成!G418</f>
        <v>3538542</v>
      </c>
      <c r="I418" s="4">
        <f>TeamHero生成!H418</f>
        <v>39733</v>
      </c>
      <c r="J418" s="4">
        <f>TeamHero生成!I418</f>
        <v>33604</v>
      </c>
    </row>
    <row r="419" ht="14.25" customHeight="1" spans="1:10">
      <c r="A419" s="4">
        <f>TeamHero生成!A419</f>
        <v>415</v>
      </c>
      <c r="B419" s="4">
        <f>TeamHero生成!B419</f>
        <v>1006</v>
      </c>
      <c r="C419" s="4">
        <f>TeamHero生成!C419</f>
        <v>51</v>
      </c>
      <c r="D419" s="5">
        <f>TeamHero生成!D419</f>
        <v>2378040</v>
      </c>
      <c r="E419" s="5">
        <f>TeamHero生成!E419</f>
        <v>47985</v>
      </c>
      <c r="F419" s="5">
        <f>TeamHero生成!F419</f>
        <v>33739</v>
      </c>
      <c r="G419" s="4" t="str">
        <f>TeamHero生成!AG419</f>
        <v>有效</v>
      </c>
      <c r="H419" s="4">
        <f>TeamHero生成!G419</f>
        <v>2830833</v>
      </c>
      <c r="I419" s="4">
        <f>TeamHero生成!H419</f>
        <v>47679</v>
      </c>
      <c r="J419" s="4">
        <f>TeamHero生成!I419</f>
        <v>26883</v>
      </c>
    </row>
    <row r="420" ht="14.25" customHeight="1" spans="1:10">
      <c r="A420" s="4">
        <f>TeamHero生成!A420</f>
        <v>416</v>
      </c>
      <c r="B420" s="4">
        <f>TeamHero生成!B420</f>
        <v>1003</v>
      </c>
      <c r="C420" s="4">
        <f>TeamHero生成!C420</f>
        <v>52</v>
      </c>
      <c r="D420" s="5">
        <f>TeamHero生成!D420</f>
        <v>3595746</v>
      </c>
      <c r="E420" s="5">
        <f>TeamHero生成!E420</f>
        <v>40244</v>
      </c>
      <c r="F420" s="5">
        <f>TeamHero生成!F420</f>
        <v>50813</v>
      </c>
      <c r="G420" s="4" t="str">
        <f>TeamHero生成!AG420</f>
        <v>有效</v>
      </c>
      <c r="H420" s="4">
        <f>TeamHero生成!G420</f>
        <v>4384360</v>
      </c>
      <c r="I420" s="4">
        <f>TeamHero生成!H420</f>
        <v>40762</v>
      </c>
      <c r="J420" s="4">
        <f>TeamHero生成!I420</f>
        <v>40977</v>
      </c>
    </row>
    <row r="421" ht="14.25" customHeight="1" spans="1:10">
      <c r="A421" s="4">
        <f>TeamHero生成!A421</f>
        <v>417</v>
      </c>
      <c r="B421" s="4">
        <f>TeamHero生成!B421</f>
        <v>1008</v>
      </c>
      <c r="C421" s="4">
        <f>TeamHero生成!C421</f>
        <v>52</v>
      </c>
      <c r="D421" s="5">
        <f>TeamHero生成!D421</f>
        <v>2397164</v>
      </c>
      <c r="E421" s="5">
        <f>TeamHero生成!E421</f>
        <v>48293</v>
      </c>
      <c r="F421" s="5">
        <f>TeamHero生成!F421</f>
        <v>33875</v>
      </c>
      <c r="G421" s="4" t="str">
        <f>TeamHero生成!AG421</f>
        <v>有效</v>
      </c>
      <c r="H421" s="4">
        <f>TeamHero生成!G421</f>
        <v>2922907</v>
      </c>
      <c r="I421" s="4">
        <f>TeamHero生成!H421</f>
        <v>48914</v>
      </c>
      <c r="J421" s="4">
        <f>TeamHero生成!I421</f>
        <v>27318</v>
      </c>
    </row>
    <row r="422" ht="14.25" customHeight="1" spans="1:10">
      <c r="A422" s="4">
        <f>TeamHero生成!A422</f>
        <v>418</v>
      </c>
      <c r="B422" s="4">
        <f>TeamHero生成!B422</f>
        <v>1008</v>
      </c>
      <c r="C422" s="4">
        <f>TeamHero生成!C422</f>
        <v>52</v>
      </c>
      <c r="D422" s="5">
        <f>TeamHero生成!D422</f>
        <v>2397164</v>
      </c>
      <c r="E422" s="5">
        <f>TeamHero生成!E422</f>
        <v>48293</v>
      </c>
      <c r="F422" s="5">
        <f>TeamHero生成!F422</f>
        <v>33875</v>
      </c>
      <c r="G422" s="4" t="str">
        <f>TeamHero生成!AG422</f>
        <v>有效</v>
      </c>
      <c r="H422" s="4">
        <f>TeamHero生成!G422</f>
        <v>2922907</v>
      </c>
      <c r="I422" s="4">
        <f>TeamHero生成!H422</f>
        <v>48914</v>
      </c>
      <c r="J422" s="4">
        <f>TeamHero生成!I422</f>
        <v>27318</v>
      </c>
    </row>
    <row r="423" ht="14.25" customHeight="1" spans="1:10">
      <c r="A423" s="4">
        <f>TeamHero生成!A423</f>
        <v>419</v>
      </c>
      <c r="B423" s="4">
        <f>TeamHero生成!B423</f>
        <v>1007</v>
      </c>
      <c r="C423" s="4">
        <f>TeamHero生成!C423</f>
        <v>52</v>
      </c>
      <c r="D423" s="5">
        <f>TeamHero生成!D423</f>
        <v>2996455</v>
      </c>
      <c r="E423" s="5">
        <f>TeamHero生成!E423</f>
        <v>40244</v>
      </c>
      <c r="F423" s="5">
        <f>TeamHero生成!F423</f>
        <v>42344</v>
      </c>
      <c r="G423" s="4" t="str">
        <f>TeamHero生成!AG423</f>
        <v>有效</v>
      </c>
      <c r="H423" s="4">
        <f>TeamHero生成!G423</f>
        <v>3653634</v>
      </c>
      <c r="I423" s="4">
        <f>TeamHero生成!H423</f>
        <v>40762</v>
      </c>
      <c r="J423" s="4">
        <f>TeamHero生成!I423</f>
        <v>34148</v>
      </c>
    </row>
    <row r="424" ht="14.25" customHeight="1" spans="1:10">
      <c r="A424" s="4">
        <f>TeamHero生成!A424</f>
        <v>420</v>
      </c>
      <c r="B424" s="4">
        <f>TeamHero生成!B424</f>
        <v>1017</v>
      </c>
      <c r="C424" s="4">
        <f>TeamHero生成!C424</f>
        <v>52</v>
      </c>
      <c r="D424" s="5">
        <f>TeamHero生成!D424</f>
        <v>2397164</v>
      </c>
      <c r="E424" s="5">
        <f>TeamHero生成!E424</f>
        <v>48293</v>
      </c>
      <c r="F424" s="5">
        <f>TeamHero生成!F424</f>
        <v>33875</v>
      </c>
      <c r="G424" s="4" t="str">
        <f>TeamHero生成!AG424</f>
        <v>有效</v>
      </c>
      <c r="H424" s="4">
        <f>TeamHero生成!G424</f>
        <v>2922907</v>
      </c>
      <c r="I424" s="4">
        <f>TeamHero生成!H424</f>
        <v>48914</v>
      </c>
      <c r="J424" s="4">
        <f>TeamHero生成!I424</f>
        <v>27318</v>
      </c>
    </row>
    <row r="425" ht="14.25" customHeight="1" spans="1:10">
      <c r="A425" s="4">
        <f>TeamHero生成!A425</f>
        <v>421</v>
      </c>
      <c r="B425" s="4">
        <f>TeamHero生成!B425</f>
        <v>1004</v>
      </c>
      <c r="C425" s="4">
        <f>TeamHero生成!C425</f>
        <v>52</v>
      </c>
      <c r="D425" s="5">
        <f>TeamHero生成!D425</f>
        <v>3624600</v>
      </c>
      <c r="E425" s="5">
        <f>TeamHero生成!E425</f>
        <v>40502</v>
      </c>
      <c r="F425" s="5">
        <f>TeamHero生成!F425</f>
        <v>51018</v>
      </c>
      <c r="G425" s="4" t="str">
        <f>TeamHero生成!AG425</f>
        <v>有效</v>
      </c>
      <c r="H425" s="4">
        <f>TeamHero生成!G425</f>
        <v>4525812</v>
      </c>
      <c r="I425" s="4">
        <f>TeamHero生成!H425</f>
        <v>41816</v>
      </c>
      <c r="J425" s="4">
        <f>TeamHero生成!I425</f>
        <v>41635</v>
      </c>
    </row>
    <row r="426" ht="14.25" customHeight="1" spans="1:10">
      <c r="A426" s="4">
        <f>TeamHero生成!A426</f>
        <v>422</v>
      </c>
      <c r="B426" s="4">
        <f>TeamHero生成!B426</f>
        <v>1005</v>
      </c>
      <c r="C426" s="4">
        <f>TeamHero生成!C426</f>
        <v>52</v>
      </c>
      <c r="D426" s="5">
        <f>TeamHero生成!D426</f>
        <v>2416400</v>
      </c>
      <c r="E426" s="5">
        <f>TeamHero生成!E426</f>
        <v>48603</v>
      </c>
      <c r="F426" s="5">
        <f>TeamHero生成!F426</f>
        <v>34012</v>
      </c>
      <c r="G426" s="4" t="str">
        <f>TeamHero生成!AG426</f>
        <v>有效</v>
      </c>
      <c r="H426" s="4">
        <f>TeamHero生成!G426</f>
        <v>3017208</v>
      </c>
      <c r="I426" s="4">
        <f>TeamHero生成!H426</f>
        <v>50179</v>
      </c>
      <c r="J426" s="4">
        <f>TeamHero生成!I426</f>
        <v>27756</v>
      </c>
    </row>
    <row r="427" ht="14.25" customHeight="1" spans="1:10">
      <c r="A427" s="4">
        <f>TeamHero生成!A427</f>
        <v>423</v>
      </c>
      <c r="B427" s="4">
        <f>TeamHero生成!B427</f>
        <v>1005</v>
      </c>
      <c r="C427" s="4">
        <f>TeamHero生成!C427</f>
        <v>52</v>
      </c>
      <c r="D427" s="5">
        <f>TeamHero生成!D427</f>
        <v>2416400</v>
      </c>
      <c r="E427" s="5">
        <f>TeamHero生成!E427</f>
        <v>48603</v>
      </c>
      <c r="F427" s="5">
        <f>TeamHero生成!F427</f>
        <v>34012</v>
      </c>
      <c r="G427" s="4" t="str">
        <f>TeamHero生成!AG427</f>
        <v>有效</v>
      </c>
      <c r="H427" s="4">
        <f>TeamHero生成!G427</f>
        <v>3017208</v>
      </c>
      <c r="I427" s="4">
        <f>TeamHero生成!H427</f>
        <v>50179</v>
      </c>
      <c r="J427" s="4">
        <f>TeamHero生成!I427</f>
        <v>27756</v>
      </c>
    </row>
    <row r="428" ht="14.25" customHeight="1" spans="1:10">
      <c r="A428" s="4">
        <f>TeamHero生成!A428</f>
        <v>424</v>
      </c>
      <c r="B428" s="4">
        <f>TeamHero生成!B428</f>
        <v>1007</v>
      </c>
      <c r="C428" s="4">
        <f>TeamHero生成!C428</f>
        <v>52</v>
      </c>
      <c r="D428" s="5">
        <f>TeamHero生成!D428</f>
        <v>3020500</v>
      </c>
      <c r="E428" s="5">
        <f>TeamHero生成!E428</f>
        <v>40502</v>
      </c>
      <c r="F428" s="5">
        <f>TeamHero生成!F428</f>
        <v>42515</v>
      </c>
      <c r="G428" s="4" t="str">
        <f>TeamHero生成!AG428</f>
        <v>有效</v>
      </c>
      <c r="H428" s="4">
        <f>TeamHero生成!G428</f>
        <v>3771510</v>
      </c>
      <c r="I428" s="4">
        <f>TeamHero生成!H428</f>
        <v>41816</v>
      </c>
      <c r="J428" s="4">
        <f>TeamHero生成!I428</f>
        <v>34696</v>
      </c>
    </row>
    <row r="429" ht="14.25" customHeight="1" spans="1:10">
      <c r="A429" s="4">
        <f>TeamHero生成!A429</f>
        <v>425</v>
      </c>
      <c r="B429" s="4">
        <f>TeamHero生成!B429</f>
        <v>1040</v>
      </c>
      <c r="C429" s="4">
        <f>TeamHero生成!C429</f>
        <v>52</v>
      </c>
      <c r="D429" s="5">
        <f>TeamHero生成!D429</f>
        <v>3020500</v>
      </c>
      <c r="E429" s="5">
        <f>TeamHero生成!E429</f>
        <v>40502</v>
      </c>
      <c r="F429" s="5">
        <f>TeamHero生成!F429</f>
        <v>42515</v>
      </c>
      <c r="G429" s="4" t="str">
        <f>TeamHero生成!AG429</f>
        <v>有效</v>
      </c>
      <c r="H429" s="4">
        <f>TeamHero生成!G429</f>
        <v>3771510</v>
      </c>
      <c r="I429" s="4">
        <f>TeamHero生成!H429</f>
        <v>41816</v>
      </c>
      <c r="J429" s="4">
        <f>TeamHero生成!I429</f>
        <v>34696</v>
      </c>
    </row>
    <row r="430" ht="14.25" customHeight="1" spans="1:10">
      <c r="A430" s="4">
        <f>TeamHero生成!A430</f>
        <v>426</v>
      </c>
      <c r="B430" s="4">
        <f>TeamHero生成!B430</f>
        <v>1003</v>
      </c>
      <c r="C430" s="4">
        <f>TeamHero生成!C430</f>
        <v>53</v>
      </c>
      <c r="D430" s="5">
        <f>TeamHero生成!D430</f>
        <v>3653634</v>
      </c>
      <c r="E430" s="5">
        <f>TeamHero生成!E430</f>
        <v>40762</v>
      </c>
      <c r="F430" s="5">
        <f>TeamHero生成!F430</f>
        <v>51222</v>
      </c>
      <c r="G430" s="4" t="str">
        <f>TeamHero生成!AG430</f>
        <v>有效</v>
      </c>
      <c r="H430" s="4">
        <f>TeamHero生成!G430</f>
        <v>4670668</v>
      </c>
      <c r="I430" s="4">
        <f>TeamHero生成!H430</f>
        <v>42895</v>
      </c>
      <c r="J430" s="4">
        <f>TeamHero生成!I430</f>
        <v>42297</v>
      </c>
    </row>
    <row r="431" ht="14.25" customHeight="1" spans="1:10">
      <c r="A431" s="4">
        <f>TeamHero生成!A431</f>
        <v>427</v>
      </c>
      <c r="B431" s="4">
        <f>TeamHero生成!B431</f>
        <v>1001</v>
      </c>
      <c r="C431" s="4">
        <f>TeamHero生成!C431</f>
        <v>53</v>
      </c>
      <c r="D431" s="5">
        <f>TeamHero生成!D431</f>
        <v>2435756</v>
      </c>
      <c r="E431" s="5">
        <f>TeamHero生成!E431</f>
        <v>48914</v>
      </c>
      <c r="F431" s="5">
        <f>TeamHero生成!F431</f>
        <v>34148</v>
      </c>
      <c r="G431" s="4" t="str">
        <f>TeamHero生成!AG431</f>
        <v>有效</v>
      </c>
      <c r="H431" s="4">
        <f>TeamHero生成!G431</f>
        <v>3113779</v>
      </c>
      <c r="I431" s="4">
        <f>TeamHero生成!H431</f>
        <v>51474</v>
      </c>
      <c r="J431" s="4">
        <f>TeamHero生成!I431</f>
        <v>28198</v>
      </c>
    </row>
    <row r="432" ht="14.25" customHeight="1" spans="1:10">
      <c r="A432" s="4">
        <f>TeamHero生成!A432</f>
        <v>428</v>
      </c>
      <c r="B432" s="4">
        <f>TeamHero生成!B432</f>
        <v>1011</v>
      </c>
      <c r="C432" s="4">
        <f>TeamHero生成!C432</f>
        <v>53</v>
      </c>
      <c r="D432" s="5">
        <f>TeamHero生成!D432</f>
        <v>3044695</v>
      </c>
      <c r="E432" s="5">
        <f>TeamHero生成!E432</f>
        <v>40762</v>
      </c>
      <c r="F432" s="5">
        <f>TeamHero生成!F432</f>
        <v>42685</v>
      </c>
      <c r="G432" s="4" t="str">
        <f>TeamHero生成!AG432</f>
        <v>有效</v>
      </c>
      <c r="H432" s="4">
        <f>TeamHero生成!G432</f>
        <v>3892224</v>
      </c>
      <c r="I432" s="4">
        <f>TeamHero生成!H432</f>
        <v>42895</v>
      </c>
      <c r="J432" s="4">
        <f>TeamHero生成!I432</f>
        <v>35248</v>
      </c>
    </row>
    <row r="433" ht="14.25" customHeight="1" spans="1:10">
      <c r="A433" s="4">
        <f>TeamHero生成!A433</f>
        <v>429</v>
      </c>
      <c r="B433" s="4">
        <f>TeamHero生成!B433</f>
        <v>1013</v>
      </c>
      <c r="C433" s="4">
        <f>TeamHero生成!C433</f>
        <v>53</v>
      </c>
      <c r="D433" s="5">
        <f>TeamHero生成!D433</f>
        <v>2435756</v>
      </c>
      <c r="E433" s="5">
        <f>TeamHero生成!E433</f>
        <v>48914</v>
      </c>
      <c r="F433" s="5">
        <f>TeamHero生成!F433</f>
        <v>34148</v>
      </c>
      <c r="G433" s="4" t="str">
        <f>TeamHero生成!AG433</f>
        <v>有效</v>
      </c>
      <c r="H433" s="4">
        <f>TeamHero生成!G433</f>
        <v>3113779</v>
      </c>
      <c r="I433" s="4">
        <f>TeamHero生成!H433</f>
        <v>51474</v>
      </c>
      <c r="J433" s="4">
        <f>TeamHero生成!I433</f>
        <v>28198</v>
      </c>
    </row>
    <row r="434" ht="14.25" customHeight="1" spans="1:10">
      <c r="A434" s="4">
        <f>TeamHero生成!A434</f>
        <v>430</v>
      </c>
      <c r="B434" s="4">
        <f>TeamHero生成!B434</f>
        <v>1005</v>
      </c>
      <c r="C434" s="4">
        <f>TeamHero生成!C434</f>
        <v>53</v>
      </c>
      <c r="D434" s="5">
        <f>TeamHero生成!D434</f>
        <v>2435756</v>
      </c>
      <c r="E434" s="5">
        <f>TeamHero生成!E434</f>
        <v>48914</v>
      </c>
      <c r="F434" s="5">
        <f>TeamHero生成!F434</f>
        <v>34148</v>
      </c>
      <c r="G434" s="4" t="str">
        <f>TeamHero生成!AG434</f>
        <v>有效</v>
      </c>
      <c r="H434" s="4">
        <f>TeamHero生成!G434</f>
        <v>3113779</v>
      </c>
      <c r="I434" s="4">
        <f>TeamHero生成!H434</f>
        <v>51474</v>
      </c>
      <c r="J434" s="4">
        <f>TeamHero生成!I434</f>
        <v>28198</v>
      </c>
    </row>
    <row r="435" ht="14.25" customHeight="1" spans="1:10">
      <c r="A435" s="4">
        <f>TeamHero生成!A435</f>
        <v>431</v>
      </c>
      <c r="B435" s="4">
        <f>TeamHero生成!B435</f>
        <v>1004</v>
      </c>
      <c r="C435" s="4">
        <f>TeamHero生成!C435</f>
        <v>53</v>
      </c>
      <c r="D435" s="5">
        <f>TeamHero生成!D435</f>
        <v>3682842</v>
      </c>
      <c r="E435" s="5">
        <f>TeamHero生成!E435</f>
        <v>41023</v>
      </c>
      <c r="F435" s="5">
        <f>TeamHero生成!F435</f>
        <v>51428</v>
      </c>
      <c r="G435" s="4" t="str">
        <f>TeamHero生成!AG435</f>
        <v>有效</v>
      </c>
      <c r="H435" s="4">
        <f>TeamHero生成!G435</f>
        <v>4818981</v>
      </c>
      <c r="I435" s="4">
        <f>TeamHero生成!H435</f>
        <v>43999</v>
      </c>
      <c r="J435" s="4">
        <f>TeamHero生成!I435</f>
        <v>42963</v>
      </c>
    </row>
    <row r="436" ht="14.25" customHeight="1" spans="1:10">
      <c r="A436" s="4">
        <f>TeamHero生成!A436</f>
        <v>432</v>
      </c>
      <c r="B436" s="4">
        <f>TeamHero生成!B436</f>
        <v>1011</v>
      </c>
      <c r="C436" s="4">
        <f>TeamHero生成!C436</f>
        <v>53</v>
      </c>
      <c r="D436" s="5">
        <f>TeamHero生成!D436</f>
        <v>3069035</v>
      </c>
      <c r="E436" s="5">
        <f>TeamHero生成!E436</f>
        <v>41023</v>
      </c>
      <c r="F436" s="5">
        <f>TeamHero生成!F436</f>
        <v>42856</v>
      </c>
      <c r="G436" s="4" t="str">
        <f>TeamHero生成!AG436</f>
        <v>有效</v>
      </c>
      <c r="H436" s="4">
        <f>TeamHero生成!G436</f>
        <v>4015818</v>
      </c>
      <c r="I436" s="4">
        <f>TeamHero生成!H436</f>
        <v>43999</v>
      </c>
      <c r="J436" s="4">
        <f>TeamHero生成!I436</f>
        <v>35803</v>
      </c>
    </row>
    <row r="437" ht="14.25" customHeight="1" spans="1:10">
      <c r="A437" s="4">
        <f>TeamHero生成!A437</f>
        <v>433</v>
      </c>
      <c r="B437" s="4">
        <f>TeamHero生成!B437</f>
        <v>1008</v>
      </c>
      <c r="C437" s="4">
        <f>TeamHero生成!C437</f>
        <v>53</v>
      </c>
      <c r="D437" s="5">
        <f>TeamHero生成!D437</f>
        <v>2455228</v>
      </c>
      <c r="E437" s="5">
        <f>TeamHero生成!E437</f>
        <v>49228</v>
      </c>
      <c r="F437" s="5">
        <f>TeamHero生成!F437</f>
        <v>34285</v>
      </c>
      <c r="G437" s="4" t="str">
        <f>TeamHero生成!AG437</f>
        <v>有效</v>
      </c>
      <c r="H437" s="4">
        <f>TeamHero生成!G437</f>
        <v>3212654</v>
      </c>
      <c r="I437" s="4">
        <f>TeamHero生成!H437</f>
        <v>52798</v>
      </c>
      <c r="J437" s="4">
        <f>TeamHero生成!I437</f>
        <v>28642</v>
      </c>
    </row>
    <row r="438" ht="14.25" customHeight="1" spans="1:10">
      <c r="A438" s="4">
        <f>TeamHero生成!A438</f>
        <v>434</v>
      </c>
      <c r="B438" s="4">
        <f>TeamHero生成!B438</f>
        <v>1006</v>
      </c>
      <c r="C438" s="4">
        <f>TeamHero生成!C438</f>
        <v>53</v>
      </c>
      <c r="D438" s="5">
        <f>TeamHero生成!D438</f>
        <v>2455228</v>
      </c>
      <c r="E438" s="5">
        <f>TeamHero生成!E438</f>
        <v>49228</v>
      </c>
      <c r="F438" s="5">
        <f>TeamHero生成!F438</f>
        <v>34285</v>
      </c>
      <c r="G438" s="4" t="str">
        <f>TeamHero生成!AG438</f>
        <v>有效</v>
      </c>
      <c r="H438" s="4">
        <f>TeamHero生成!G438</f>
        <v>3212654</v>
      </c>
      <c r="I438" s="4">
        <f>TeamHero生成!H438</f>
        <v>52798</v>
      </c>
      <c r="J438" s="4">
        <f>TeamHero生成!I438</f>
        <v>28642</v>
      </c>
    </row>
    <row r="439" ht="14.25" customHeight="1" spans="1:10">
      <c r="A439" s="4">
        <f>TeamHero生成!A439</f>
        <v>435</v>
      </c>
      <c r="B439" s="4">
        <f>TeamHero生成!B439</f>
        <v>1005</v>
      </c>
      <c r="C439" s="4">
        <f>TeamHero生成!C439</f>
        <v>53</v>
      </c>
      <c r="D439" s="5">
        <f>TeamHero生成!D439</f>
        <v>2455228</v>
      </c>
      <c r="E439" s="5">
        <f>TeamHero生成!E439</f>
        <v>49228</v>
      </c>
      <c r="F439" s="5">
        <f>TeamHero生成!F439</f>
        <v>34285</v>
      </c>
      <c r="G439" s="4" t="str">
        <f>TeamHero生成!AG439</f>
        <v>有效</v>
      </c>
      <c r="H439" s="4">
        <f>TeamHero生成!G439</f>
        <v>3212654</v>
      </c>
      <c r="I439" s="4">
        <f>TeamHero生成!H439</f>
        <v>52798</v>
      </c>
      <c r="J439" s="4">
        <f>TeamHero生成!I439</f>
        <v>28642</v>
      </c>
    </row>
    <row r="440" ht="14.25" customHeight="1" spans="1:10">
      <c r="A440" s="4">
        <f>TeamHero生成!A440</f>
        <v>436</v>
      </c>
      <c r="B440" s="4">
        <f>TeamHero生成!B440</f>
        <v>1004</v>
      </c>
      <c r="C440" s="4">
        <f>TeamHero生成!C440</f>
        <v>54</v>
      </c>
      <c r="D440" s="5">
        <f>TeamHero生成!D440</f>
        <v>3712224</v>
      </c>
      <c r="E440" s="5">
        <f>TeamHero生成!E440</f>
        <v>41286</v>
      </c>
      <c r="F440" s="5">
        <f>TeamHero生成!F440</f>
        <v>51633</v>
      </c>
      <c r="G440" s="4" t="str">
        <f>TeamHero生成!AG440</f>
        <v>有效</v>
      </c>
      <c r="H440" s="4">
        <f>TeamHero生成!G440</f>
        <v>4970808</v>
      </c>
      <c r="I440" s="4">
        <f>TeamHero生成!H440</f>
        <v>45131</v>
      </c>
      <c r="J440" s="4">
        <f>TeamHero生成!I440</f>
        <v>43634</v>
      </c>
    </row>
    <row r="441" ht="14.25" customHeight="1" spans="1:10">
      <c r="A441" s="4">
        <f>TeamHero生成!A441</f>
        <v>437</v>
      </c>
      <c r="B441" s="4">
        <f>TeamHero生成!B441</f>
        <v>1001</v>
      </c>
      <c r="C441" s="4">
        <f>TeamHero生成!C441</f>
        <v>54</v>
      </c>
      <c r="D441" s="5">
        <f>TeamHero生成!D441</f>
        <v>2474816</v>
      </c>
      <c r="E441" s="5">
        <f>TeamHero生成!E441</f>
        <v>49543</v>
      </c>
      <c r="F441" s="5">
        <f>TeamHero生成!F441</f>
        <v>34422</v>
      </c>
      <c r="G441" s="4" t="str">
        <f>TeamHero生成!AG441</f>
        <v>有效</v>
      </c>
      <c r="H441" s="4">
        <f>TeamHero生成!G441</f>
        <v>3313872</v>
      </c>
      <c r="I441" s="4">
        <f>TeamHero生成!H441</f>
        <v>54157</v>
      </c>
      <c r="J441" s="4">
        <f>TeamHero生成!I441</f>
        <v>29089</v>
      </c>
    </row>
    <row r="442" ht="14.25" customHeight="1" spans="1:10">
      <c r="A442" s="4">
        <f>TeamHero生成!A442</f>
        <v>438</v>
      </c>
      <c r="B442" s="4">
        <f>TeamHero生成!B442</f>
        <v>1005</v>
      </c>
      <c r="C442" s="4">
        <f>TeamHero生成!C442</f>
        <v>54</v>
      </c>
      <c r="D442" s="5">
        <f>TeamHero生成!D442</f>
        <v>2474816</v>
      </c>
      <c r="E442" s="5">
        <f>TeamHero生成!E442</f>
        <v>49543</v>
      </c>
      <c r="F442" s="5">
        <f>TeamHero生成!F442</f>
        <v>34422</v>
      </c>
      <c r="G442" s="4" t="str">
        <f>TeamHero生成!AG442</f>
        <v>有效</v>
      </c>
      <c r="H442" s="4">
        <f>TeamHero生成!G442</f>
        <v>3313872</v>
      </c>
      <c r="I442" s="4">
        <f>TeamHero生成!H442</f>
        <v>54157</v>
      </c>
      <c r="J442" s="4">
        <f>TeamHero生成!I442</f>
        <v>29089</v>
      </c>
    </row>
    <row r="443" ht="14.25" customHeight="1" spans="1:10">
      <c r="A443" s="4">
        <f>TeamHero生成!A443</f>
        <v>439</v>
      </c>
      <c r="B443" s="4">
        <f>TeamHero生成!B443</f>
        <v>1008</v>
      </c>
      <c r="C443" s="4">
        <f>TeamHero生成!C443</f>
        <v>54</v>
      </c>
      <c r="D443" s="5">
        <f>TeamHero生成!D443</f>
        <v>2474816</v>
      </c>
      <c r="E443" s="5">
        <f>TeamHero生成!E443</f>
        <v>49543</v>
      </c>
      <c r="F443" s="5">
        <f>TeamHero生成!F443</f>
        <v>34422</v>
      </c>
      <c r="G443" s="4" t="str">
        <f>TeamHero生成!AG443</f>
        <v>有效</v>
      </c>
      <c r="H443" s="4">
        <f>TeamHero生成!G443</f>
        <v>3313872</v>
      </c>
      <c r="I443" s="4">
        <f>TeamHero生成!H443</f>
        <v>54157</v>
      </c>
      <c r="J443" s="4">
        <f>TeamHero生成!I443</f>
        <v>29089</v>
      </c>
    </row>
    <row r="444" ht="14.25" customHeight="1" spans="1:10">
      <c r="A444" s="4">
        <f>TeamHero生成!A444</f>
        <v>440</v>
      </c>
      <c r="B444" s="4">
        <f>TeamHero生成!B444</f>
        <v>1007</v>
      </c>
      <c r="C444" s="4">
        <f>TeamHero生成!C444</f>
        <v>54</v>
      </c>
      <c r="D444" s="5">
        <f>TeamHero生成!D444</f>
        <v>3093520</v>
      </c>
      <c r="E444" s="5">
        <f>TeamHero生成!E444</f>
        <v>41286</v>
      </c>
      <c r="F444" s="5">
        <f>TeamHero生成!F444</f>
        <v>43028</v>
      </c>
      <c r="G444" s="4" t="str">
        <f>TeamHero生成!AG444</f>
        <v>有效</v>
      </c>
      <c r="H444" s="4">
        <f>TeamHero生成!G444</f>
        <v>4142340</v>
      </c>
      <c r="I444" s="4">
        <f>TeamHero生成!H444</f>
        <v>45131</v>
      </c>
      <c r="J444" s="4">
        <f>TeamHero生成!I444</f>
        <v>36362</v>
      </c>
    </row>
    <row r="445" ht="14.25" customHeight="1" spans="1:10">
      <c r="A445" s="4">
        <f>TeamHero生成!A445</f>
        <v>441</v>
      </c>
      <c r="B445" s="4">
        <f>TeamHero生成!B445</f>
        <v>1003</v>
      </c>
      <c r="C445" s="4">
        <f>TeamHero生成!C445</f>
        <v>54</v>
      </c>
      <c r="D445" s="5">
        <f>TeamHero生成!D445</f>
        <v>3741780</v>
      </c>
      <c r="E445" s="5">
        <f>TeamHero生成!E445</f>
        <v>41550</v>
      </c>
      <c r="F445" s="5">
        <f>TeamHero生成!F445</f>
        <v>51839</v>
      </c>
      <c r="G445" s="4" t="str">
        <f>TeamHero生成!AG445</f>
        <v>有效</v>
      </c>
      <c r="H445" s="4">
        <f>TeamHero生成!G445</f>
        <v>5126220</v>
      </c>
      <c r="I445" s="4">
        <f>TeamHero生成!H445</f>
        <v>46290</v>
      </c>
      <c r="J445" s="4">
        <f>TeamHero生成!I445</f>
        <v>44310</v>
      </c>
    </row>
    <row r="446" ht="14.25" customHeight="1" spans="1:10">
      <c r="A446" s="4">
        <f>TeamHero生成!A446</f>
        <v>442</v>
      </c>
      <c r="B446" s="4">
        <f>TeamHero生成!B446</f>
        <v>1013</v>
      </c>
      <c r="C446" s="4">
        <f>TeamHero生成!C446</f>
        <v>54</v>
      </c>
      <c r="D446" s="5">
        <f>TeamHero生成!D446</f>
        <v>2494520</v>
      </c>
      <c r="E446" s="5">
        <f>TeamHero生成!E446</f>
        <v>49860</v>
      </c>
      <c r="F446" s="5">
        <f>TeamHero生成!F446</f>
        <v>34559</v>
      </c>
      <c r="G446" s="4" t="str">
        <f>TeamHero生成!AG446</f>
        <v>有效</v>
      </c>
      <c r="H446" s="4">
        <f>TeamHero生成!G446</f>
        <v>3417480</v>
      </c>
      <c r="I446" s="4">
        <f>TeamHero生成!H446</f>
        <v>55548</v>
      </c>
      <c r="J446" s="4">
        <f>TeamHero生成!I446</f>
        <v>29540</v>
      </c>
    </row>
    <row r="447" ht="14.25" customHeight="1" spans="1:10">
      <c r="A447" s="4">
        <f>TeamHero生成!A447</f>
        <v>443</v>
      </c>
      <c r="B447" s="4">
        <f>TeamHero生成!B447</f>
        <v>1001</v>
      </c>
      <c r="C447" s="4">
        <f>TeamHero生成!C447</f>
        <v>54</v>
      </c>
      <c r="D447" s="5">
        <f>TeamHero生成!D447</f>
        <v>2494520</v>
      </c>
      <c r="E447" s="5">
        <f>TeamHero生成!E447</f>
        <v>49860</v>
      </c>
      <c r="F447" s="5">
        <f>TeamHero生成!F447</f>
        <v>34559</v>
      </c>
      <c r="G447" s="4" t="str">
        <f>TeamHero生成!AG447</f>
        <v>有效</v>
      </c>
      <c r="H447" s="4">
        <f>TeamHero生成!G447</f>
        <v>3417480</v>
      </c>
      <c r="I447" s="4">
        <f>TeamHero生成!H447</f>
        <v>55548</v>
      </c>
      <c r="J447" s="4">
        <f>TeamHero生成!I447</f>
        <v>29540</v>
      </c>
    </row>
    <row r="448" ht="14.25" customHeight="1" spans="1:10">
      <c r="A448" s="4">
        <f>TeamHero生成!A448</f>
        <v>444</v>
      </c>
      <c r="B448" s="4">
        <f>TeamHero生成!B448</f>
        <v>1006</v>
      </c>
      <c r="C448" s="4">
        <f>TeamHero生成!C448</f>
        <v>54</v>
      </c>
      <c r="D448" s="5">
        <f>TeamHero生成!D448</f>
        <v>2494520</v>
      </c>
      <c r="E448" s="5">
        <f>TeamHero生成!E448</f>
        <v>49860</v>
      </c>
      <c r="F448" s="5">
        <f>TeamHero生成!F448</f>
        <v>34559</v>
      </c>
      <c r="G448" s="4" t="str">
        <f>TeamHero生成!AG448</f>
        <v>有效</v>
      </c>
      <c r="H448" s="4">
        <f>TeamHero生成!G448</f>
        <v>3417480</v>
      </c>
      <c r="I448" s="4">
        <f>TeamHero生成!H448</f>
        <v>55548</v>
      </c>
      <c r="J448" s="4">
        <f>TeamHero生成!I448</f>
        <v>29540</v>
      </c>
    </row>
    <row r="449" ht="14.25" customHeight="1" spans="1:10">
      <c r="A449" s="4">
        <f>TeamHero生成!A449</f>
        <v>445</v>
      </c>
      <c r="B449" s="4">
        <f>TeamHero生成!B449</f>
        <v>1011</v>
      </c>
      <c r="C449" s="4">
        <f>TeamHero生成!C449</f>
        <v>54</v>
      </c>
      <c r="D449" s="5">
        <f>TeamHero生成!D449</f>
        <v>3118150</v>
      </c>
      <c r="E449" s="5">
        <f>TeamHero生成!E449</f>
        <v>41550</v>
      </c>
      <c r="F449" s="5">
        <f>TeamHero生成!F449</f>
        <v>43199</v>
      </c>
      <c r="G449" s="4" t="str">
        <f>TeamHero生成!AG449</f>
        <v>有效</v>
      </c>
      <c r="H449" s="4">
        <f>TeamHero生成!G449</f>
        <v>4271850</v>
      </c>
      <c r="I449" s="4">
        <f>TeamHero生成!H449</f>
        <v>46290</v>
      </c>
      <c r="J449" s="4">
        <f>TeamHero生成!I449</f>
        <v>36925</v>
      </c>
    </row>
    <row r="450" ht="14.25" customHeight="1" spans="1:10">
      <c r="A450" s="4">
        <f>TeamHero生成!A450</f>
        <v>446</v>
      </c>
      <c r="B450" s="4">
        <f>TeamHero生成!B450</f>
        <v>1004</v>
      </c>
      <c r="C450" s="4">
        <f>TeamHero生成!C450</f>
        <v>55</v>
      </c>
      <c r="D450" s="5">
        <f>TeamHero生成!D450</f>
        <v>3801420</v>
      </c>
      <c r="E450" s="5">
        <f>TeamHero生成!E450</f>
        <v>42083</v>
      </c>
      <c r="F450" s="5">
        <f>TeamHero生成!F450</f>
        <v>52251</v>
      </c>
      <c r="G450" s="4" t="str">
        <f>TeamHero生成!AG450</f>
        <v>有效</v>
      </c>
      <c r="H450" s="4">
        <f>TeamHero生成!G450</f>
        <v>5285275</v>
      </c>
      <c r="I450" s="4">
        <f>TeamHero生成!H450</f>
        <v>47477</v>
      </c>
      <c r="J450" s="4">
        <f>TeamHero生成!I450</f>
        <v>44989</v>
      </c>
    </row>
    <row r="451" ht="14.25" customHeight="1" spans="1:10">
      <c r="A451" s="4">
        <f>TeamHero生成!A451</f>
        <v>447</v>
      </c>
      <c r="B451" s="4">
        <f>TeamHero生成!B451</f>
        <v>1005</v>
      </c>
      <c r="C451" s="4">
        <f>TeamHero生成!C451</f>
        <v>55</v>
      </c>
      <c r="D451" s="5">
        <f>TeamHero生成!D451</f>
        <v>2534280</v>
      </c>
      <c r="E451" s="5">
        <f>TeamHero生成!E451</f>
        <v>50499</v>
      </c>
      <c r="F451" s="5">
        <f>TeamHero生成!F451</f>
        <v>34834</v>
      </c>
      <c r="G451" s="4" t="str">
        <f>TeamHero生成!AG451</f>
        <v>有效</v>
      </c>
      <c r="H451" s="4">
        <f>TeamHero生成!G451</f>
        <v>3523516</v>
      </c>
      <c r="I451" s="4">
        <f>TeamHero生成!H451</f>
        <v>56972</v>
      </c>
      <c r="J451" s="4">
        <f>TeamHero生成!I451</f>
        <v>29992</v>
      </c>
    </row>
    <row r="452" ht="14.25" customHeight="1" spans="1:10">
      <c r="A452" s="4">
        <f>TeamHero生成!A452</f>
        <v>448</v>
      </c>
      <c r="B452" s="4">
        <f>TeamHero生成!B452</f>
        <v>1005</v>
      </c>
      <c r="C452" s="4">
        <f>TeamHero生成!C452</f>
        <v>55</v>
      </c>
      <c r="D452" s="5">
        <f>TeamHero生成!D452</f>
        <v>2534280</v>
      </c>
      <c r="E452" s="5">
        <f>TeamHero生成!E452</f>
        <v>50499</v>
      </c>
      <c r="F452" s="5">
        <f>TeamHero生成!F452</f>
        <v>34834</v>
      </c>
      <c r="G452" s="4" t="str">
        <f>TeamHero生成!AG452</f>
        <v>有效</v>
      </c>
      <c r="H452" s="4">
        <f>TeamHero生成!G452</f>
        <v>3523516</v>
      </c>
      <c r="I452" s="4">
        <f>TeamHero生成!H452</f>
        <v>56972</v>
      </c>
      <c r="J452" s="4">
        <f>TeamHero生成!I452</f>
        <v>29992</v>
      </c>
    </row>
    <row r="453" ht="14.25" customHeight="1" spans="1:10">
      <c r="A453" s="4">
        <f>TeamHero生成!A453</f>
        <v>449</v>
      </c>
      <c r="B453" s="4">
        <f>TeamHero生成!B453</f>
        <v>1029</v>
      </c>
      <c r="C453" s="4">
        <f>TeamHero生成!C453</f>
        <v>55</v>
      </c>
      <c r="D453" s="5">
        <f>TeamHero生成!D453</f>
        <v>3167850</v>
      </c>
      <c r="E453" s="5">
        <f>TeamHero生成!E453</f>
        <v>42083</v>
      </c>
      <c r="F453" s="5">
        <f>TeamHero生成!F453</f>
        <v>43543</v>
      </c>
      <c r="G453" s="4" t="str">
        <f>TeamHero生成!AG453</f>
        <v>有效</v>
      </c>
      <c r="H453" s="4">
        <f>TeamHero生成!G453</f>
        <v>4404396</v>
      </c>
      <c r="I453" s="4">
        <f>TeamHero生成!H453</f>
        <v>47477</v>
      </c>
      <c r="J453" s="4">
        <f>TeamHero生成!I453</f>
        <v>37491</v>
      </c>
    </row>
    <row r="454" ht="14.25" customHeight="1" spans="1:10">
      <c r="A454" s="4">
        <f>TeamHero生成!A454</f>
        <v>450</v>
      </c>
      <c r="B454" s="4">
        <f>TeamHero生成!B454</f>
        <v>1007</v>
      </c>
      <c r="C454" s="4">
        <f>TeamHero生成!C454</f>
        <v>55</v>
      </c>
      <c r="D454" s="5">
        <f>TeamHero生成!D454</f>
        <v>3167850</v>
      </c>
      <c r="E454" s="5">
        <f>TeamHero生成!E454</f>
        <v>42083</v>
      </c>
      <c r="F454" s="5">
        <f>TeamHero生成!F454</f>
        <v>43543</v>
      </c>
      <c r="G454" s="4" t="str">
        <f>TeamHero生成!AG454</f>
        <v>有效</v>
      </c>
      <c r="H454" s="4">
        <f>TeamHero生成!G454</f>
        <v>4404396</v>
      </c>
      <c r="I454" s="4">
        <f>TeamHero生成!H454</f>
        <v>47477</v>
      </c>
      <c r="J454" s="4">
        <f>TeamHero生成!I454</f>
        <v>37491</v>
      </c>
    </row>
    <row r="455" ht="14.25" customHeight="1" spans="1:10">
      <c r="A455" s="4">
        <f>TeamHero生成!A455</f>
        <v>451</v>
      </c>
      <c r="B455" s="4">
        <f>TeamHero生成!B455</f>
        <v>1003</v>
      </c>
      <c r="C455" s="4">
        <f>TeamHero生成!C455</f>
        <v>55</v>
      </c>
      <c r="D455" s="5">
        <f>TeamHero生成!D455</f>
        <v>3831510</v>
      </c>
      <c r="E455" s="5">
        <f>TeamHero生成!E455</f>
        <v>42352</v>
      </c>
      <c r="F455" s="5">
        <f>TeamHero生成!F455</f>
        <v>52458</v>
      </c>
      <c r="G455" s="4" t="str">
        <f>TeamHero生成!AG455</f>
        <v>有效</v>
      </c>
      <c r="H455" s="4">
        <f>TeamHero生成!G455</f>
        <v>5448031</v>
      </c>
      <c r="I455" s="4">
        <f>TeamHero生成!H455</f>
        <v>48692</v>
      </c>
      <c r="J455" s="4">
        <f>TeamHero生成!I455</f>
        <v>45673</v>
      </c>
    </row>
    <row r="456" ht="14.25" customHeight="1" spans="1:10">
      <c r="A456" s="4">
        <f>TeamHero生成!A456</f>
        <v>452</v>
      </c>
      <c r="B456" s="4">
        <f>TeamHero生成!B456</f>
        <v>1007</v>
      </c>
      <c r="C456" s="4">
        <f>TeamHero生成!C456</f>
        <v>55</v>
      </c>
      <c r="D456" s="5">
        <f>TeamHero生成!D456</f>
        <v>3192925</v>
      </c>
      <c r="E456" s="5">
        <f>TeamHero生成!E456</f>
        <v>42352</v>
      </c>
      <c r="F456" s="5">
        <f>TeamHero生成!F456</f>
        <v>43715</v>
      </c>
      <c r="G456" s="4" t="str">
        <f>TeamHero生成!AG456</f>
        <v>有效</v>
      </c>
      <c r="H456" s="4">
        <f>TeamHero生成!G456</f>
        <v>4540026</v>
      </c>
      <c r="I456" s="4">
        <f>TeamHero生成!H456</f>
        <v>48692</v>
      </c>
      <c r="J456" s="4">
        <f>TeamHero生成!I456</f>
        <v>38061</v>
      </c>
    </row>
    <row r="457" ht="14.25" customHeight="1" spans="1:10">
      <c r="A457" s="4">
        <f>TeamHero生成!A457</f>
        <v>453</v>
      </c>
      <c r="B457" s="4">
        <f>TeamHero生成!B457</f>
        <v>1006</v>
      </c>
      <c r="C457" s="4">
        <f>TeamHero生成!C457</f>
        <v>55</v>
      </c>
      <c r="D457" s="5">
        <f>TeamHero生成!D457</f>
        <v>2554340</v>
      </c>
      <c r="E457" s="5">
        <f>TeamHero生成!E457</f>
        <v>50822</v>
      </c>
      <c r="F457" s="5">
        <f>TeamHero生成!F457</f>
        <v>34972</v>
      </c>
      <c r="G457" s="4" t="str">
        <f>TeamHero生成!AG457</f>
        <v>有效</v>
      </c>
      <c r="H457" s="4">
        <f>TeamHero生成!G457</f>
        <v>3632020</v>
      </c>
      <c r="I457" s="4">
        <f>TeamHero生成!H457</f>
        <v>58430</v>
      </c>
      <c r="J457" s="4">
        <f>TeamHero生成!I457</f>
        <v>30448</v>
      </c>
    </row>
    <row r="458" ht="14.25" customHeight="1" spans="1:10">
      <c r="A458" s="4">
        <f>TeamHero生成!A458</f>
        <v>454</v>
      </c>
      <c r="B458" s="4">
        <f>TeamHero生成!B458</f>
        <v>1017</v>
      </c>
      <c r="C458" s="4">
        <f>TeamHero生成!C458</f>
        <v>55</v>
      </c>
      <c r="D458" s="5">
        <f>TeamHero生成!D458</f>
        <v>2554340</v>
      </c>
      <c r="E458" s="5">
        <f>TeamHero生成!E458</f>
        <v>50822</v>
      </c>
      <c r="F458" s="5">
        <f>TeamHero生成!F458</f>
        <v>34972</v>
      </c>
      <c r="G458" s="4" t="str">
        <f>TeamHero生成!AG458</f>
        <v>有效</v>
      </c>
      <c r="H458" s="4">
        <f>TeamHero生成!G458</f>
        <v>3632020</v>
      </c>
      <c r="I458" s="4">
        <f>TeamHero生成!H458</f>
        <v>58430</v>
      </c>
      <c r="J458" s="4">
        <f>TeamHero生成!I458</f>
        <v>30448</v>
      </c>
    </row>
    <row r="459" ht="14.25" customHeight="1" spans="1:10">
      <c r="A459" s="4">
        <f>TeamHero生成!A459</f>
        <v>455</v>
      </c>
      <c r="B459" s="4">
        <f>TeamHero生成!B459</f>
        <v>1013</v>
      </c>
      <c r="C459" s="4">
        <f>TeamHero生成!C459</f>
        <v>55</v>
      </c>
      <c r="D459" s="5">
        <f>TeamHero生成!D459</f>
        <v>2554340</v>
      </c>
      <c r="E459" s="5">
        <f>TeamHero生成!E459</f>
        <v>50822</v>
      </c>
      <c r="F459" s="5">
        <f>TeamHero生成!F459</f>
        <v>34972</v>
      </c>
      <c r="G459" s="4" t="str">
        <f>TeamHero生成!AG459</f>
        <v>有效</v>
      </c>
      <c r="H459" s="4">
        <f>TeamHero生成!G459</f>
        <v>3632020</v>
      </c>
      <c r="I459" s="4">
        <f>TeamHero生成!H459</f>
        <v>58430</v>
      </c>
      <c r="J459" s="4">
        <f>TeamHero生成!I459</f>
        <v>30448</v>
      </c>
    </row>
    <row r="460" ht="14.25" customHeight="1" spans="1:10">
      <c r="A460" s="4">
        <f>TeamHero生成!A460</f>
        <v>456</v>
      </c>
      <c r="B460" s="4">
        <f>TeamHero生成!B460</f>
        <v>1004</v>
      </c>
      <c r="C460" s="4">
        <f>TeamHero生成!C460</f>
        <v>56</v>
      </c>
      <c r="D460" s="5">
        <f>TeamHero生成!D460</f>
        <v>3831510</v>
      </c>
      <c r="E460" s="5">
        <f>TeamHero生成!E460</f>
        <v>42352</v>
      </c>
      <c r="F460" s="5">
        <f>TeamHero生成!F460</f>
        <v>52458</v>
      </c>
      <c r="G460" s="4" t="str">
        <f>TeamHero生成!AG460</f>
        <v>有效</v>
      </c>
      <c r="H460" s="4">
        <f>TeamHero生成!G460</f>
        <v>5614552</v>
      </c>
      <c r="I460" s="4">
        <f>TeamHero生成!H460</f>
        <v>49938</v>
      </c>
      <c r="J460" s="4">
        <f>TeamHero生成!I460</f>
        <v>46360</v>
      </c>
    </row>
    <row r="461" ht="14.25" customHeight="1" spans="1:10">
      <c r="A461" s="4">
        <f>TeamHero生成!A461</f>
        <v>457</v>
      </c>
      <c r="B461" s="4">
        <f>TeamHero生成!B461</f>
        <v>1013</v>
      </c>
      <c r="C461" s="4">
        <f>TeamHero生成!C461</f>
        <v>56</v>
      </c>
      <c r="D461" s="5">
        <f>TeamHero生成!D461</f>
        <v>2554340</v>
      </c>
      <c r="E461" s="5">
        <f>TeamHero生成!E461</f>
        <v>50822</v>
      </c>
      <c r="F461" s="5">
        <f>TeamHero生成!F461</f>
        <v>34972</v>
      </c>
      <c r="G461" s="4" t="str">
        <f>TeamHero生成!AG461</f>
        <v>有效</v>
      </c>
      <c r="H461" s="4">
        <f>TeamHero生成!G461</f>
        <v>3743035</v>
      </c>
      <c r="I461" s="4">
        <f>TeamHero生成!H461</f>
        <v>59925</v>
      </c>
      <c r="J461" s="4">
        <f>TeamHero生成!I461</f>
        <v>30907</v>
      </c>
    </row>
    <row r="462" ht="14.25" customHeight="1" spans="1:10">
      <c r="A462" s="4">
        <f>TeamHero生成!A462</f>
        <v>458</v>
      </c>
      <c r="B462" s="4">
        <f>TeamHero生成!B462</f>
        <v>1007</v>
      </c>
      <c r="C462" s="4">
        <f>TeamHero生成!C462</f>
        <v>56</v>
      </c>
      <c r="D462" s="5">
        <f>TeamHero生成!D462</f>
        <v>3192925</v>
      </c>
      <c r="E462" s="5">
        <f>TeamHero生成!E462</f>
        <v>42352</v>
      </c>
      <c r="F462" s="5">
        <f>TeamHero生成!F462</f>
        <v>43715</v>
      </c>
      <c r="G462" s="4" t="str">
        <f>TeamHero生成!AG462</f>
        <v>有效</v>
      </c>
      <c r="H462" s="4">
        <f>TeamHero生成!G462</f>
        <v>4678794</v>
      </c>
      <c r="I462" s="4">
        <f>TeamHero生成!H462</f>
        <v>49938</v>
      </c>
      <c r="J462" s="4">
        <f>TeamHero生成!I462</f>
        <v>38634</v>
      </c>
    </row>
    <row r="463" ht="14.25" customHeight="1" spans="1:10">
      <c r="A463" s="4">
        <f>TeamHero生成!A463</f>
        <v>459</v>
      </c>
      <c r="B463" s="4">
        <f>TeamHero生成!B463</f>
        <v>1005</v>
      </c>
      <c r="C463" s="4">
        <f>TeamHero生成!C463</f>
        <v>56</v>
      </c>
      <c r="D463" s="5">
        <f>TeamHero生成!D463</f>
        <v>2554340</v>
      </c>
      <c r="E463" s="5">
        <f>TeamHero生成!E463</f>
        <v>50822</v>
      </c>
      <c r="F463" s="5">
        <f>TeamHero生成!F463</f>
        <v>34972</v>
      </c>
      <c r="G463" s="4" t="str">
        <f>TeamHero生成!AG463</f>
        <v>有效</v>
      </c>
      <c r="H463" s="4">
        <f>TeamHero生成!G463</f>
        <v>3743035</v>
      </c>
      <c r="I463" s="4">
        <f>TeamHero生成!H463</f>
        <v>59925</v>
      </c>
      <c r="J463" s="4">
        <f>TeamHero生成!I463</f>
        <v>30907</v>
      </c>
    </row>
    <row r="464" ht="14.25" customHeight="1" spans="1:10">
      <c r="A464" s="4">
        <f>TeamHero生成!A464</f>
        <v>460</v>
      </c>
      <c r="B464" s="4">
        <f>TeamHero生成!B464</f>
        <v>1013</v>
      </c>
      <c r="C464" s="4">
        <f>TeamHero生成!C464</f>
        <v>56</v>
      </c>
      <c r="D464" s="5">
        <f>TeamHero生成!D464</f>
        <v>2554340</v>
      </c>
      <c r="E464" s="5">
        <f>TeamHero生成!E464</f>
        <v>50822</v>
      </c>
      <c r="F464" s="5">
        <f>TeamHero生成!F464</f>
        <v>34972</v>
      </c>
      <c r="G464" s="4" t="str">
        <f>TeamHero生成!AG464</f>
        <v>有效</v>
      </c>
      <c r="H464" s="4">
        <f>TeamHero生成!G464</f>
        <v>3743035</v>
      </c>
      <c r="I464" s="4">
        <f>TeamHero生成!H464</f>
        <v>59925</v>
      </c>
      <c r="J464" s="4">
        <f>TeamHero生成!I464</f>
        <v>30907</v>
      </c>
    </row>
    <row r="465" ht="14.25" customHeight="1" spans="1:10">
      <c r="A465" s="4">
        <f>TeamHero生成!A465</f>
        <v>461</v>
      </c>
      <c r="B465" s="4">
        <f>TeamHero生成!B465</f>
        <v>1004</v>
      </c>
      <c r="C465" s="4">
        <f>TeamHero生成!C465</f>
        <v>56</v>
      </c>
      <c r="D465" s="5">
        <f>TeamHero生成!D465</f>
        <v>3892224</v>
      </c>
      <c r="E465" s="5">
        <f>TeamHero生成!E465</f>
        <v>42895</v>
      </c>
      <c r="F465" s="5">
        <f>TeamHero生成!F465</f>
        <v>52872</v>
      </c>
      <c r="G465" s="4" t="str">
        <f>TeamHero生成!AG465</f>
        <v>有效</v>
      </c>
      <c r="H465" s="4">
        <f>TeamHero生成!G465</f>
        <v>5784912</v>
      </c>
      <c r="I465" s="4">
        <f>TeamHero生成!H465</f>
        <v>51214</v>
      </c>
      <c r="J465" s="4">
        <f>TeamHero生成!I465</f>
        <v>47054</v>
      </c>
    </row>
    <row r="466" ht="14.25" customHeight="1" spans="1:10">
      <c r="A466" s="4">
        <f>TeamHero生成!A466</f>
        <v>462</v>
      </c>
      <c r="B466" s="4">
        <f>TeamHero生成!B466</f>
        <v>1006</v>
      </c>
      <c r="C466" s="4">
        <f>TeamHero生成!C466</f>
        <v>56</v>
      </c>
      <c r="D466" s="5">
        <f>TeamHero生成!D466</f>
        <v>2594816</v>
      </c>
      <c r="E466" s="5">
        <f>TeamHero生成!E466</f>
        <v>51474</v>
      </c>
      <c r="F466" s="5">
        <f>TeamHero生成!F466</f>
        <v>35248</v>
      </c>
      <c r="G466" s="4" t="str">
        <f>TeamHero生成!AG466</f>
        <v>有效</v>
      </c>
      <c r="H466" s="4">
        <f>TeamHero生成!G466</f>
        <v>3856608</v>
      </c>
      <c r="I466" s="4">
        <f>TeamHero生成!H466</f>
        <v>61456</v>
      </c>
      <c r="J466" s="4">
        <f>TeamHero生成!I466</f>
        <v>31369</v>
      </c>
    </row>
    <row r="467" ht="14.25" customHeight="1" spans="1:10">
      <c r="A467" s="4">
        <f>TeamHero生成!A467</f>
        <v>463</v>
      </c>
      <c r="B467" s="4">
        <f>TeamHero生成!B467</f>
        <v>1017</v>
      </c>
      <c r="C467" s="4">
        <f>TeamHero生成!C467</f>
        <v>56</v>
      </c>
      <c r="D467" s="5">
        <f>TeamHero生成!D467</f>
        <v>2594816</v>
      </c>
      <c r="E467" s="5">
        <f>TeamHero生成!E467</f>
        <v>51474</v>
      </c>
      <c r="F467" s="5">
        <f>TeamHero生成!F467</f>
        <v>35248</v>
      </c>
      <c r="G467" s="4" t="str">
        <f>TeamHero生成!AG467</f>
        <v>有效</v>
      </c>
      <c r="H467" s="4">
        <f>TeamHero生成!G467</f>
        <v>3856608</v>
      </c>
      <c r="I467" s="4">
        <f>TeamHero生成!H467</f>
        <v>61456</v>
      </c>
      <c r="J467" s="4">
        <f>TeamHero生成!I467</f>
        <v>31369</v>
      </c>
    </row>
    <row r="468" ht="14.25" customHeight="1" spans="1:10">
      <c r="A468" s="4">
        <f>TeamHero生成!A468</f>
        <v>464</v>
      </c>
      <c r="B468" s="4">
        <f>TeamHero生成!B468</f>
        <v>1007</v>
      </c>
      <c r="C468" s="4">
        <f>TeamHero生成!C468</f>
        <v>56</v>
      </c>
      <c r="D468" s="5">
        <f>TeamHero生成!D468</f>
        <v>3243520</v>
      </c>
      <c r="E468" s="5">
        <f>TeamHero生成!E468</f>
        <v>42895</v>
      </c>
      <c r="F468" s="5">
        <f>TeamHero生成!F468</f>
        <v>44060</v>
      </c>
      <c r="G468" s="4" t="str">
        <f>TeamHero生成!AG468</f>
        <v>有效</v>
      </c>
      <c r="H468" s="4">
        <f>TeamHero生成!G468</f>
        <v>4820760</v>
      </c>
      <c r="I468" s="4">
        <f>TeamHero生成!H468</f>
        <v>51214</v>
      </c>
      <c r="J468" s="4">
        <f>TeamHero生成!I468</f>
        <v>39212</v>
      </c>
    </row>
    <row r="469" ht="14.25" customHeight="1" spans="1:10">
      <c r="A469" s="4">
        <f>TeamHero生成!A469</f>
        <v>465</v>
      </c>
      <c r="B469" s="4">
        <f>TeamHero生成!B469</f>
        <v>1013</v>
      </c>
      <c r="C469" s="4">
        <f>TeamHero生成!C469</f>
        <v>56</v>
      </c>
      <c r="D469" s="5">
        <f>TeamHero生成!D469</f>
        <v>2594816</v>
      </c>
      <c r="E469" s="5">
        <f>TeamHero生成!E469</f>
        <v>51474</v>
      </c>
      <c r="F469" s="5">
        <f>TeamHero生成!F469</f>
        <v>35248</v>
      </c>
      <c r="G469" s="4" t="str">
        <f>TeamHero生成!AG469</f>
        <v>有效</v>
      </c>
      <c r="H469" s="4">
        <f>TeamHero生成!G469</f>
        <v>3856608</v>
      </c>
      <c r="I469" s="4">
        <f>TeamHero生成!H469</f>
        <v>61456</v>
      </c>
      <c r="J469" s="4">
        <f>TeamHero生成!I469</f>
        <v>31369</v>
      </c>
    </row>
    <row r="470" ht="14.25" customHeight="1" spans="1:10">
      <c r="A470" s="4">
        <f>TeamHero生成!A470</f>
        <v>466</v>
      </c>
      <c r="B470" s="4">
        <f>TeamHero生成!B470</f>
        <v>1004</v>
      </c>
      <c r="C470" s="4">
        <f>TeamHero生成!C470</f>
        <v>57</v>
      </c>
      <c r="D470" s="5">
        <f>TeamHero生成!D470</f>
        <v>3922848</v>
      </c>
      <c r="E470" s="5">
        <f>TeamHero生成!E470</f>
        <v>43169</v>
      </c>
      <c r="F470" s="5">
        <f>TeamHero生成!F470</f>
        <v>53079</v>
      </c>
      <c r="G470" s="4" t="str">
        <f>TeamHero生成!AG470</f>
        <v>有效</v>
      </c>
      <c r="H470" s="4">
        <f>TeamHero生成!G470</f>
        <v>5959159</v>
      </c>
      <c r="I470" s="4">
        <f>TeamHero生成!H470</f>
        <v>52520</v>
      </c>
      <c r="J470" s="4">
        <f>TeamHero生成!I470</f>
        <v>47750</v>
      </c>
    </row>
    <row r="471" ht="14.25" customHeight="1" spans="1:10">
      <c r="A471" s="4">
        <f>TeamHero生成!A471</f>
        <v>467</v>
      </c>
      <c r="B471" s="4">
        <f>TeamHero生成!B471</f>
        <v>1008</v>
      </c>
      <c r="C471" s="4">
        <f>TeamHero生成!C471</f>
        <v>57</v>
      </c>
      <c r="D471" s="5">
        <f>TeamHero生成!D471</f>
        <v>2615232</v>
      </c>
      <c r="E471" s="5">
        <f>TeamHero生成!E471</f>
        <v>51803</v>
      </c>
      <c r="F471" s="5">
        <f>TeamHero生成!F471</f>
        <v>35386</v>
      </c>
      <c r="G471" s="4" t="str">
        <f>TeamHero生成!AG471</f>
        <v>有效</v>
      </c>
      <c r="H471" s="4">
        <f>TeamHero生成!G471</f>
        <v>3972772</v>
      </c>
      <c r="I471" s="4">
        <f>TeamHero生成!H471</f>
        <v>63024</v>
      </c>
      <c r="J471" s="4">
        <f>TeamHero生成!I471</f>
        <v>31833</v>
      </c>
    </row>
    <row r="472" ht="14.25" customHeight="1" spans="1:10">
      <c r="A472" s="4">
        <f>TeamHero生成!A472</f>
        <v>468</v>
      </c>
      <c r="B472" s="4">
        <f>TeamHero生成!B472</f>
        <v>1006</v>
      </c>
      <c r="C472" s="4">
        <f>TeamHero生成!C472</f>
        <v>57</v>
      </c>
      <c r="D472" s="5">
        <f>TeamHero生成!D472</f>
        <v>2615232</v>
      </c>
      <c r="E472" s="5">
        <f>TeamHero生成!E472</f>
        <v>51803</v>
      </c>
      <c r="F472" s="5">
        <f>TeamHero生成!F472</f>
        <v>35386</v>
      </c>
      <c r="G472" s="4" t="str">
        <f>TeamHero生成!AG472</f>
        <v>有效</v>
      </c>
      <c r="H472" s="4">
        <f>TeamHero生成!G472</f>
        <v>3972772</v>
      </c>
      <c r="I472" s="4">
        <f>TeamHero生成!H472</f>
        <v>63024</v>
      </c>
      <c r="J472" s="4">
        <f>TeamHero生成!I472</f>
        <v>31833</v>
      </c>
    </row>
    <row r="473" ht="14.25" customHeight="1" spans="1:10">
      <c r="A473" s="4">
        <f>TeamHero生成!A473</f>
        <v>469</v>
      </c>
      <c r="B473" s="4">
        <f>TeamHero生成!B473</f>
        <v>1005</v>
      </c>
      <c r="C473" s="4">
        <f>TeamHero生成!C473</f>
        <v>57</v>
      </c>
      <c r="D473" s="5">
        <f>TeamHero生成!D473</f>
        <v>2615232</v>
      </c>
      <c r="E473" s="5">
        <f>TeamHero生成!E473</f>
        <v>51803</v>
      </c>
      <c r="F473" s="5">
        <f>TeamHero生成!F473</f>
        <v>35386</v>
      </c>
      <c r="G473" s="4" t="str">
        <f>TeamHero生成!AG473</f>
        <v>有效</v>
      </c>
      <c r="H473" s="4">
        <f>TeamHero生成!G473</f>
        <v>3972772</v>
      </c>
      <c r="I473" s="4">
        <f>TeamHero生成!H473</f>
        <v>63024</v>
      </c>
      <c r="J473" s="4">
        <f>TeamHero生成!I473</f>
        <v>31833</v>
      </c>
    </row>
    <row r="474" ht="14.25" customHeight="1" spans="1:10">
      <c r="A474" s="4">
        <f>TeamHero生成!A474</f>
        <v>470</v>
      </c>
      <c r="B474" s="4">
        <f>TeamHero生成!B474</f>
        <v>1007</v>
      </c>
      <c r="C474" s="4">
        <f>TeamHero生成!C474</f>
        <v>57</v>
      </c>
      <c r="D474" s="5">
        <f>TeamHero生成!D474</f>
        <v>3269040</v>
      </c>
      <c r="E474" s="5">
        <f>TeamHero生成!E474</f>
        <v>43169</v>
      </c>
      <c r="F474" s="5">
        <f>TeamHero生成!F474</f>
        <v>44233</v>
      </c>
      <c r="G474" s="4" t="str">
        <f>TeamHero生成!AG474</f>
        <v>有效</v>
      </c>
      <c r="H474" s="4">
        <f>TeamHero生成!G474</f>
        <v>4965966</v>
      </c>
      <c r="I474" s="4">
        <f>TeamHero生成!H474</f>
        <v>52520</v>
      </c>
      <c r="J474" s="4">
        <f>TeamHero生成!I474</f>
        <v>39792</v>
      </c>
    </row>
    <row r="475" ht="14.25" customHeight="1" spans="1:10">
      <c r="A475" s="4">
        <f>TeamHero生成!A475</f>
        <v>471</v>
      </c>
      <c r="B475" s="4">
        <f>TeamHero生成!B475</f>
        <v>1003</v>
      </c>
      <c r="C475" s="4">
        <f>TeamHero生成!C475</f>
        <v>57</v>
      </c>
      <c r="D475" s="5">
        <f>TeamHero生成!D475</f>
        <v>3953652</v>
      </c>
      <c r="E475" s="5">
        <f>TeamHero生成!E475</f>
        <v>43444</v>
      </c>
      <c r="F475" s="5">
        <f>TeamHero生成!F475</f>
        <v>53288</v>
      </c>
      <c r="G475" s="4" t="str">
        <f>TeamHero生成!AG475</f>
        <v>有效</v>
      </c>
      <c r="H475" s="4">
        <f>TeamHero生成!G475</f>
        <v>6137373</v>
      </c>
      <c r="I475" s="4">
        <f>TeamHero生成!H475</f>
        <v>53860</v>
      </c>
      <c r="J475" s="4">
        <f>TeamHero生成!I475</f>
        <v>48452</v>
      </c>
    </row>
    <row r="476" ht="14.25" customHeight="1" spans="1:10">
      <c r="A476" s="4">
        <f>TeamHero生成!A476</f>
        <v>472</v>
      </c>
      <c r="B476" s="4">
        <f>TeamHero生成!B476</f>
        <v>1017</v>
      </c>
      <c r="C476" s="4">
        <f>TeamHero生成!C476</f>
        <v>57</v>
      </c>
      <c r="D476" s="5">
        <f>TeamHero生成!D476</f>
        <v>2635768</v>
      </c>
      <c r="E476" s="5">
        <f>TeamHero生成!E476</f>
        <v>52132</v>
      </c>
      <c r="F476" s="5">
        <f>TeamHero生成!F476</f>
        <v>35525</v>
      </c>
      <c r="G476" s="4" t="str">
        <f>TeamHero生成!AG476</f>
        <v>有效</v>
      </c>
      <c r="H476" s="4">
        <f>TeamHero生成!G476</f>
        <v>4091582</v>
      </c>
      <c r="I476" s="4">
        <f>TeamHero生成!H476</f>
        <v>64632</v>
      </c>
      <c r="J476" s="4">
        <f>TeamHero生成!I476</f>
        <v>32301</v>
      </c>
    </row>
    <row r="477" ht="14.25" customHeight="1" spans="1:10">
      <c r="A477" s="4">
        <f>TeamHero生成!A477</f>
        <v>473</v>
      </c>
      <c r="B477" s="4">
        <f>TeamHero生成!B477</f>
        <v>1017</v>
      </c>
      <c r="C477" s="4">
        <f>TeamHero生成!C477</f>
        <v>57</v>
      </c>
      <c r="D477" s="5">
        <f>TeamHero生成!D477</f>
        <v>2635768</v>
      </c>
      <c r="E477" s="5">
        <f>TeamHero生成!E477</f>
        <v>52132</v>
      </c>
      <c r="F477" s="5">
        <f>TeamHero生成!F477</f>
        <v>35525</v>
      </c>
      <c r="G477" s="4" t="str">
        <f>TeamHero生成!AG477</f>
        <v>有效</v>
      </c>
      <c r="H477" s="4">
        <f>TeamHero生成!G477</f>
        <v>4091582</v>
      </c>
      <c r="I477" s="4">
        <f>TeamHero生成!H477</f>
        <v>64632</v>
      </c>
      <c r="J477" s="4">
        <f>TeamHero生成!I477</f>
        <v>32301</v>
      </c>
    </row>
    <row r="478" ht="14.25" customHeight="1" spans="1:10">
      <c r="A478" s="4">
        <f>TeamHero生成!A478</f>
        <v>474</v>
      </c>
      <c r="B478" s="4">
        <f>TeamHero生成!B478</f>
        <v>1017</v>
      </c>
      <c r="C478" s="4">
        <f>TeamHero生成!C478</f>
        <v>57</v>
      </c>
      <c r="D478" s="5">
        <f>TeamHero生成!D478</f>
        <v>2635768</v>
      </c>
      <c r="E478" s="5">
        <f>TeamHero生成!E478</f>
        <v>52132</v>
      </c>
      <c r="F478" s="5">
        <f>TeamHero生成!F478</f>
        <v>35525</v>
      </c>
      <c r="G478" s="4" t="str">
        <f>TeamHero生成!AG478</f>
        <v>有效</v>
      </c>
      <c r="H478" s="4">
        <f>TeamHero生成!G478</f>
        <v>4091582</v>
      </c>
      <c r="I478" s="4">
        <f>TeamHero生成!H478</f>
        <v>64632</v>
      </c>
      <c r="J478" s="4">
        <f>TeamHero生成!I478</f>
        <v>32301</v>
      </c>
    </row>
    <row r="479" ht="14.25" customHeight="1" spans="1:10">
      <c r="A479" s="4">
        <f>TeamHero生成!A479</f>
        <v>475</v>
      </c>
      <c r="B479" s="4">
        <f>TeamHero生成!B479</f>
        <v>1007</v>
      </c>
      <c r="C479" s="4">
        <f>TeamHero生成!C479</f>
        <v>57</v>
      </c>
      <c r="D479" s="5">
        <f>TeamHero生成!D479</f>
        <v>3294710</v>
      </c>
      <c r="E479" s="5">
        <f>TeamHero生成!E479</f>
        <v>43444</v>
      </c>
      <c r="F479" s="5">
        <f>TeamHero生成!F479</f>
        <v>44406</v>
      </c>
      <c r="G479" s="4" t="str">
        <f>TeamHero生成!AG479</f>
        <v>有效</v>
      </c>
      <c r="H479" s="4">
        <f>TeamHero生成!G479</f>
        <v>5114478</v>
      </c>
      <c r="I479" s="4">
        <f>TeamHero生成!H479</f>
        <v>53860</v>
      </c>
      <c r="J479" s="4">
        <f>TeamHero生成!I479</f>
        <v>40377</v>
      </c>
    </row>
    <row r="480" ht="14.25" customHeight="1" spans="1:10">
      <c r="A480" s="4">
        <f>TeamHero生成!A480</f>
        <v>476</v>
      </c>
      <c r="B480" s="4">
        <f>TeamHero生成!B480</f>
        <v>1003</v>
      </c>
      <c r="C480" s="4">
        <f>TeamHero生成!C480</f>
        <v>58</v>
      </c>
      <c r="D480" s="5">
        <f>TeamHero生成!D480</f>
        <v>3984642</v>
      </c>
      <c r="E480" s="5">
        <f>TeamHero生成!E480</f>
        <v>43721</v>
      </c>
      <c r="F480" s="5">
        <f>TeamHero生成!F480</f>
        <v>53496</v>
      </c>
      <c r="G480" s="4" t="str">
        <f>TeamHero生成!AG480</f>
        <v>有效</v>
      </c>
      <c r="H480" s="4">
        <f>TeamHero生成!G480</f>
        <v>6319612</v>
      </c>
      <c r="I480" s="4">
        <f>TeamHero生成!H480</f>
        <v>55231</v>
      </c>
      <c r="J480" s="4">
        <f>TeamHero生成!I480</f>
        <v>49158</v>
      </c>
    </row>
    <row r="481" ht="14.25" customHeight="1" spans="1:10">
      <c r="A481" s="4">
        <f>TeamHero生成!A481</f>
        <v>477</v>
      </c>
      <c r="B481" s="4">
        <f>TeamHero生成!B481</f>
        <v>1017</v>
      </c>
      <c r="C481" s="4">
        <f>TeamHero生成!C481</f>
        <v>58</v>
      </c>
      <c r="D481" s="5">
        <f>TeamHero生成!D481</f>
        <v>2656428</v>
      </c>
      <c r="E481" s="5">
        <f>TeamHero生成!E481</f>
        <v>52465</v>
      </c>
      <c r="F481" s="5">
        <f>TeamHero生成!F481</f>
        <v>35664</v>
      </c>
      <c r="G481" s="4" t="str">
        <f>TeamHero生成!AG481</f>
        <v>有效</v>
      </c>
      <c r="H481" s="4">
        <f>TeamHero生成!G481</f>
        <v>4213075</v>
      </c>
      <c r="I481" s="4">
        <f>TeamHero生成!H481</f>
        <v>66277</v>
      </c>
      <c r="J481" s="4">
        <f>TeamHero生成!I481</f>
        <v>32772</v>
      </c>
    </row>
    <row r="482" ht="14.25" customHeight="1" spans="1:10">
      <c r="A482" s="4">
        <f>TeamHero生成!A482</f>
        <v>478</v>
      </c>
      <c r="B482" s="4">
        <f>TeamHero生成!B482</f>
        <v>1008</v>
      </c>
      <c r="C482" s="4">
        <f>TeamHero生成!C482</f>
        <v>58</v>
      </c>
      <c r="D482" s="5">
        <f>TeamHero生成!D482</f>
        <v>2656428</v>
      </c>
      <c r="E482" s="5">
        <f>TeamHero生成!E482</f>
        <v>52465</v>
      </c>
      <c r="F482" s="5">
        <f>TeamHero生成!F482</f>
        <v>35664</v>
      </c>
      <c r="G482" s="4" t="str">
        <f>TeamHero生成!AG482</f>
        <v>有效</v>
      </c>
      <c r="H482" s="4">
        <f>TeamHero生成!G482</f>
        <v>4213075</v>
      </c>
      <c r="I482" s="4">
        <f>TeamHero生成!H482</f>
        <v>66277</v>
      </c>
      <c r="J482" s="4">
        <f>TeamHero生成!I482</f>
        <v>32772</v>
      </c>
    </row>
    <row r="483" ht="14.25" customHeight="1" spans="1:10">
      <c r="A483" s="4">
        <f>TeamHero生成!A483</f>
        <v>479</v>
      </c>
      <c r="B483" s="4">
        <f>TeamHero生成!B483</f>
        <v>1007</v>
      </c>
      <c r="C483" s="4">
        <f>TeamHero生成!C483</f>
        <v>58</v>
      </c>
      <c r="D483" s="5">
        <f>TeamHero生成!D483</f>
        <v>3320535</v>
      </c>
      <c r="E483" s="5">
        <f>TeamHero生成!E483</f>
        <v>43721</v>
      </c>
      <c r="F483" s="5">
        <f>TeamHero生成!F483</f>
        <v>44580</v>
      </c>
      <c r="G483" s="4" t="str">
        <f>TeamHero生成!AG483</f>
        <v>有效</v>
      </c>
      <c r="H483" s="4">
        <f>TeamHero生成!G483</f>
        <v>5266344</v>
      </c>
      <c r="I483" s="4">
        <f>TeamHero生成!H483</f>
        <v>55231</v>
      </c>
      <c r="J483" s="4">
        <f>TeamHero生成!I483</f>
        <v>40965</v>
      </c>
    </row>
    <row r="484" ht="14.25" customHeight="1" spans="1:10">
      <c r="A484" s="4">
        <f>TeamHero生成!A484</f>
        <v>480</v>
      </c>
      <c r="B484" s="4">
        <f>TeamHero生成!B484</f>
        <v>1005</v>
      </c>
      <c r="C484" s="4">
        <f>TeamHero生成!C484</f>
        <v>58</v>
      </c>
      <c r="D484" s="5">
        <f>TeamHero生成!D484</f>
        <v>2656428</v>
      </c>
      <c r="E484" s="5">
        <f>TeamHero生成!E484</f>
        <v>52465</v>
      </c>
      <c r="F484" s="5">
        <f>TeamHero生成!F484</f>
        <v>35664</v>
      </c>
      <c r="G484" s="4" t="str">
        <f>TeamHero生成!AG484</f>
        <v>有效</v>
      </c>
      <c r="H484" s="4">
        <f>TeamHero生成!G484</f>
        <v>4213075</v>
      </c>
      <c r="I484" s="4">
        <f>TeamHero生成!H484</f>
        <v>66277</v>
      </c>
      <c r="J484" s="4">
        <f>TeamHero生成!I484</f>
        <v>32772</v>
      </c>
    </row>
    <row r="485" ht="14.25" customHeight="1" spans="1:10">
      <c r="A485" s="4">
        <f>TeamHero生成!A485</f>
        <v>481</v>
      </c>
      <c r="B485" s="4">
        <f>TeamHero生成!B485</f>
        <v>1004</v>
      </c>
      <c r="C485" s="4">
        <f>TeamHero生成!C485</f>
        <v>58</v>
      </c>
      <c r="D485" s="5">
        <f>TeamHero生成!D485</f>
        <v>4015818</v>
      </c>
      <c r="E485" s="5">
        <f>TeamHero生成!E485</f>
        <v>43999</v>
      </c>
      <c r="F485" s="5">
        <f>TeamHero生成!F485</f>
        <v>53705</v>
      </c>
      <c r="G485" s="4" t="str">
        <f>TeamHero生成!AG485</f>
        <v>有效</v>
      </c>
      <c r="H485" s="4">
        <f>TeamHero生成!G485</f>
        <v>6505956</v>
      </c>
      <c r="I485" s="4">
        <f>TeamHero生成!H485</f>
        <v>56638</v>
      </c>
      <c r="J485" s="4">
        <f>TeamHero生成!I485</f>
        <v>49868</v>
      </c>
    </row>
    <row r="486" ht="14.25" customHeight="1" spans="1:10">
      <c r="A486" s="4">
        <f>TeamHero生成!A486</f>
        <v>482</v>
      </c>
      <c r="B486" s="4">
        <f>TeamHero生成!B486</f>
        <v>1017</v>
      </c>
      <c r="C486" s="4">
        <f>TeamHero生成!C486</f>
        <v>58</v>
      </c>
      <c r="D486" s="5">
        <f>TeamHero生成!D486</f>
        <v>2677212</v>
      </c>
      <c r="E486" s="5">
        <f>TeamHero生成!E486</f>
        <v>52799</v>
      </c>
      <c r="F486" s="5">
        <f>TeamHero生成!F486</f>
        <v>35803</v>
      </c>
      <c r="G486" s="4" t="str">
        <f>TeamHero生成!AG486</f>
        <v>有效</v>
      </c>
      <c r="H486" s="4">
        <f>TeamHero生成!G486</f>
        <v>4337304</v>
      </c>
      <c r="I486" s="4">
        <f>TeamHero生成!H486</f>
        <v>67965</v>
      </c>
      <c r="J486" s="4">
        <f>TeamHero生成!I486</f>
        <v>33245</v>
      </c>
    </row>
    <row r="487" ht="14.25" customHeight="1" spans="1:10">
      <c r="A487" s="4">
        <f>TeamHero生成!A487</f>
        <v>483</v>
      </c>
      <c r="B487" s="4">
        <f>TeamHero生成!B487</f>
        <v>1007</v>
      </c>
      <c r="C487" s="4">
        <f>TeamHero生成!C487</f>
        <v>58</v>
      </c>
      <c r="D487" s="5">
        <f>TeamHero生成!D487</f>
        <v>3346515</v>
      </c>
      <c r="E487" s="5">
        <f>TeamHero生成!E487</f>
        <v>43999</v>
      </c>
      <c r="F487" s="5">
        <f>TeamHero生成!F487</f>
        <v>44754</v>
      </c>
      <c r="G487" s="4" t="str">
        <f>TeamHero生成!AG487</f>
        <v>有效</v>
      </c>
      <c r="H487" s="4">
        <f>TeamHero生成!G487</f>
        <v>5421630</v>
      </c>
      <c r="I487" s="4">
        <f>TeamHero生成!H487</f>
        <v>56638</v>
      </c>
      <c r="J487" s="4">
        <f>TeamHero生成!I487</f>
        <v>41557</v>
      </c>
    </row>
    <row r="488" ht="14.25" customHeight="1" spans="1:10">
      <c r="A488" s="4">
        <f>TeamHero生成!A488</f>
        <v>484</v>
      </c>
      <c r="B488" s="4">
        <f>TeamHero生成!B488</f>
        <v>1017</v>
      </c>
      <c r="C488" s="4">
        <f>TeamHero生成!C488</f>
        <v>58</v>
      </c>
      <c r="D488" s="5">
        <f>TeamHero生成!D488</f>
        <v>2677212</v>
      </c>
      <c r="E488" s="5">
        <f>TeamHero生成!E488</f>
        <v>52799</v>
      </c>
      <c r="F488" s="5">
        <f>TeamHero生成!F488</f>
        <v>35803</v>
      </c>
      <c r="G488" s="4" t="str">
        <f>TeamHero生成!AG488</f>
        <v>有效</v>
      </c>
      <c r="H488" s="4">
        <f>TeamHero生成!G488</f>
        <v>4337304</v>
      </c>
      <c r="I488" s="4">
        <f>TeamHero生成!H488</f>
        <v>67965</v>
      </c>
      <c r="J488" s="4">
        <f>TeamHero生成!I488</f>
        <v>33245</v>
      </c>
    </row>
    <row r="489" ht="14.25" customHeight="1" spans="1:10">
      <c r="A489" s="4">
        <f>TeamHero生成!A489</f>
        <v>485</v>
      </c>
      <c r="B489" s="4">
        <f>TeamHero生成!B489</f>
        <v>1013</v>
      </c>
      <c r="C489" s="4">
        <f>TeamHero生成!C489</f>
        <v>58</v>
      </c>
      <c r="D489" s="5">
        <f>TeamHero生成!D489</f>
        <v>2677212</v>
      </c>
      <c r="E489" s="5">
        <f>TeamHero生成!E489</f>
        <v>52799</v>
      </c>
      <c r="F489" s="5">
        <f>TeamHero生成!F489</f>
        <v>35803</v>
      </c>
      <c r="G489" s="4" t="str">
        <f>TeamHero生成!AG489</f>
        <v>有效</v>
      </c>
      <c r="H489" s="4">
        <f>TeamHero生成!G489</f>
        <v>4337304</v>
      </c>
      <c r="I489" s="4">
        <f>TeamHero生成!H489</f>
        <v>67965</v>
      </c>
      <c r="J489" s="4">
        <f>TeamHero生成!I489</f>
        <v>33245</v>
      </c>
    </row>
    <row r="490" ht="14.25" customHeight="1" spans="1:10">
      <c r="A490" s="4">
        <f>TeamHero生成!A490</f>
        <v>486</v>
      </c>
      <c r="B490" s="4">
        <f>TeamHero生成!B490</f>
        <v>1003</v>
      </c>
      <c r="C490" s="4">
        <f>TeamHero生成!C490</f>
        <v>59</v>
      </c>
      <c r="D490" s="5">
        <f>TeamHero生成!D490</f>
        <v>4047168</v>
      </c>
      <c r="E490" s="5">
        <f>TeamHero生成!E490</f>
        <v>44280</v>
      </c>
      <c r="F490" s="5">
        <f>TeamHero生成!F490</f>
        <v>53915</v>
      </c>
      <c r="G490" s="4" t="str">
        <f>TeamHero生成!AG490</f>
        <v>有效</v>
      </c>
      <c r="H490" s="4">
        <f>TeamHero生成!G490</f>
        <v>6696453</v>
      </c>
      <c r="I490" s="4">
        <f>TeamHero生成!H490</f>
        <v>58078</v>
      </c>
      <c r="J490" s="4">
        <f>TeamHero生成!I490</f>
        <v>50582</v>
      </c>
    </row>
    <row r="491" ht="14.25" customHeight="1" spans="1:10">
      <c r="A491" s="4">
        <f>TeamHero生成!A491</f>
        <v>487</v>
      </c>
      <c r="B491" s="4">
        <f>TeamHero生成!B491</f>
        <v>1005</v>
      </c>
      <c r="C491" s="4">
        <f>TeamHero生成!C491</f>
        <v>59</v>
      </c>
      <c r="D491" s="5">
        <f>TeamHero生成!D491</f>
        <v>2698112</v>
      </c>
      <c r="E491" s="5">
        <f>TeamHero生成!E491</f>
        <v>53136</v>
      </c>
      <c r="F491" s="5">
        <f>TeamHero生成!F491</f>
        <v>35943</v>
      </c>
      <c r="G491" s="4" t="str">
        <f>TeamHero生成!AG491</f>
        <v>有效</v>
      </c>
      <c r="H491" s="4">
        <f>TeamHero生成!G491</f>
        <v>4464302</v>
      </c>
      <c r="I491" s="4">
        <f>TeamHero生成!H491</f>
        <v>69693</v>
      </c>
      <c r="J491" s="4">
        <f>TeamHero生成!I491</f>
        <v>33721</v>
      </c>
    </row>
    <row r="492" ht="14.25" customHeight="1" spans="1:10">
      <c r="A492" s="4">
        <f>TeamHero生成!A492</f>
        <v>488</v>
      </c>
      <c r="B492" s="4">
        <f>TeamHero生成!B492</f>
        <v>1005</v>
      </c>
      <c r="C492" s="4">
        <f>TeamHero生成!C492</f>
        <v>59</v>
      </c>
      <c r="D492" s="5">
        <f>TeamHero生成!D492</f>
        <v>2698112</v>
      </c>
      <c r="E492" s="5">
        <f>TeamHero生成!E492</f>
        <v>53136</v>
      </c>
      <c r="F492" s="5">
        <f>TeamHero生成!F492</f>
        <v>35943</v>
      </c>
      <c r="G492" s="4" t="str">
        <f>TeamHero生成!AG492</f>
        <v>有效</v>
      </c>
      <c r="H492" s="4">
        <f>TeamHero生成!G492</f>
        <v>4464302</v>
      </c>
      <c r="I492" s="4">
        <f>TeamHero生成!H492</f>
        <v>69693</v>
      </c>
      <c r="J492" s="4">
        <f>TeamHero生成!I492</f>
        <v>33721</v>
      </c>
    </row>
    <row r="493" ht="14.25" customHeight="1" spans="1:10">
      <c r="A493" s="4">
        <f>TeamHero生成!A493</f>
        <v>489</v>
      </c>
      <c r="B493" s="4">
        <f>TeamHero生成!B493</f>
        <v>1017</v>
      </c>
      <c r="C493" s="4">
        <f>TeamHero生成!C493</f>
        <v>59</v>
      </c>
      <c r="D493" s="5">
        <f>TeamHero生成!D493</f>
        <v>2698112</v>
      </c>
      <c r="E493" s="5">
        <f>TeamHero生成!E493</f>
        <v>53136</v>
      </c>
      <c r="F493" s="5">
        <f>TeamHero生成!F493</f>
        <v>35943</v>
      </c>
      <c r="G493" s="4" t="str">
        <f>TeamHero生成!AG493</f>
        <v>有效</v>
      </c>
      <c r="H493" s="4">
        <f>TeamHero生成!G493</f>
        <v>4464302</v>
      </c>
      <c r="I493" s="4">
        <f>TeamHero生成!H493</f>
        <v>69693</v>
      </c>
      <c r="J493" s="4">
        <f>TeamHero生成!I493</f>
        <v>33721</v>
      </c>
    </row>
    <row r="494" ht="14.25" customHeight="1" spans="1:10">
      <c r="A494" s="4">
        <f>TeamHero生成!A494</f>
        <v>490</v>
      </c>
      <c r="B494" s="4">
        <f>TeamHero生成!B494</f>
        <v>1007</v>
      </c>
      <c r="C494" s="4">
        <f>TeamHero生成!C494</f>
        <v>59</v>
      </c>
      <c r="D494" s="5">
        <f>TeamHero生成!D494</f>
        <v>3372640</v>
      </c>
      <c r="E494" s="5">
        <f>TeamHero生成!E494</f>
        <v>44280</v>
      </c>
      <c r="F494" s="5">
        <f>TeamHero生成!F494</f>
        <v>44929</v>
      </c>
      <c r="G494" s="4" t="str">
        <f>TeamHero生成!AG494</f>
        <v>有效</v>
      </c>
      <c r="H494" s="4">
        <f>TeamHero生成!G494</f>
        <v>5580378</v>
      </c>
      <c r="I494" s="4">
        <f>TeamHero生成!H494</f>
        <v>58078</v>
      </c>
      <c r="J494" s="4">
        <f>TeamHero生成!I494</f>
        <v>42152</v>
      </c>
    </row>
    <row r="495" ht="14.25" customHeight="1" spans="1:10">
      <c r="A495" s="4">
        <f>TeamHero生成!A495</f>
        <v>491</v>
      </c>
      <c r="B495" s="4">
        <f>TeamHero生成!B495</f>
        <v>1003</v>
      </c>
      <c r="C495" s="4">
        <f>TeamHero生成!C495</f>
        <v>59</v>
      </c>
      <c r="D495" s="5">
        <f>TeamHero生成!D495</f>
        <v>4110432</v>
      </c>
      <c r="E495" s="5">
        <f>TeamHero生成!E495</f>
        <v>44845</v>
      </c>
      <c r="F495" s="5">
        <f>TeamHero生成!F495</f>
        <v>54333</v>
      </c>
      <c r="G495" s="4" t="str">
        <f>TeamHero生成!AG495</f>
        <v>有效</v>
      </c>
      <c r="H495" s="4">
        <f>TeamHero生成!G495</f>
        <v>6891192</v>
      </c>
      <c r="I495" s="4">
        <f>TeamHero生成!H495</f>
        <v>59554</v>
      </c>
      <c r="J495" s="4">
        <f>TeamHero生成!I495</f>
        <v>51301</v>
      </c>
    </row>
    <row r="496" ht="14.25" customHeight="1" spans="1:10">
      <c r="A496" s="4">
        <f>TeamHero生成!A496</f>
        <v>492</v>
      </c>
      <c r="B496" s="4">
        <f>TeamHero生成!B496</f>
        <v>1017</v>
      </c>
      <c r="C496" s="4">
        <f>TeamHero生成!C496</f>
        <v>59</v>
      </c>
      <c r="D496" s="5">
        <f>TeamHero生成!D496</f>
        <v>2740288</v>
      </c>
      <c r="E496" s="5">
        <f>TeamHero生成!E496</f>
        <v>53814</v>
      </c>
      <c r="F496" s="5">
        <f>TeamHero生成!F496</f>
        <v>36222</v>
      </c>
      <c r="G496" s="4" t="str">
        <f>TeamHero生成!AG496</f>
        <v>有效</v>
      </c>
      <c r="H496" s="4">
        <f>TeamHero生成!G496</f>
        <v>4594128</v>
      </c>
      <c r="I496" s="4">
        <f>TeamHero生成!H496</f>
        <v>71464</v>
      </c>
      <c r="J496" s="4">
        <f>TeamHero生成!I496</f>
        <v>34200</v>
      </c>
    </row>
    <row r="497" ht="14.25" customHeight="1" spans="1:10">
      <c r="A497" s="4">
        <f>TeamHero生成!A497</f>
        <v>493</v>
      </c>
      <c r="B497" s="4">
        <f>TeamHero生成!B497</f>
        <v>1017</v>
      </c>
      <c r="C497" s="4">
        <f>TeamHero生成!C497</f>
        <v>59</v>
      </c>
      <c r="D497" s="5">
        <f>TeamHero生成!D497</f>
        <v>2740288</v>
      </c>
      <c r="E497" s="5">
        <f>TeamHero生成!E497</f>
        <v>53814</v>
      </c>
      <c r="F497" s="5">
        <f>TeamHero生成!F497</f>
        <v>36222</v>
      </c>
      <c r="G497" s="4" t="str">
        <f>TeamHero生成!AG497</f>
        <v>有效</v>
      </c>
      <c r="H497" s="4">
        <f>TeamHero生成!G497</f>
        <v>4594128</v>
      </c>
      <c r="I497" s="4">
        <f>TeamHero生成!H497</f>
        <v>71464</v>
      </c>
      <c r="J497" s="4">
        <f>TeamHero生成!I497</f>
        <v>34200</v>
      </c>
    </row>
    <row r="498" ht="14.25" customHeight="1" spans="1:10">
      <c r="A498" s="4">
        <f>TeamHero生成!A498</f>
        <v>494</v>
      </c>
      <c r="B498" s="4">
        <f>TeamHero生成!B498</f>
        <v>1008</v>
      </c>
      <c r="C498" s="4">
        <f>TeamHero生成!C498</f>
        <v>59</v>
      </c>
      <c r="D498" s="5">
        <f>TeamHero生成!D498</f>
        <v>2740288</v>
      </c>
      <c r="E498" s="5">
        <f>TeamHero生成!E498</f>
        <v>53814</v>
      </c>
      <c r="F498" s="5">
        <f>TeamHero生成!F498</f>
        <v>36222</v>
      </c>
      <c r="G498" s="4" t="str">
        <f>TeamHero生成!AG498</f>
        <v>有效</v>
      </c>
      <c r="H498" s="4">
        <f>TeamHero生成!G498</f>
        <v>4594128</v>
      </c>
      <c r="I498" s="4">
        <f>TeamHero生成!H498</f>
        <v>71464</v>
      </c>
      <c r="J498" s="4">
        <f>TeamHero生成!I498</f>
        <v>34200</v>
      </c>
    </row>
    <row r="499" ht="14.25" customHeight="1" spans="1:10">
      <c r="A499" s="4">
        <f>TeamHero生成!A499</f>
        <v>495</v>
      </c>
      <c r="B499" s="4">
        <f>TeamHero生成!B499</f>
        <v>1007</v>
      </c>
      <c r="C499" s="4">
        <f>TeamHero生成!C499</f>
        <v>59</v>
      </c>
      <c r="D499" s="5">
        <f>TeamHero生成!D499</f>
        <v>3425360</v>
      </c>
      <c r="E499" s="5">
        <f>TeamHero生成!E499</f>
        <v>44845</v>
      </c>
      <c r="F499" s="5">
        <f>TeamHero生成!F499</f>
        <v>45278</v>
      </c>
      <c r="G499" s="4" t="str">
        <f>TeamHero生成!AG499</f>
        <v>有效</v>
      </c>
      <c r="H499" s="4">
        <f>TeamHero生成!G499</f>
        <v>5742660</v>
      </c>
      <c r="I499" s="4">
        <f>TeamHero生成!H499</f>
        <v>59554</v>
      </c>
      <c r="J499" s="4">
        <f>TeamHero生成!I499</f>
        <v>42751</v>
      </c>
    </row>
    <row r="500" ht="14.25" customHeight="1" spans="1:10">
      <c r="A500" s="4">
        <f>TeamHero生成!A500</f>
        <v>496</v>
      </c>
      <c r="B500" s="4">
        <f>TeamHero生成!B500</f>
        <v>1003</v>
      </c>
      <c r="C500" s="4">
        <f>TeamHero生成!C500</f>
        <v>60</v>
      </c>
      <c r="D500" s="5">
        <f>TeamHero生成!D500</f>
        <v>4110432</v>
      </c>
      <c r="E500" s="5">
        <f>TeamHero生成!E500</f>
        <v>44845</v>
      </c>
      <c r="F500" s="5">
        <f>TeamHero生成!F500</f>
        <v>54333</v>
      </c>
      <c r="G500" s="4" t="str">
        <f>TeamHero生成!AG500</f>
        <v>有效</v>
      </c>
      <c r="H500" s="4">
        <f>TeamHero生成!G500</f>
        <v>7140672</v>
      </c>
      <c r="I500" s="4">
        <f>TeamHero生成!H500</f>
        <v>61451</v>
      </c>
      <c r="J500" s="4">
        <f>TeamHero生成!I500</f>
        <v>52206</v>
      </c>
    </row>
    <row r="501" ht="14.25" customHeight="1" spans="1:10">
      <c r="A501" s="4">
        <f>TeamHero生成!A501</f>
        <v>497</v>
      </c>
      <c r="B501" s="4">
        <f>TeamHero生成!B501</f>
        <v>1005</v>
      </c>
      <c r="C501" s="4">
        <f>TeamHero生成!C501</f>
        <v>60</v>
      </c>
      <c r="D501" s="5">
        <f>TeamHero生成!D501</f>
        <v>2740288</v>
      </c>
      <c r="E501" s="5">
        <f>TeamHero生成!E501</f>
        <v>53814</v>
      </c>
      <c r="F501" s="5">
        <f>TeamHero生成!F501</f>
        <v>36222</v>
      </c>
      <c r="G501" s="4" t="str">
        <f>TeamHero生成!AG501</f>
        <v>有效</v>
      </c>
      <c r="H501" s="4">
        <f>TeamHero生成!G501</f>
        <v>4760448</v>
      </c>
      <c r="I501" s="4">
        <f>TeamHero生成!H501</f>
        <v>73741</v>
      </c>
      <c r="J501" s="4">
        <f>TeamHero生成!I501</f>
        <v>34804</v>
      </c>
    </row>
    <row r="502" ht="14.25" customHeight="1" spans="1:10">
      <c r="A502" s="4">
        <f>TeamHero生成!A502</f>
        <v>498</v>
      </c>
      <c r="B502" s="4">
        <f>TeamHero生成!B502</f>
        <v>1005</v>
      </c>
      <c r="C502" s="4">
        <f>TeamHero生成!C502</f>
        <v>60</v>
      </c>
      <c r="D502" s="5">
        <f>TeamHero生成!D502</f>
        <v>2740288</v>
      </c>
      <c r="E502" s="5">
        <f>TeamHero生成!E502</f>
        <v>53814</v>
      </c>
      <c r="F502" s="5">
        <f>TeamHero生成!F502</f>
        <v>36222</v>
      </c>
      <c r="G502" s="4" t="str">
        <f>TeamHero生成!AG502</f>
        <v>有效</v>
      </c>
      <c r="H502" s="4">
        <f>TeamHero生成!G502</f>
        <v>4760448</v>
      </c>
      <c r="I502" s="4">
        <f>TeamHero生成!H502</f>
        <v>73741</v>
      </c>
      <c r="J502" s="4">
        <f>TeamHero生成!I502</f>
        <v>34804</v>
      </c>
    </row>
    <row r="503" ht="14.25" customHeight="1" spans="1:10">
      <c r="A503" s="4">
        <f>TeamHero生成!A503</f>
        <v>499</v>
      </c>
      <c r="B503" s="4">
        <f>TeamHero生成!B503</f>
        <v>1005</v>
      </c>
      <c r="C503" s="4">
        <f>TeamHero生成!C503</f>
        <v>60</v>
      </c>
      <c r="D503" s="5">
        <f>TeamHero生成!D503</f>
        <v>2740288</v>
      </c>
      <c r="E503" s="5">
        <f>TeamHero生成!E503</f>
        <v>53814</v>
      </c>
      <c r="F503" s="5">
        <f>TeamHero生成!F503</f>
        <v>36222</v>
      </c>
      <c r="G503" s="4" t="str">
        <f>TeamHero生成!AG503</f>
        <v>有效</v>
      </c>
      <c r="H503" s="4">
        <f>TeamHero生成!G503</f>
        <v>4760448</v>
      </c>
      <c r="I503" s="4">
        <f>TeamHero生成!H503</f>
        <v>73741</v>
      </c>
      <c r="J503" s="4">
        <f>TeamHero生成!I503</f>
        <v>34804</v>
      </c>
    </row>
    <row r="504" ht="14.25" customHeight="1" spans="1:10">
      <c r="A504" s="4">
        <f>TeamHero生成!A504</f>
        <v>500</v>
      </c>
      <c r="B504" s="4">
        <f>TeamHero生成!B504</f>
        <v>1029</v>
      </c>
      <c r="C504" s="4">
        <f>TeamHero生成!C504</f>
        <v>60</v>
      </c>
      <c r="D504" s="5">
        <f>TeamHero生成!D504</f>
        <v>3425360</v>
      </c>
      <c r="E504" s="5">
        <f>TeamHero生成!E504</f>
        <v>44845</v>
      </c>
      <c r="F504" s="5">
        <f>TeamHero生成!F504</f>
        <v>45278</v>
      </c>
      <c r="G504" s="4" t="str">
        <f>TeamHero生成!AG504</f>
        <v>有效</v>
      </c>
      <c r="H504" s="4">
        <f>TeamHero生成!G504</f>
        <v>5950560</v>
      </c>
      <c r="I504" s="4">
        <f>TeamHero生成!H504</f>
        <v>61451</v>
      </c>
      <c r="J504" s="4">
        <f>TeamHero生成!I504</f>
        <v>43505</v>
      </c>
    </row>
  </sheetData>
  <autoFilter xmlns:etc="http://www.wps.cn/officeDocument/2017/etCustomData" ref="A4:J504" etc:filterBottomFollowUsedRange="0">
    <extLst/>
  </autoFilter>
  <mergeCells count="2">
    <mergeCell ref="A1:J1"/>
    <mergeCell ref="A2:J2"/>
  </mergeCells>
  <conditionalFormatting sqref="G5:G504">
    <cfRule type="expression" dxfId="0" priority="1">
      <formula>$G5="异常"</formula>
    </cfRule>
  </conditionalFormatting>
  <pageMargins left="0.25" right="0.25" top="0.5" bottom="0.5" header="0.5" footer="0.5"/>
  <pageSetup paperSize="1" fitToHeight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参数</vt:lpstr>
      <vt:lpstr>楼层配置</vt:lpstr>
      <vt:lpstr>_怪物基线</vt:lpstr>
      <vt:lpstr>_角色基线</vt:lpstr>
      <vt:lpstr>TeamHero生成</vt:lpstr>
      <vt:lpstr>落表结果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企业用户_251728386</cp:lastModifiedBy>
  <dcterms:created xsi:type="dcterms:W3CDTF">2026-08-10T06:08:00Z</dcterms:created>
  <dcterms:modified xsi:type="dcterms:W3CDTF">2026-08-10T06:57:17Z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E21532938AAC43EA8ACE9693AB611FE7_12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