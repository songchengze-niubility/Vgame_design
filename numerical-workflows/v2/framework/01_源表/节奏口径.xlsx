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_design\numerical-workflows\v2\framework\01_源表\"/>
    </mc:Choice>
  </mc:AlternateContent>
  <bookViews>
    <workbookView windowWidth="27945" windowHeight="12375"/>
  </bookViews>
  <sheets>
    <sheet name="开放节奏" sheetId="1" r:id="rId1"/>
    <sheet name="角色等级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<sst xmlns="http://schemas.openxmlformats.org/spreadsheetml/2006/main" count="83" uniqueCount="78">
  <si>
    <t>开启条件（填了哪个就以哪个为准）</t>
  </si>
  <si>
    <t>养成线</t>
  </si>
  <si>
    <t>玩法线</t>
  </si>
  <si>
    <t>引导</t>
  </si>
  <si>
    <t>角色等级</t>
  </si>
  <si>
    <t>章节</t>
  </si>
  <si>
    <t>主线关卡</t>
  </si>
  <si>
    <t>天数</t>
  </si>
  <si>
    <t>备注</t>
  </si>
  <si>
    <t>角色</t>
  </si>
  <si>
    <t>主线</t>
  </si>
  <si>
    <t>上阵小寒</t>
  </si>
  <si>
    <t>升级引导</t>
  </si>
  <si>
    <t>领取章节宝箱+选择下一关</t>
  </si>
  <si>
    <t>起名+招募+上阵大暑</t>
  </si>
  <si>
    <t>放开强引导，签到+邮件+七日活动+章节任务+每日任务+好友+聊天</t>
  </si>
  <si>
    <t>防呆引导，在一个条件下，主页停留超过一定时间需要提醒玩家点击主线</t>
  </si>
  <si>
    <t>能效</t>
  </si>
  <si>
    <t>能效引导</t>
  </si>
  <si>
    <t>舱室</t>
  </si>
  <si>
    <t>资源副本-舱室、温泉</t>
  </si>
  <si>
    <t>舱室养成需要建筑材料，可以从主线和高难主线刷取</t>
  </si>
  <si>
    <t>资源副本-金币</t>
  </si>
  <si>
    <t>公会</t>
  </si>
  <si>
    <t>竞技场</t>
  </si>
  <si>
    <t>资源副本-经验</t>
  </si>
  <si>
    <t>装备</t>
  </si>
  <si>
    <t>装备副本</t>
  </si>
  <si>
    <t>房车升级引导+爬塔指引</t>
  </si>
  <si>
    <t>房车升级</t>
  </si>
  <si>
    <t>爬塔</t>
  </si>
  <si>
    <t>无限挑战</t>
  </si>
  <si>
    <t>房车天赋</t>
  </si>
  <si>
    <t>跑商</t>
  </si>
  <si>
    <t>boss挑战</t>
  </si>
  <si>
    <t>装备宝石</t>
  </si>
  <si>
    <t>高难主线</t>
  </si>
  <si>
    <t>打开从序章开始的高难关卡（高难关卡也要卡等级）</t>
  </si>
  <si>
    <t>收容物</t>
  </si>
  <si>
    <t>资源副本-收容物</t>
  </si>
  <si>
    <t>肉鸽</t>
  </si>
  <si>
    <t>邮票</t>
  </si>
  <si>
    <t>邮票副本</t>
  </si>
  <si>
    <t>7到8</t>
  </si>
  <si>
    <t>主角等级上限</t>
  </si>
  <si>
    <t>舱室经验产出</t>
  </si>
  <si>
    <t>经验产出</t>
  </si>
  <si>
    <t>天数等级表</t>
  </si>
  <si>
    <t>章节等级表</t>
  </si>
  <si>
    <t>等级</t>
  </si>
  <si>
    <t>每级成长</t>
  </si>
  <si>
    <t>升级需要经验</t>
  </si>
  <si>
    <t>升级返还体力</t>
  </si>
  <si>
    <t>所需总经验</t>
  </si>
  <si>
    <t>实际所需总经验</t>
  </si>
  <si>
    <t>经验</t>
  </si>
  <si>
    <t>体力</t>
  </si>
  <si>
    <t>单日经验</t>
  </si>
  <si>
    <t>总经验</t>
  </si>
  <si>
    <t>来源</t>
  </si>
  <si>
    <t>每日产出</t>
  </si>
  <si>
    <t>核算经验</t>
  </si>
  <si>
    <t>实际等级</t>
  </si>
  <si>
    <t>开启等级</t>
  </si>
  <si>
    <t>自然回复</t>
  </si>
  <si>
    <t>每日任务</t>
  </si>
  <si>
    <t>购买体力1次</t>
  </si>
  <si>
    <t>购买体力2次</t>
  </si>
  <si>
    <t>购买体力3次</t>
  </si>
  <si>
    <t>购买体力4次</t>
  </si>
  <si>
    <t>购买体力5次</t>
  </si>
  <si>
    <t>购买体力6次</t>
  </si>
  <si>
    <t>购买体力7次</t>
  </si>
  <si>
    <t>购买体力8次</t>
  </si>
  <si>
    <t>温泉</t>
  </si>
  <si>
    <t>小R</t>
  </si>
  <si>
    <t>中R</t>
  </si>
  <si>
    <t>大R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</si>
</sst>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2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3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EAF3F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03"/>
  <sheetViews>
    <sheetView showGridLines="0" tabSelected="1" workbookViewId="0">
      <pane ySplit="1" topLeftCell="A2" activePane="bottomLeft" state="frozen"/>
      <selection/>
      <selection pane="bottomLeft" activeCell="D20" sqref="D20"/>
    </sheetView>
  </sheetViews>
  <sheetFormatPr defaultColWidth="9" defaultRowHeight="16.5"/>
  <cols>
    <col min="1" max="2" width="9" style="12"/>
    <col min="3" max="3" width="30.375" style="12" customWidth="1"/>
    <col min="4" max="4" width="67.125" style="12" customWidth="1"/>
    <col min="5" max="5" width="33.75" style="12" customWidth="1"/>
    <col min="6" max="8" width="9" style="12"/>
    <col min="9" max="9" width="15" style="12" customWidth="1"/>
    <col min="10" max="16384" width="9" style="12"/>
  </cols>
  <sheetData>
    <row r="1" spans="1:40">
      <c r="A1" s="13"/>
      <c r="B1" s="13"/>
      <c r="C1" s="13"/>
      <c r="D1" s="13"/>
      <c r="E1" s="13" t="s">
        <v>0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</row>
    <row r="2" spans="1:40">
      <c r="A2" s="13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="11" customFormat="1" spans="1:40">
      <c r="A3" s="14"/>
      <c r="B3" s="15" t="s">
        <v>9</v>
      </c>
      <c r="C3" s="14"/>
      <c r="D3" s="14"/>
      <c r="E3" s="14">
        <v>1</v>
      </c>
      <c r="F3" s="14"/>
      <c r="G3" s="14"/>
      <c r="H3" s="16">
        <v>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="11" customFormat="1" spans="1:40">
      <c r="A4" s="14"/>
      <c r="B4" s="15"/>
      <c r="C4" s="14" t="s">
        <v>10</v>
      </c>
      <c r="D4" s="14"/>
      <c r="E4" s="14">
        <v>1</v>
      </c>
      <c r="F4" s="14"/>
      <c r="G4" s="14"/>
      <c r="H4" s="16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="11" customFormat="1" spans="1:40">
      <c r="A5" s="14"/>
      <c r="B5" s="15"/>
      <c r="C5" s="14"/>
      <c r="D5" s="14" t="s">
        <v>11</v>
      </c>
      <c r="E5" s="14"/>
      <c r="F5" s="14">
        <v>0</v>
      </c>
      <c r="G5" s="14">
        <v>2</v>
      </c>
      <c r="H5" s="16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="11" customFormat="1" spans="1:40">
      <c r="A6" s="14"/>
      <c r="B6" s="15"/>
      <c r="C6" s="14"/>
      <c r="D6" s="14" t="s">
        <v>12</v>
      </c>
      <c r="E6" s="14"/>
      <c r="F6" s="14">
        <v>0</v>
      </c>
      <c r="G6" s="14">
        <v>3</v>
      </c>
      <c r="H6" s="16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="11" customFormat="1" spans="1:40">
      <c r="A7" s="14"/>
      <c r="B7" s="15"/>
      <c r="C7" s="14"/>
      <c r="D7" s="14" t="s">
        <v>13</v>
      </c>
      <c r="E7" s="14"/>
      <c r="F7" s="14">
        <v>0</v>
      </c>
      <c r="G7" s="14">
        <v>4</v>
      </c>
      <c r="H7" s="16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="11" customFormat="1" spans="1:40">
      <c r="A8" s="14"/>
      <c r="B8" s="15"/>
      <c r="C8" s="14"/>
      <c r="D8" s="14" t="s">
        <v>14</v>
      </c>
      <c r="E8" s="14"/>
      <c r="F8" s="14">
        <v>1</v>
      </c>
      <c r="G8" s="14">
        <v>1</v>
      </c>
      <c r="H8" s="16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="11" customFormat="1" spans="1:40">
      <c r="A9" s="14"/>
      <c r="B9" s="15"/>
      <c r="C9" s="14"/>
      <c r="D9" s="14" t="s">
        <v>15</v>
      </c>
      <c r="E9" s="14"/>
      <c r="F9" s="14">
        <v>1</v>
      </c>
      <c r="G9" s="14">
        <v>2</v>
      </c>
      <c r="H9" s="16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="11" customFormat="1" spans="1:40">
      <c r="A10" s="14"/>
      <c r="B10" s="15"/>
      <c r="C10" s="14"/>
      <c r="D10" s="14" t="s">
        <v>16</v>
      </c>
      <c r="E10" s="14"/>
      <c r="F10" s="14"/>
      <c r="G10" s="14"/>
      <c r="H10" s="16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="11" customFormat="1" spans="1:40">
      <c r="A11" s="14"/>
      <c r="B11" s="15" t="s">
        <v>17</v>
      </c>
      <c r="C11" s="14"/>
      <c r="D11" s="14" t="s">
        <v>18</v>
      </c>
      <c r="E11" s="14"/>
      <c r="F11" s="14">
        <v>1</v>
      </c>
      <c r="G11" s="14">
        <v>4</v>
      </c>
      <c r="H11" s="16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="11" customFormat="1" spans="1:40">
      <c r="A12" s="14"/>
      <c r="B12" s="15" t="s">
        <v>19</v>
      </c>
      <c r="C12" s="14" t="s">
        <v>20</v>
      </c>
      <c r="D12" s="14" t="s">
        <v>21</v>
      </c>
      <c r="E12" s="14"/>
      <c r="F12" s="14">
        <v>1</v>
      </c>
      <c r="G12" s="14">
        <v>8</v>
      </c>
      <c r="H12" s="16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="11" customFormat="1" spans="1:40">
      <c r="A13" s="14"/>
      <c r="B13" s="15"/>
      <c r="C13" s="14" t="s">
        <v>22</v>
      </c>
      <c r="D13" s="14"/>
      <c r="E13" s="14"/>
      <c r="F13" s="14">
        <v>2</v>
      </c>
      <c r="G13" s="14">
        <v>4</v>
      </c>
      <c r="H13" s="16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</row>
    <row r="14" s="11" customFormat="1" spans="1:40">
      <c r="A14" s="14"/>
      <c r="B14" s="15"/>
      <c r="C14" s="14" t="s">
        <v>23</v>
      </c>
      <c r="D14" s="14"/>
      <c r="E14" s="14">
        <v>20</v>
      </c>
      <c r="F14" s="14"/>
      <c r="G14" s="14"/>
      <c r="H14" s="16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s="11" customFormat="1" spans="1:40">
      <c r="A15" s="14"/>
      <c r="B15" s="15"/>
      <c r="C15" s="14" t="s">
        <v>24</v>
      </c>
      <c r="D15" s="14"/>
      <c r="E15" s="14"/>
      <c r="F15" s="14">
        <v>2</v>
      </c>
      <c r="G15" s="14">
        <v>7</v>
      </c>
      <c r="H15" s="16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="11" customFormat="1" spans="1:40">
      <c r="A16" s="14"/>
      <c r="B16" s="15"/>
      <c r="C16" s="14" t="s">
        <v>25</v>
      </c>
      <c r="D16" s="14"/>
      <c r="E16" s="14"/>
      <c r="F16" s="14">
        <v>2</v>
      </c>
      <c r="G16" s="14">
        <v>8</v>
      </c>
      <c r="H16" s="16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s="11" customFormat="1" spans="1:40">
      <c r="A17" s="14"/>
      <c r="B17" s="15" t="s">
        <v>26</v>
      </c>
      <c r="C17" s="14" t="s">
        <v>27</v>
      </c>
      <c r="D17" s="14" t="s">
        <v>28</v>
      </c>
      <c r="E17" s="14"/>
      <c r="F17" s="14">
        <v>2</v>
      </c>
      <c r="G17" s="14">
        <v>10</v>
      </c>
      <c r="H17" s="1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</row>
    <row r="18" s="11" customFormat="1" spans="1:40">
      <c r="A18" s="14"/>
      <c r="B18" s="15" t="s">
        <v>29</v>
      </c>
      <c r="C18" s="14" t="s">
        <v>30</v>
      </c>
      <c r="D18" s="14"/>
      <c r="E18" s="14"/>
      <c r="F18" s="14">
        <v>3</v>
      </c>
      <c r="G18" s="14">
        <v>10</v>
      </c>
      <c r="H18" s="16">
        <v>2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</row>
    <row r="19" s="11" customFormat="1" spans="1:40">
      <c r="A19" s="14"/>
      <c r="B19" s="15"/>
      <c r="C19" s="14" t="s">
        <v>31</v>
      </c>
      <c r="D19" s="14"/>
      <c r="E19" s="14">
        <v>25</v>
      </c>
      <c r="F19" s="14"/>
      <c r="G19" s="14"/>
      <c r="H19" s="16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</row>
    <row r="20" s="11" customFormat="1" spans="1:40">
      <c r="A20" s="14"/>
      <c r="B20" s="15" t="s">
        <v>32</v>
      </c>
      <c r="C20" s="14" t="s">
        <v>33</v>
      </c>
      <c r="D20" s="14"/>
      <c r="E20" s="14"/>
      <c r="F20" s="14">
        <v>4</v>
      </c>
      <c r="G20" s="14">
        <v>10</v>
      </c>
      <c r="H20" s="16">
        <v>3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</row>
    <row r="21" s="11" customFormat="1" spans="1:40">
      <c r="A21" s="14"/>
      <c r="B21" s="15"/>
      <c r="C21" s="14" t="s">
        <v>34</v>
      </c>
      <c r="D21" s="14"/>
      <c r="E21" s="14"/>
      <c r="F21" s="14">
        <v>4</v>
      </c>
      <c r="G21" s="14">
        <v>15</v>
      </c>
      <c r="H21" s="16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</row>
    <row r="22" s="11" customFormat="1" spans="1:40">
      <c r="A22" s="14"/>
      <c r="B22" s="15" t="s">
        <v>35</v>
      </c>
      <c r="C22" s="14" t="s">
        <v>36</v>
      </c>
      <c r="D22" s="14" t="s">
        <v>37</v>
      </c>
      <c r="E22" s="14"/>
      <c r="F22" s="14">
        <v>5</v>
      </c>
      <c r="G22" s="14">
        <v>15</v>
      </c>
      <c r="H22" s="16">
        <v>4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</row>
    <row r="23" s="11" customFormat="1" spans="1:40">
      <c r="A23" s="14"/>
      <c r="B23" s="15" t="s">
        <v>38</v>
      </c>
      <c r="C23" s="14" t="s">
        <v>39</v>
      </c>
      <c r="D23" s="14"/>
      <c r="E23" s="14">
        <v>34</v>
      </c>
      <c r="F23" s="14"/>
      <c r="G23" s="14"/>
      <c r="H23" s="16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s="11" customFormat="1" spans="1:40">
      <c r="A24" s="14"/>
      <c r="B24" s="15"/>
      <c r="C24" s="14" t="s">
        <v>40</v>
      </c>
      <c r="D24" s="14"/>
      <c r="E24" s="14">
        <v>35</v>
      </c>
      <c r="F24" s="14"/>
      <c r="G24" s="14"/>
      <c r="H24" s="16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="11" customFormat="1" spans="1:40">
      <c r="A25" s="14"/>
      <c r="B25" s="15" t="s">
        <v>41</v>
      </c>
      <c r="C25" s="14" t="s">
        <v>42</v>
      </c>
      <c r="D25" s="14"/>
      <c r="E25" s="14">
        <v>38</v>
      </c>
      <c r="F25" s="14"/>
      <c r="G25" s="14"/>
      <c r="H25" s="16" t="s">
        <v>43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0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>
      <c r="A29" s="13"/>
      <c r="D29" s="17"/>
      <c r="E29" s="17"/>
      <c r="F29" s="17"/>
      <c r="G29" s="1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Q16" sqref="Q16"/>
    </sheetView>
  </sheetViews>
  <sheetFormatPr defaultColWidth="9" defaultRowHeight="13.5"/>
  <cols>
    <col min="4" max="4" width="11" customWidth="1"/>
    <col min="5" max="5" width="12.875" customWidth="1"/>
    <col min="6" max="6" width="14.125" customWidth="1"/>
    <col min="7" max="7" width="15" customWidth="1"/>
    <col min="10" max="10" width="12.875" customWidth="1"/>
    <col min="11" max="16" width="12.125" customWidth="1"/>
    <col min="20" max="20" width="10.875" customWidth="1"/>
    <col min="24" max="24" width="10.875" customWidth="1"/>
  </cols>
  <sheetData>
    <row r="1" ht="16.5" spans="1:26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1"/>
      <c r="S1" s="1"/>
      <c r="T1" s="1"/>
      <c r="U1" s="2"/>
      <c r="V1" s="2"/>
      <c r="W1" s="2"/>
      <c r="X1" s="1"/>
      <c r="Y1" s="3"/>
      <c r="Z1" s="3"/>
    </row>
    <row r="2" ht="16.5" spans="1:26">
      <c r="A2" s="1"/>
      <c r="B2" s="1" t="s">
        <v>44</v>
      </c>
      <c r="C2" s="1"/>
      <c r="D2" s="4">
        <v>60</v>
      </c>
      <c r="E2" s="1"/>
      <c r="F2" s="1">
        <v>31.16436782</v>
      </c>
      <c r="G2" s="1">
        <v>36.15066667</v>
      </c>
      <c r="H2" s="1"/>
      <c r="I2" s="1"/>
      <c r="J2" s="2"/>
      <c r="K2" s="2"/>
      <c r="L2" s="2"/>
      <c r="M2" s="2"/>
      <c r="N2" s="2"/>
      <c r="O2" s="2"/>
      <c r="P2" s="2"/>
      <c r="Q2" s="2"/>
      <c r="R2" s="1"/>
      <c r="S2" s="1"/>
      <c r="T2" s="1"/>
      <c r="U2" s="2"/>
      <c r="V2" s="2"/>
      <c r="W2" s="2"/>
      <c r="X2" s="1"/>
      <c r="Y2" s="3"/>
      <c r="Z2" s="3"/>
    </row>
    <row r="3" ht="16.5" spans="1:26">
      <c r="A3" s="1"/>
      <c r="B3" s="1"/>
      <c r="C3" s="1"/>
      <c r="D3" s="1"/>
      <c r="E3" s="1"/>
      <c r="F3" s="1">
        <v>36.15066667</v>
      </c>
      <c r="G3" s="1"/>
      <c r="H3" s="1"/>
      <c r="I3" s="1"/>
      <c r="J3" s="5" t="s">
        <v>45</v>
      </c>
      <c r="L3" s="5"/>
      <c r="M3" s="5"/>
      <c r="N3" s="5"/>
      <c r="O3" s="5"/>
      <c r="P3" s="5" t="s">
        <v>46</v>
      </c>
      <c r="Q3" s="2"/>
      <c r="R3" s="2"/>
      <c r="S3" s="3"/>
      <c r="T3" s="2" t="s">
        <v>47</v>
      </c>
      <c r="U3" s="2"/>
      <c r="V3" s="1"/>
      <c r="W3" s="3"/>
      <c r="X3" s="2" t="s">
        <v>48</v>
      </c>
      <c r="Y3" s="3"/>
      <c r="Z3" s="3"/>
    </row>
    <row r="4" ht="16.5" spans="1:26">
      <c r="A4" s="1"/>
      <c r="B4" s="6" t="s">
        <v>49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/>
      <c r="I4" s="1"/>
      <c r="J4" s="6" t="s">
        <v>7</v>
      </c>
      <c r="K4" s="6" t="s">
        <v>55</v>
      </c>
      <c r="L4" s="6" t="s">
        <v>56</v>
      </c>
      <c r="M4" s="6" t="s">
        <v>57</v>
      </c>
      <c r="N4" s="6" t="s">
        <v>58</v>
      </c>
      <c r="O4" s="2"/>
      <c r="P4" s="6" t="s">
        <v>59</v>
      </c>
      <c r="Q4" s="6" t="s">
        <v>60</v>
      </c>
      <c r="R4" s="6" t="s">
        <v>61</v>
      </c>
      <c r="S4" s="3"/>
      <c r="T4" s="6" t="s">
        <v>7</v>
      </c>
      <c r="U4" s="6" t="s">
        <v>58</v>
      </c>
      <c r="V4" s="6" t="s">
        <v>62</v>
      </c>
      <c r="W4" s="3"/>
      <c r="X4" s="6" t="s">
        <v>5</v>
      </c>
      <c r="Y4" s="6" t="s">
        <v>63</v>
      </c>
      <c r="Z4" s="3"/>
    </row>
    <row r="5" ht="16.5" spans="1:26">
      <c r="A5" s="1"/>
      <c r="B5" s="1">
        <v>1</v>
      </c>
      <c r="C5" s="1">
        <v>10</v>
      </c>
      <c r="D5" s="4">
        <v>80</v>
      </c>
      <c r="E5" s="1">
        <v>0</v>
      </c>
      <c r="F5" s="1">
        <f>SUM($D$5:D5)</f>
        <v>80</v>
      </c>
      <c r="G5" s="1">
        <f>F5-SUM($E$5:E5)*10</f>
        <v>80</v>
      </c>
      <c r="H5" s="1"/>
      <c r="I5" s="1"/>
      <c r="J5" s="7">
        <v>1</v>
      </c>
      <c r="K5" s="8">
        <v>500</v>
      </c>
      <c r="L5" s="8">
        <v>25</v>
      </c>
      <c r="M5" s="9">
        <f>L5*10+K5</f>
        <v>750</v>
      </c>
      <c r="N5" s="9">
        <f>SUM($M$5:M5)</f>
        <v>750</v>
      </c>
      <c r="O5" s="2"/>
      <c r="P5" s="2" t="s">
        <v>64</v>
      </c>
      <c r="Q5" s="10">
        <v>240</v>
      </c>
      <c r="R5" s="2">
        <v>2400</v>
      </c>
      <c r="S5" s="3"/>
      <c r="T5" s="2">
        <v>1</v>
      </c>
      <c r="U5" s="2">
        <f>$R$21*T5+N5</f>
        <v>5850</v>
      </c>
      <c r="V5" s="1" cm="1">
        <f t="array" ref="V5">INDEX($B$5:$B$64,MATCH(U5,$G$5:$G$64,1))</f>
        <v>22</v>
      </c>
      <c r="W5" s="3"/>
      <c r="X5" s="1">
        <v>3</v>
      </c>
      <c r="Y5" s="1">
        <v>24</v>
      </c>
      <c r="Z5" s="3"/>
    </row>
    <row r="6" ht="16.5" spans="1:26">
      <c r="A6" s="1"/>
      <c r="B6" s="1">
        <v>2</v>
      </c>
      <c r="C6" s="1">
        <v>10</v>
      </c>
      <c r="D6" s="1">
        <f>C5+D5</f>
        <v>90</v>
      </c>
      <c r="E6" s="1">
        <v>5</v>
      </c>
      <c r="F6" s="1">
        <f>SUM($D$5:D6)</f>
        <v>170</v>
      </c>
      <c r="G6" s="1">
        <f>F6-SUM($E$5:E6)*10</f>
        <v>120</v>
      </c>
      <c r="H6" s="1"/>
      <c r="I6" s="1"/>
      <c r="J6" s="7">
        <v>2</v>
      </c>
      <c r="K6" s="8">
        <v>500</v>
      </c>
      <c r="L6" s="8">
        <v>25</v>
      </c>
      <c r="M6" s="9">
        <f t="shared" ref="M6:M37" si="0">L6*10+K6</f>
        <v>750</v>
      </c>
      <c r="N6" s="9">
        <f>SUM($M$5:M6)</f>
        <v>1500</v>
      </c>
      <c r="O6" s="2"/>
      <c r="P6" s="2" t="s">
        <v>65</v>
      </c>
      <c r="Q6" s="2">
        <v>0</v>
      </c>
      <c r="R6" s="10">
        <v>1500</v>
      </c>
      <c r="S6" s="3"/>
      <c r="T6" s="2">
        <v>2</v>
      </c>
      <c r="U6" s="2">
        <f t="shared" ref="U6:U37" si="1">$R$21*T6+N6</f>
        <v>11700</v>
      </c>
      <c r="V6" s="1" cm="1">
        <f t="array" ref="V6">INDEX($B$5:$B$64,MATCH(U6,$G$5:$G$64,1))</f>
        <v>26</v>
      </c>
      <c r="W6" s="3"/>
      <c r="X6" s="1">
        <v>4</v>
      </c>
      <c r="Y6" s="1">
        <v>28</v>
      </c>
      <c r="Z6" s="3"/>
    </row>
    <row r="7" ht="16.5" spans="1:26">
      <c r="A7" s="1"/>
      <c r="B7" s="1">
        <v>3</v>
      </c>
      <c r="C7" s="1">
        <v>10</v>
      </c>
      <c r="D7" s="1">
        <f t="shared" ref="D7:D38" si="2">C6+D6</f>
        <v>100</v>
      </c>
      <c r="E7" s="1">
        <v>5</v>
      </c>
      <c r="F7" s="1">
        <f>SUM($D$5:D7)</f>
        <v>270</v>
      </c>
      <c r="G7" s="1">
        <f>F7-SUM($E$5:E7)*10</f>
        <v>170</v>
      </c>
      <c r="H7" s="1"/>
      <c r="I7" s="1"/>
      <c r="J7" s="7">
        <v>3</v>
      </c>
      <c r="K7" s="8">
        <v>500</v>
      </c>
      <c r="L7" s="8">
        <v>25</v>
      </c>
      <c r="M7" s="9">
        <f t="shared" si="0"/>
        <v>750</v>
      </c>
      <c r="N7" s="9">
        <f>SUM($M$5:M7)</f>
        <v>2250</v>
      </c>
      <c r="O7" s="2"/>
      <c r="P7" s="2" t="s">
        <v>66</v>
      </c>
      <c r="Q7" s="10">
        <v>60</v>
      </c>
      <c r="R7" s="2">
        <v>600</v>
      </c>
      <c r="S7" s="3"/>
      <c r="T7" s="2">
        <v>3</v>
      </c>
      <c r="U7" s="2">
        <f t="shared" si="1"/>
        <v>17550</v>
      </c>
      <c r="V7" s="1" cm="1">
        <f t="array" ref="V7">INDEX($B$5:$B$64,MATCH(U7,$G$5:$G$64,1))</f>
        <v>30</v>
      </c>
      <c r="W7" s="3"/>
      <c r="X7" s="1">
        <v>5</v>
      </c>
      <c r="Y7" s="1">
        <v>31</v>
      </c>
      <c r="Z7" s="3"/>
    </row>
    <row r="8" ht="16.5" spans="1:26">
      <c r="A8" s="1"/>
      <c r="B8" s="1">
        <v>4</v>
      </c>
      <c r="C8" s="1">
        <v>10</v>
      </c>
      <c r="D8" s="1">
        <f t="shared" si="2"/>
        <v>110</v>
      </c>
      <c r="E8" s="1">
        <v>5</v>
      </c>
      <c r="F8" s="1">
        <f>SUM($D$5:D8)</f>
        <v>380</v>
      </c>
      <c r="G8" s="1">
        <f>F8-SUM($E$5:E8)*10</f>
        <v>230</v>
      </c>
      <c r="H8" s="1"/>
      <c r="I8" s="1"/>
      <c r="J8" s="7">
        <v>4</v>
      </c>
      <c r="K8" s="8">
        <v>650</v>
      </c>
      <c r="L8" s="8">
        <v>30</v>
      </c>
      <c r="M8" s="9">
        <f t="shared" si="0"/>
        <v>950</v>
      </c>
      <c r="N8" s="9">
        <f>SUM($M$5:M8)</f>
        <v>3200</v>
      </c>
      <c r="O8" s="2"/>
      <c r="P8" s="2" t="s">
        <v>67</v>
      </c>
      <c r="Q8" s="10">
        <v>60</v>
      </c>
      <c r="R8" s="2">
        <v>600</v>
      </c>
      <c r="S8" s="3"/>
      <c r="T8" s="2">
        <v>4</v>
      </c>
      <c r="U8" s="2">
        <f t="shared" si="1"/>
        <v>23600</v>
      </c>
      <c r="V8" s="1" cm="1">
        <f t="array" ref="V8">INDEX($B$5:$B$64,MATCH(U8,$G$5:$G$64,1))</f>
        <v>32</v>
      </c>
      <c r="W8" s="3"/>
      <c r="X8" s="1">
        <v>6</v>
      </c>
      <c r="Y8" s="1">
        <v>33</v>
      </c>
      <c r="Z8" s="3"/>
    </row>
    <row r="9" ht="16.5" spans="1:26">
      <c r="A9" s="1"/>
      <c r="B9" s="1">
        <v>5</v>
      </c>
      <c r="C9" s="1">
        <v>10</v>
      </c>
      <c r="D9" s="1">
        <f t="shared" si="2"/>
        <v>120</v>
      </c>
      <c r="E9" s="1">
        <v>5</v>
      </c>
      <c r="F9" s="1">
        <f>SUM($D$5:D9)</f>
        <v>500</v>
      </c>
      <c r="G9" s="1">
        <f>F9-SUM($E$5:E9)*10</f>
        <v>300</v>
      </c>
      <c r="H9" s="1"/>
      <c r="I9" s="1"/>
      <c r="J9" s="7">
        <v>5</v>
      </c>
      <c r="K9" s="8">
        <v>650</v>
      </c>
      <c r="L9" s="8">
        <v>30</v>
      </c>
      <c r="M9" s="9">
        <f t="shared" si="0"/>
        <v>950</v>
      </c>
      <c r="N9" s="9">
        <f>SUM($M$5:M9)</f>
        <v>4150</v>
      </c>
      <c r="O9" s="2"/>
      <c r="P9" s="2" t="s">
        <v>68</v>
      </c>
      <c r="Q9" s="10">
        <v>60</v>
      </c>
      <c r="R9" s="2">
        <v>600</v>
      </c>
      <c r="S9" s="3"/>
      <c r="T9" s="2">
        <v>5</v>
      </c>
      <c r="U9" s="2">
        <f t="shared" si="1"/>
        <v>29650</v>
      </c>
      <c r="V9" s="1" cm="1">
        <f t="array" ref="V9">INDEX($B$5:$B$64,MATCH(U9,$G$5:$G$64,1))</f>
        <v>34</v>
      </c>
      <c r="W9" s="3"/>
      <c r="X9" s="1">
        <v>7</v>
      </c>
      <c r="Y9" s="1">
        <v>35</v>
      </c>
      <c r="Z9" s="3"/>
    </row>
    <row r="10" ht="16.5" spans="1:26">
      <c r="A10" s="1"/>
      <c r="B10" s="1">
        <v>6</v>
      </c>
      <c r="C10" s="1">
        <v>10</v>
      </c>
      <c r="D10" s="1">
        <f t="shared" si="2"/>
        <v>130</v>
      </c>
      <c r="E10" s="1">
        <v>5</v>
      </c>
      <c r="F10" s="1">
        <f>SUM($D$5:D10)</f>
        <v>630</v>
      </c>
      <c r="G10" s="1">
        <f>F10-SUM($E$5:E10)*10</f>
        <v>380</v>
      </c>
      <c r="H10" s="1"/>
      <c r="I10" s="1"/>
      <c r="J10" s="7">
        <v>6</v>
      </c>
      <c r="K10" s="8">
        <v>650</v>
      </c>
      <c r="L10" s="8">
        <v>30</v>
      </c>
      <c r="M10" s="9">
        <f t="shared" si="0"/>
        <v>950</v>
      </c>
      <c r="N10" s="9">
        <f>SUM($M$5:M10)</f>
        <v>5100</v>
      </c>
      <c r="O10" s="2"/>
      <c r="P10" s="2" t="s">
        <v>69</v>
      </c>
      <c r="Q10" s="10">
        <v>60</v>
      </c>
      <c r="R10" s="2">
        <v>600</v>
      </c>
      <c r="S10" s="3"/>
      <c r="T10" s="2">
        <v>6</v>
      </c>
      <c r="U10" s="2">
        <f t="shared" si="1"/>
        <v>35700</v>
      </c>
      <c r="V10" s="1" cm="1">
        <f t="array" ref="V10">INDEX($B$5:$B$64,MATCH(U10,$G$5:$G$64,1))</f>
        <v>36</v>
      </c>
      <c r="W10" s="3"/>
      <c r="X10" s="1"/>
      <c r="Y10" s="3"/>
      <c r="Z10" s="3"/>
    </row>
    <row r="11" ht="16.5" spans="1:26">
      <c r="A11" s="1"/>
      <c r="B11" s="1">
        <v>7</v>
      </c>
      <c r="C11" s="1">
        <v>10</v>
      </c>
      <c r="D11" s="1">
        <f t="shared" si="2"/>
        <v>140</v>
      </c>
      <c r="E11" s="1">
        <v>5</v>
      </c>
      <c r="F11" s="1">
        <f>SUM($D$5:D11)</f>
        <v>770</v>
      </c>
      <c r="G11" s="1">
        <f>F11-SUM($E$5:E11)*10</f>
        <v>470</v>
      </c>
      <c r="H11" s="1"/>
      <c r="I11" s="1"/>
      <c r="J11" s="7">
        <v>7</v>
      </c>
      <c r="K11" s="8">
        <v>650</v>
      </c>
      <c r="L11" s="8">
        <v>30</v>
      </c>
      <c r="M11" s="9">
        <f t="shared" si="0"/>
        <v>950</v>
      </c>
      <c r="N11" s="9">
        <f>SUM($M$5:M11)</f>
        <v>6050</v>
      </c>
      <c r="O11" s="2"/>
      <c r="P11" s="2" t="s">
        <v>70</v>
      </c>
      <c r="Q11" s="10">
        <v>60</v>
      </c>
      <c r="R11" s="2">
        <v>600</v>
      </c>
      <c r="S11" s="3"/>
      <c r="T11" s="2">
        <v>7</v>
      </c>
      <c r="U11" s="2">
        <f t="shared" si="1"/>
        <v>41750</v>
      </c>
      <c r="V11" s="1" cm="1">
        <f t="array" ref="V11">INDEX($B$5:$B$64,MATCH(U11,$G$5:$G$64,1))</f>
        <v>38</v>
      </c>
      <c r="W11" s="3"/>
      <c r="X11" s="1"/>
      <c r="Y11" s="3"/>
      <c r="Z11" s="3"/>
    </row>
    <row r="12" ht="16.5" spans="1:26">
      <c r="A12" s="1"/>
      <c r="B12" s="1">
        <v>8</v>
      </c>
      <c r="C12" s="1">
        <v>10</v>
      </c>
      <c r="D12" s="1">
        <f t="shared" si="2"/>
        <v>150</v>
      </c>
      <c r="E12" s="1">
        <v>5</v>
      </c>
      <c r="F12" s="1">
        <f>SUM($D$5:D12)</f>
        <v>920</v>
      </c>
      <c r="G12" s="1">
        <f>F12-SUM($E$5:E12)*10</f>
        <v>570</v>
      </c>
      <c r="H12" s="1"/>
      <c r="I12" s="1"/>
      <c r="J12" s="7">
        <v>8</v>
      </c>
      <c r="K12" s="8">
        <v>850</v>
      </c>
      <c r="L12" s="8">
        <v>35</v>
      </c>
      <c r="M12" s="9">
        <f t="shared" si="0"/>
        <v>1200</v>
      </c>
      <c r="N12" s="9">
        <f>SUM($M$5:M12)</f>
        <v>7250</v>
      </c>
      <c r="O12" s="2"/>
      <c r="P12" s="2" t="s">
        <v>71</v>
      </c>
      <c r="Q12" s="10">
        <v>60</v>
      </c>
      <c r="R12" s="2">
        <v>600</v>
      </c>
      <c r="S12" s="3"/>
      <c r="T12" s="2">
        <v>8</v>
      </c>
      <c r="U12" s="2">
        <f t="shared" si="1"/>
        <v>48050</v>
      </c>
      <c r="V12" s="1" cm="1">
        <f t="array" ref="V12">INDEX($B$5:$B$64,MATCH(U12,$G$5:$G$64,1))</f>
        <v>39</v>
      </c>
      <c r="W12" s="3"/>
      <c r="X12" s="1"/>
      <c r="Y12" s="3"/>
      <c r="Z12" s="3"/>
    </row>
    <row r="13" ht="16.5" spans="1:26">
      <c r="A13" s="1"/>
      <c r="B13" s="1">
        <v>9</v>
      </c>
      <c r="C13" s="1">
        <v>10</v>
      </c>
      <c r="D13" s="1">
        <f t="shared" si="2"/>
        <v>160</v>
      </c>
      <c r="E13" s="1">
        <v>5</v>
      </c>
      <c r="F13" s="1">
        <f>SUM($D$5:D13)</f>
        <v>1080</v>
      </c>
      <c r="G13" s="1">
        <f>F13-SUM($E$5:E13)*10</f>
        <v>680</v>
      </c>
      <c r="H13" s="1"/>
      <c r="I13" s="1"/>
      <c r="J13" s="7">
        <v>9</v>
      </c>
      <c r="K13" s="8">
        <v>850</v>
      </c>
      <c r="L13" s="8">
        <v>35</v>
      </c>
      <c r="M13" s="9">
        <f t="shared" si="0"/>
        <v>1200</v>
      </c>
      <c r="N13" s="9">
        <f>SUM($M$5:M13)</f>
        <v>8450</v>
      </c>
      <c r="O13" s="2"/>
      <c r="P13" s="2" t="s">
        <v>72</v>
      </c>
      <c r="Q13" s="10">
        <v>60</v>
      </c>
      <c r="R13" s="2">
        <v>600</v>
      </c>
      <c r="S13" s="3"/>
      <c r="T13" s="2">
        <v>9</v>
      </c>
      <c r="U13" s="2">
        <f t="shared" si="1"/>
        <v>54350</v>
      </c>
      <c r="V13" s="1" cm="1">
        <f t="array" ref="V13">INDEX($B$5:$B$64,MATCH(U13,$G$5:$G$64,1))</f>
        <v>40</v>
      </c>
      <c r="W13" s="3"/>
      <c r="X13" s="1"/>
      <c r="Y13" s="3"/>
      <c r="Z13" s="3"/>
    </row>
    <row r="14" ht="16.5" spans="1:26">
      <c r="A14" s="1"/>
      <c r="B14" s="1">
        <v>10</v>
      </c>
      <c r="C14" s="1">
        <v>10</v>
      </c>
      <c r="D14" s="1">
        <f t="shared" si="2"/>
        <v>170</v>
      </c>
      <c r="E14" s="1">
        <v>5</v>
      </c>
      <c r="F14" s="1">
        <f>SUM($D$5:D14)</f>
        <v>1250</v>
      </c>
      <c r="G14" s="1">
        <f>F14-SUM($E$5:E14)*10</f>
        <v>800</v>
      </c>
      <c r="H14" s="1"/>
      <c r="I14" s="1"/>
      <c r="J14" s="7">
        <v>10</v>
      </c>
      <c r="K14" s="8">
        <v>850</v>
      </c>
      <c r="L14" s="8">
        <v>35</v>
      </c>
      <c r="M14" s="9">
        <f t="shared" si="0"/>
        <v>1200</v>
      </c>
      <c r="N14" s="9">
        <f>SUM($M$5:M14)</f>
        <v>9650</v>
      </c>
      <c r="O14" s="2"/>
      <c r="P14" s="2" t="s">
        <v>73</v>
      </c>
      <c r="Q14" s="10">
        <v>60</v>
      </c>
      <c r="R14" s="2">
        <v>600</v>
      </c>
      <c r="S14" s="3"/>
      <c r="T14" s="2">
        <v>10</v>
      </c>
      <c r="U14" s="2">
        <f t="shared" si="1"/>
        <v>60650</v>
      </c>
      <c r="V14" s="1" cm="1">
        <f t="array" ref="V14">INDEX($B$5:$B$64,MATCH(U14,$G$5:$G$64,1))</f>
        <v>42</v>
      </c>
      <c r="W14" s="3"/>
      <c r="X14" s="1"/>
      <c r="Y14" s="3"/>
      <c r="Z14" s="3"/>
    </row>
    <row r="15" ht="16.5" spans="1:26">
      <c r="A15" s="1"/>
      <c r="B15" s="1">
        <v>11</v>
      </c>
      <c r="C15" s="1">
        <v>30</v>
      </c>
      <c r="D15" s="1">
        <f t="shared" si="2"/>
        <v>180</v>
      </c>
      <c r="E15" s="1">
        <v>10</v>
      </c>
      <c r="F15" s="1">
        <f>SUM($D$5:D15)</f>
        <v>1430</v>
      </c>
      <c r="G15" s="1">
        <f>F15-SUM($E$5:E15)*10</f>
        <v>880</v>
      </c>
      <c r="H15" s="1"/>
      <c r="I15" s="1"/>
      <c r="J15" s="7">
        <v>11</v>
      </c>
      <c r="K15" s="8">
        <v>850</v>
      </c>
      <c r="L15" s="8">
        <v>35</v>
      </c>
      <c r="M15" s="9">
        <f t="shared" si="0"/>
        <v>1200</v>
      </c>
      <c r="N15" s="9">
        <f>SUM($M$5:M15)</f>
        <v>10850</v>
      </c>
      <c r="O15" s="2"/>
      <c r="P15" s="2"/>
      <c r="Q15" s="2"/>
      <c r="R15" s="2"/>
      <c r="S15" s="3"/>
      <c r="T15" s="2">
        <v>11</v>
      </c>
      <c r="U15" s="2">
        <f t="shared" si="1"/>
        <v>66950</v>
      </c>
      <c r="V15" s="1" cm="1">
        <f t="array" ref="V15">INDEX($B$5:$B$64,MATCH(U15,$G$5:$G$64,1))</f>
        <v>43</v>
      </c>
      <c r="W15" s="3"/>
      <c r="X15" s="1"/>
      <c r="Y15" s="3"/>
      <c r="Z15" s="3"/>
    </row>
    <row r="16" ht="16.5" spans="1:26">
      <c r="A16" s="1"/>
      <c r="B16" s="1">
        <v>12</v>
      </c>
      <c r="C16" s="1">
        <v>30</v>
      </c>
      <c r="D16" s="1">
        <f t="shared" si="2"/>
        <v>210</v>
      </c>
      <c r="E16" s="1">
        <v>10</v>
      </c>
      <c r="F16" s="1">
        <f>SUM($D$5:D16)</f>
        <v>1640</v>
      </c>
      <c r="G16" s="1">
        <f>F16-SUM($E$5:E16)*10</f>
        <v>990</v>
      </c>
      <c r="H16" s="1"/>
      <c r="I16" s="1"/>
      <c r="J16" s="7">
        <v>12</v>
      </c>
      <c r="K16" s="8">
        <v>850</v>
      </c>
      <c r="L16" s="8">
        <v>35</v>
      </c>
      <c r="M16" s="9">
        <f t="shared" si="0"/>
        <v>1200</v>
      </c>
      <c r="N16" s="9">
        <f>SUM($M$5:M16)</f>
        <v>12050</v>
      </c>
      <c r="O16" s="2"/>
      <c r="P16" s="2" t="s">
        <v>74</v>
      </c>
      <c r="Q16" s="10">
        <v>60</v>
      </c>
      <c r="R16" s="2">
        <v>600</v>
      </c>
      <c r="S16" s="1"/>
      <c r="T16" s="2">
        <v>12</v>
      </c>
      <c r="U16" s="2">
        <f t="shared" si="1"/>
        <v>73250</v>
      </c>
      <c r="V16" s="1" cm="1">
        <f t="array" ref="V16">INDEX($B$5:$B$64,MATCH(U16,$G$5:$G$64,1))</f>
        <v>43</v>
      </c>
      <c r="W16" s="3"/>
      <c r="X16" s="1"/>
      <c r="Y16" s="3"/>
      <c r="Z16" s="3"/>
    </row>
    <row r="17" ht="16.5" spans="1:26">
      <c r="A17" s="1"/>
      <c r="B17" s="1">
        <v>13</v>
      </c>
      <c r="C17" s="1">
        <v>30</v>
      </c>
      <c r="D17" s="1">
        <f t="shared" si="2"/>
        <v>240</v>
      </c>
      <c r="E17" s="1">
        <v>10</v>
      </c>
      <c r="F17" s="1">
        <f>SUM($D$5:D17)</f>
        <v>1880</v>
      </c>
      <c r="G17" s="1">
        <f>F17-SUM($E$5:E17)*10</f>
        <v>1130</v>
      </c>
      <c r="H17" s="1"/>
      <c r="I17" s="1"/>
      <c r="J17" s="7">
        <v>13</v>
      </c>
      <c r="K17" s="8">
        <v>850</v>
      </c>
      <c r="L17" s="8">
        <v>35</v>
      </c>
      <c r="M17" s="9">
        <f t="shared" si="0"/>
        <v>1200</v>
      </c>
      <c r="N17" s="9">
        <f>SUM($M$5:M17)</f>
        <v>13250</v>
      </c>
      <c r="O17" s="2"/>
      <c r="P17" s="2" t="s">
        <v>19</v>
      </c>
      <c r="S17" s="3"/>
      <c r="T17" s="2">
        <v>13</v>
      </c>
      <c r="U17" s="2">
        <f t="shared" si="1"/>
        <v>79550</v>
      </c>
      <c r="V17" s="1" cm="1">
        <f t="array" ref="V17">INDEX($B$5:$B$64,MATCH(U17,$G$5:$G$64,1))</f>
        <v>44</v>
      </c>
      <c r="W17" s="3"/>
      <c r="X17" s="1"/>
      <c r="Y17" s="3"/>
      <c r="Z17" s="3"/>
    </row>
    <row r="18" ht="16.5" spans="1:26">
      <c r="A18" s="1"/>
      <c r="B18" s="1">
        <v>14</v>
      </c>
      <c r="C18" s="1">
        <v>30</v>
      </c>
      <c r="D18" s="1">
        <f t="shared" si="2"/>
        <v>270</v>
      </c>
      <c r="E18" s="1">
        <v>10</v>
      </c>
      <c r="F18" s="1">
        <f>SUM($D$5:D18)</f>
        <v>2150</v>
      </c>
      <c r="G18" s="1">
        <f>F18-SUM($E$5:E18)*10</f>
        <v>1300</v>
      </c>
      <c r="H18" s="1"/>
      <c r="I18" s="1"/>
      <c r="J18" s="7">
        <v>14</v>
      </c>
      <c r="K18" s="8">
        <v>1100</v>
      </c>
      <c r="L18" s="8">
        <v>40</v>
      </c>
      <c r="M18" s="9">
        <f t="shared" si="0"/>
        <v>1500</v>
      </c>
      <c r="N18" s="9">
        <f>SUM($M$5:M18)</f>
        <v>14750</v>
      </c>
      <c r="O18" s="2"/>
      <c r="P18" s="2"/>
      <c r="S18" s="1"/>
      <c r="T18" s="2">
        <v>14</v>
      </c>
      <c r="U18" s="2">
        <f t="shared" si="1"/>
        <v>86150</v>
      </c>
      <c r="V18" s="1" cm="1">
        <f t="array" ref="V18">INDEX($B$5:$B$64,MATCH(U18,$G$5:$G$64,1))</f>
        <v>45</v>
      </c>
      <c r="W18" s="3"/>
      <c r="X18" s="1"/>
      <c r="Y18" s="3"/>
      <c r="Z18" s="3"/>
    </row>
    <row r="19" ht="16.5" spans="1:26">
      <c r="A19" s="1"/>
      <c r="B19" s="1">
        <v>15</v>
      </c>
      <c r="C19" s="1">
        <v>30</v>
      </c>
      <c r="D19" s="1">
        <f t="shared" si="2"/>
        <v>300</v>
      </c>
      <c r="E19" s="1">
        <v>10</v>
      </c>
      <c r="F19" s="1">
        <f>SUM($D$5:D19)</f>
        <v>2450</v>
      </c>
      <c r="G19" s="1">
        <f>F19-SUM($E$5:E19)*10</f>
        <v>1500</v>
      </c>
      <c r="H19" s="1"/>
      <c r="I19" s="1"/>
      <c r="J19" s="7">
        <v>15</v>
      </c>
      <c r="K19" s="8">
        <v>1100</v>
      </c>
      <c r="L19" s="8">
        <v>40</v>
      </c>
      <c r="M19" s="9">
        <f t="shared" si="0"/>
        <v>1500</v>
      </c>
      <c r="N19" s="9">
        <f>SUM($M$5:M19)</f>
        <v>16250</v>
      </c>
      <c r="O19" s="2"/>
      <c r="P19" s="2"/>
      <c r="Q19" s="2"/>
      <c r="R19" s="2"/>
      <c r="S19" s="2"/>
      <c r="T19" s="2">
        <v>15</v>
      </c>
      <c r="U19" s="2">
        <f t="shared" si="1"/>
        <v>92750</v>
      </c>
      <c r="V19" s="1" cm="1">
        <f t="array" ref="V19">INDEX($B$5:$B$64,MATCH(U19,$G$5:$G$64,1))</f>
        <v>46</v>
      </c>
      <c r="W19" s="2"/>
      <c r="X19" s="1"/>
      <c r="Y19" s="3"/>
      <c r="Z19" s="3"/>
    </row>
    <row r="20" ht="16.5" spans="1:26">
      <c r="A20" s="1"/>
      <c r="B20" s="1">
        <v>16</v>
      </c>
      <c r="C20" s="1">
        <v>50</v>
      </c>
      <c r="D20" s="1">
        <f t="shared" si="2"/>
        <v>330</v>
      </c>
      <c r="E20" s="1">
        <v>10</v>
      </c>
      <c r="F20" s="1">
        <f>SUM($D$5:D20)</f>
        <v>2780</v>
      </c>
      <c r="G20" s="1">
        <f>F20-SUM($E$5:E20)*10</f>
        <v>1730</v>
      </c>
      <c r="H20" s="1"/>
      <c r="I20" s="1"/>
      <c r="J20" s="7">
        <v>16</v>
      </c>
      <c r="K20" s="8">
        <v>1100</v>
      </c>
      <c r="L20" s="8">
        <v>40</v>
      </c>
      <c r="M20" s="9">
        <f t="shared" si="0"/>
        <v>1500</v>
      </c>
      <c r="N20" s="9">
        <f>SUM($M$5:M20)</f>
        <v>17750</v>
      </c>
      <c r="O20" s="2"/>
      <c r="P20" s="2"/>
      <c r="Q20" s="2"/>
      <c r="R20" s="2"/>
      <c r="S20" s="2"/>
      <c r="T20" s="2">
        <v>16</v>
      </c>
      <c r="U20" s="2">
        <f t="shared" si="1"/>
        <v>99350</v>
      </c>
      <c r="V20" s="1" cm="1">
        <f t="array" ref="V20">INDEX($B$5:$B$64,MATCH(U20,$G$5:$G$64,1))</f>
        <v>47</v>
      </c>
      <c r="W20" s="2"/>
      <c r="X20" s="1"/>
      <c r="Y20" s="3"/>
      <c r="Z20" s="3"/>
    </row>
    <row r="21" ht="16.5" spans="1:26">
      <c r="A21" s="1"/>
      <c r="B21" s="1">
        <v>17</v>
      </c>
      <c r="C21" s="1">
        <v>50</v>
      </c>
      <c r="D21" s="1">
        <f t="shared" si="2"/>
        <v>380</v>
      </c>
      <c r="E21" s="1">
        <v>10</v>
      </c>
      <c r="F21" s="1">
        <f>SUM($D$5:D21)</f>
        <v>3160</v>
      </c>
      <c r="G21" s="1">
        <f>F21-SUM($E$5:E21)*10</f>
        <v>2010</v>
      </c>
      <c r="H21" s="1"/>
      <c r="I21" s="1"/>
      <c r="J21" s="7">
        <v>17</v>
      </c>
      <c r="K21" s="8">
        <v>1100</v>
      </c>
      <c r="L21" s="8">
        <v>40</v>
      </c>
      <c r="M21" s="9">
        <f t="shared" si="0"/>
        <v>1500</v>
      </c>
      <c r="N21" s="9">
        <f>SUM($M$5:M21)</f>
        <v>19250</v>
      </c>
      <c r="O21" s="2"/>
      <c r="P21" s="2"/>
      <c r="Q21" s="2" t="s">
        <v>75</v>
      </c>
      <c r="R21" s="2">
        <f>SUM(R5:R7)+R16</f>
        <v>5100</v>
      </c>
      <c r="S21" s="2"/>
      <c r="T21" s="2">
        <v>17</v>
      </c>
      <c r="U21" s="2">
        <f t="shared" si="1"/>
        <v>105950</v>
      </c>
      <c r="V21" s="1" cm="1">
        <f t="array" ref="V21">INDEX($B$5:$B$64,MATCH(U21,$G$5:$G$64,1))</f>
        <v>47</v>
      </c>
      <c r="W21" s="2"/>
      <c r="X21" s="1"/>
      <c r="Y21" s="3"/>
      <c r="Z21" s="3"/>
    </row>
    <row r="22" ht="16.5" spans="1:26">
      <c r="A22" s="1"/>
      <c r="B22" s="1">
        <v>18</v>
      </c>
      <c r="C22" s="1">
        <v>50</v>
      </c>
      <c r="D22" s="1">
        <f t="shared" si="2"/>
        <v>430</v>
      </c>
      <c r="E22" s="1">
        <v>10</v>
      </c>
      <c r="F22" s="1">
        <f>SUM($D$5:D22)</f>
        <v>3590</v>
      </c>
      <c r="G22" s="1">
        <f>F22-SUM($E$5:E22)*10</f>
        <v>2340</v>
      </c>
      <c r="H22" s="1"/>
      <c r="I22" s="1"/>
      <c r="J22" s="7">
        <v>18</v>
      </c>
      <c r="K22" s="8">
        <v>1100</v>
      </c>
      <c r="L22" s="8">
        <v>40</v>
      </c>
      <c r="M22" s="9">
        <f t="shared" si="0"/>
        <v>1500</v>
      </c>
      <c r="N22" s="9">
        <f>SUM($M$5:M22)</f>
        <v>20750</v>
      </c>
      <c r="O22" s="2"/>
      <c r="P22" s="2"/>
      <c r="Q22" s="2" t="s">
        <v>76</v>
      </c>
      <c r="R22" s="2">
        <v>5700</v>
      </c>
      <c r="S22" s="2"/>
      <c r="T22" s="2">
        <v>18</v>
      </c>
      <c r="U22" s="2">
        <f t="shared" si="1"/>
        <v>112550</v>
      </c>
      <c r="V22" s="1" cm="1">
        <f t="array" ref="V22">INDEX($B$5:$B$64,MATCH(U22,$G$5:$G$64,1))</f>
        <v>48</v>
      </c>
      <c r="W22" s="2"/>
      <c r="X22" s="1"/>
      <c r="Y22" s="3"/>
      <c r="Z22" s="3"/>
    </row>
    <row r="23" ht="16.5" spans="1:26">
      <c r="A23" s="1"/>
      <c r="B23" s="1">
        <v>19</v>
      </c>
      <c r="C23" s="1">
        <v>50</v>
      </c>
      <c r="D23" s="1">
        <f t="shared" si="2"/>
        <v>480</v>
      </c>
      <c r="E23" s="1">
        <v>10</v>
      </c>
      <c r="F23" s="1">
        <f>SUM($D$5:D23)</f>
        <v>4070</v>
      </c>
      <c r="G23" s="1">
        <f>F23-SUM($E$5:E23)*10</f>
        <v>2720</v>
      </c>
      <c r="H23" s="1"/>
      <c r="I23" s="1"/>
      <c r="J23" s="7">
        <v>19</v>
      </c>
      <c r="K23" s="8">
        <v>1100</v>
      </c>
      <c r="L23" s="8">
        <v>40</v>
      </c>
      <c r="M23" s="9">
        <f t="shared" si="0"/>
        <v>1500</v>
      </c>
      <c r="N23" s="9">
        <f>SUM($M$5:M23)</f>
        <v>22250</v>
      </c>
      <c r="O23" s="2"/>
      <c r="P23" s="2"/>
      <c r="Q23" s="2" t="s">
        <v>77</v>
      </c>
      <c r="R23" s="2">
        <v>8700</v>
      </c>
      <c r="S23" s="2"/>
      <c r="T23" s="2">
        <v>19</v>
      </c>
      <c r="U23" s="2">
        <f t="shared" si="1"/>
        <v>119150</v>
      </c>
      <c r="V23" s="1" cm="1">
        <f t="array" ref="V23">INDEX($B$5:$B$64,MATCH(U23,$G$5:$G$64,1))</f>
        <v>49</v>
      </c>
      <c r="W23" s="2"/>
      <c r="X23" s="1"/>
      <c r="Y23" s="3"/>
      <c r="Z23" s="3"/>
    </row>
    <row r="24" ht="16.5" spans="1:26">
      <c r="A24" s="1"/>
      <c r="B24" s="1">
        <v>20</v>
      </c>
      <c r="C24" s="1">
        <v>600</v>
      </c>
      <c r="D24" s="1">
        <f t="shared" si="2"/>
        <v>530</v>
      </c>
      <c r="E24" s="1">
        <v>10</v>
      </c>
      <c r="F24" s="1">
        <f>SUM($D$5:D24)</f>
        <v>4600</v>
      </c>
      <c r="G24" s="1">
        <f>F24-SUM($E$5:E24)*10</f>
        <v>3150</v>
      </c>
      <c r="H24" s="1"/>
      <c r="I24" s="1"/>
      <c r="J24" s="7">
        <v>20</v>
      </c>
      <c r="K24" s="8">
        <v>1100</v>
      </c>
      <c r="L24" s="8">
        <v>40</v>
      </c>
      <c r="M24" s="9">
        <f t="shared" si="0"/>
        <v>1500</v>
      </c>
      <c r="N24" s="9">
        <f>SUM($M$5:M24)</f>
        <v>23750</v>
      </c>
      <c r="O24" s="2"/>
      <c r="P24" s="2"/>
      <c r="Q24" s="2"/>
      <c r="R24" s="2"/>
      <c r="S24" s="2"/>
      <c r="T24" s="2">
        <v>20</v>
      </c>
      <c r="U24" s="2">
        <f t="shared" si="1"/>
        <v>125750</v>
      </c>
      <c r="V24" s="1" cm="1">
        <f t="array" ref="V24">INDEX($B$5:$B$64,MATCH(U24,$G$5:$G$64,1))</f>
        <v>49</v>
      </c>
      <c r="W24" s="2"/>
      <c r="X24" s="1"/>
      <c r="Y24" s="3"/>
      <c r="Z24" s="3"/>
    </row>
    <row r="25" ht="16.5" spans="1:26">
      <c r="A25" s="1"/>
      <c r="B25" s="1">
        <v>21</v>
      </c>
      <c r="C25" s="1">
        <v>100</v>
      </c>
      <c r="D25" s="1">
        <f t="shared" si="2"/>
        <v>1130</v>
      </c>
      <c r="E25" s="1">
        <v>15</v>
      </c>
      <c r="F25" s="1">
        <f>SUM($D$5:D25)</f>
        <v>5730</v>
      </c>
      <c r="G25" s="1">
        <f>F25-SUM($E$5:E25)*10</f>
        <v>4130</v>
      </c>
      <c r="H25" s="1"/>
      <c r="I25" s="1"/>
      <c r="J25" s="7">
        <v>21</v>
      </c>
      <c r="K25" s="8">
        <v>1100</v>
      </c>
      <c r="L25" s="8">
        <v>40</v>
      </c>
      <c r="M25" s="9">
        <f t="shared" si="0"/>
        <v>1500</v>
      </c>
      <c r="N25" s="9">
        <f>SUM($M$5:M25)</f>
        <v>25250</v>
      </c>
      <c r="O25" s="2"/>
      <c r="P25" s="2"/>
      <c r="Q25" s="2"/>
      <c r="R25" s="2"/>
      <c r="S25" s="2"/>
      <c r="T25" s="2">
        <v>21</v>
      </c>
      <c r="U25" s="2">
        <f t="shared" si="1"/>
        <v>132350</v>
      </c>
      <c r="V25" s="1" cm="1">
        <f t="array" ref="V25">INDEX($B$5:$B$64,MATCH(U25,$G$5:$G$64,1))</f>
        <v>50</v>
      </c>
      <c r="W25" s="2"/>
      <c r="X25" s="1"/>
      <c r="Y25" s="3"/>
      <c r="Z25" s="3"/>
    </row>
    <row r="26" ht="16.5" spans="1:26">
      <c r="A26" s="1"/>
      <c r="B26" s="1">
        <v>22</v>
      </c>
      <c r="C26" s="1">
        <v>100</v>
      </c>
      <c r="D26" s="1">
        <f t="shared" si="2"/>
        <v>1230</v>
      </c>
      <c r="E26" s="1">
        <v>15</v>
      </c>
      <c r="F26" s="1">
        <f>SUM($D$5:D26)</f>
        <v>6960</v>
      </c>
      <c r="G26" s="1">
        <f>F26-SUM($E$5:E26)*10</f>
        <v>5210</v>
      </c>
      <c r="H26" s="1"/>
      <c r="I26" s="1"/>
      <c r="J26" s="7">
        <v>22</v>
      </c>
      <c r="K26" s="8">
        <v>1400</v>
      </c>
      <c r="L26" s="8">
        <v>45</v>
      </c>
      <c r="M26" s="9">
        <f t="shared" si="0"/>
        <v>1850</v>
      </c>
      <c r="N26" s="9">
        <f>SUM($M$5:M26)</f>
        <v>27100</v>
      </c>
      <c r="O26" s="2"/>
      <c r="P26" s="2"/>
      <c r="Q26" s="2"/>
      <c r="R26" s="2"/>
      <c r="S26" s="2"/>
      <c r="T26" s="2">
        <v>22</v>
      </c>
      <c r="U26" s="2">
        <f t="shared" si="1"/>
        <v>139300</v>
      </c>
      <c r="V26" s="1" cm="1">
        <f t="array" ref="V26">INDEX($B$5:$B$64,MATCH(U26,$G$5:$G$64,1))</f>
        <v>50</v>
      </c>
      <c r="W26" s="2"/>
      <c r="X26" s="1"/>
      <c r="Y26" s="3"/>
      <c r="Z26" s="3"/>
    </row>
    <row r="27" ht="16.5" spans="1:26">
      <c r="A27" s="1"/>
      <c r="B27" s="1">
        <v>23</v>
      </c>
      <c r="C27" s="1">
        <v>100</v>
      </c>
      <c r="D27" s="1">
        <f t="shared" si="2"/>
        <v>1330</v>
      </c>
      <c r="E27" s="1">
        <v>15</v>
      </c>
      <c r="F27" s="1">
        <f>SUM($D$5:D27)</f>
        <v>8290</v>
      </c>
      <c r="G27" s="1">
        <f>F27-SUM($E$5:E27)*10</f>
        <v>6390</v>
      </c>
      <c r="H27" s="1"/>
      <c r="I27" s="1"/>
      <c r="J27" s="7">
        <v>23</v>
      </c>
      <c r="K27" s="8">
        <v>1400</v>
      </c>
      <c r="L27" s="8">
        <v>45</v>
      </c>
      <c r="M27" s="9">
        <f t="shared" si="0"/>
        <v>1850</v>
      </c>
      <c r="N27" s="9">
        <f>SUM($M$5:M27)</f>
        <v>28950</v>
      </c>
      <c r="O27" s="2"/>
      <c r="P27" s="2"/>
      <c r="Q27" s="2"/>
      <c r="R27" s="2"/>
      <c r="S27" s="2"/>
      <c r="T27" s="2">
        <v>23</v>
      </c>
      <c r="U27" s="2">
        <f t="shared" si="1"/>
        <v>146250</v>
      </c>
      <c r="V27" s="1" cm="1">
        <f t="array" ref="V27">INDEX($B$5:$B$64,MATCH(U27,$G$5:$G$64,1))</f>
        <v>51</v>
      </c>
      <c r="W27" s="2"/>
      <c r="X27" s="1"/>
      <c r="Y27" s="3"/>
      <c r="Z27" s="3"/>
    </row>
    <row r="28" ht="16.5" spans="1:26">
      <c r="A28" s="1"/>
      <c r="B28" s="1">
        <v>24</v>
      </c>
      <c r="C28" s="1">
        <v>100</v>
      </c>
      <c r="D28" s="1">
        <f t="shared" si="2"/>
        <v>1430</v>
      </c>
      <c r="E28" s="1">
        <v>15</v>
      </c>
      <c r="F28" s="1">
        <f>SUM($D$5:D28)</f>
        <v>9720</v>
      </c>
      <c r="G28" s="1">
        <f>F28-SUM($E$5:E28)*10</f>
        <v>7670</v>
      </c>
      <c r="H28" s="1"/>
      <c r="I28" s="1"/>
      <c r="J28" s="7">
        <v>24</v>
      </c>
      <c r="K28" s="8">
        <v>1400</v>
      </c>
      <c r="L28" s="8">
        <v>45</v>
      </c>
      <c r="M28" s="9">
        <f t="shared" si="0"/>
        <v>1850</v>
      </c>
      <c r="N28" s="9">
        <f>SUM($M$5:M28)</f>
        <v>30800</v>
      </c>
      <c r="O28" s="2"/>
      <c r="P28" s="2"/>
      <c r="Q28" s="2"/>
      <c r="R28" s="2"/>
      <c r="S28" s="2"/>
      <c r="T28" s="2">
        <v>24</v>
      </c>
      <c r="U28" s="2">
        <f t="shared" si="1"/>
        <v>153200</v>
      </c>
      <c r="V28" s="1" cm="1">
        <f t="array" ref="V28">INDEX($B$5:$B$64,MATCH(U28,$G$5:$G$64,1))</f>
        <v>51</v>
      </c>
      <c r="W28" s="2"/>
      <c r="X28" s="1"/>
      <c r="Y28" s="3"/>
      <c r="Z28" s="3"/>
    </row>
    <row r="29" ht="16.5" spans="1:26">
      <c r="A29" s="1"/>
      <c r="B29" s="1">
        <v>25</v>
      </c>
      <c r="C29" s="1">
        <v>100</v>
      </c>
      <c r="D29" s="1">
        <f t="shared" si="2"/>
        <v>1530</v>
      </c>
      <c r="E29" s="1">
        <v>15</v>
      </c>
      <c r="F29" s="1">
        <f>SUM($D$5:D29)</f>
        <v>11250</v>
      </c>
      <c r="G29" s="1">
        <f>F29-SUM($E$5:E29)*10</f>
        <v>9050</v>
      </c>
      <c r="H29" s="1"/>
      <c r="I29" s="1"/>
      <c r="J29" s="7">
        <v>25</v>
      </c>
      <c r="K29" s="8">
        <v>1400</v>
      </c>
      <c r="L29" s="8">
        <v>45</v>
      </c>
      <c r="M29" s="9">
        <f t="shared" si="0"/>
        <v>1850</v>
      </c>
      <c r="N29" s="9">
        <f>SUM($M$5:M29)</f>
        <v>32650</v>
      </c>
      <c r="O29" s="2"/>
      <c r="P29" s="2"/>
      <c r="Q29" s="2"/>
      <c r="R29" s="2"/>
      <c r="S29" s="2"/>
      <c r="T29" s="2">
        <v>25</v>
      </c>
      <c r="U29" s="2">
        <f t="shared" si="1"/>
        <v>160150</v>
      </c>
      <c r="V29" s="1" cm="1">
        <f t="array" ref="V29">INDEX($B$5:$B$64,MATCH(U29,$G$5:$G$64,1))</f>
        <v>52</v>
      </c>
      <c r="W29" s="2"/>
      <c r="X29" s="1"/>
      <c r="Y29" s="3"/>
      <c r="Z29" s="3"/>
    </row>
    <row r="30" ht="16.5" spans="1:26">
      <c r="A30" s="1"/>
      <c r="B30" s="1">
        <v>26</v>
      </c>
      <c r="C30" s="1">
        <v>100</v>
      </c>
      <c r="D30" s="1">
        <f t="shared" si="2"/>
        <v>1630</v>
      </c>
      <c r="E30" s="1">
        <v>15</v>
      </c>
      <c r="F30" s="1">
        <f>SUM($D$5:D30)</f>
        <v>12880</v>
      </c>
      <c r="G30" s="1">
        <f>F30-SUM($E$5:E30)*10</f>
        <v>10530</v>
      </c>
      <c r="H30" s="1"/>
      <c r="I30" s="1"/>
      <c r="J30" s="7">
        <v>26</v>
      </c>
      <c r="K30" s="8">
        <v>1400</v>
      </c>
      <c r="L30" s="8">
        <v>45</v>
      </c>
      <c r="M30" s="9">
        <f t="shared" si="0"/>
        <v>1850</v>
      </c>
      <c r="N30" s="9">
        <f>SUM($M$5:M30)</f>
        <v>34500</v>
      </c>
      <c r="O30" s="2"/>
      <c r="P30" s="2"/>
      <c r="Q30" s="2"/>
      <c r="R30" s="2"/>
      <c r="S30" s="2"/>
      <c r="T30" s="2">
        <v>26</v>
      </c>
      <c r="U30" s="2">
        <f t="shared" si="1"/>
        <v>167100</v>
      </c>
      <c r="V30" s="1" cm="1">
        <f t="array" ref="V30">INDEX($B$5:$B$64,MATCH(U30,$G$5:$G$64,1))</f>
        <v>52</v>
      </c>
      <c r="W30" s="2"/>
      <c r="X30" s="1"/>
      <c r="Y30" s="3"/>
      <c r="Z30" s="3"/>
    </row>
    <row r="31" ht="16.5" spans="1:26">
      <c r="A31" s="1"/>
      <c r="B31" s="1">
        <v>27</v>
      </c>
      <c r="C31" s="1">
        <v>100</v>
      </c>
      <c r="D31" s="1">
        <f t="shared" si="2"/>
        <v>1730</v>
      </c>
      <c r="E31" s="1">
        <v>15</v>
      </c>
      <c r="F31" s="1">
        <f>SUM($D$5:D31)</f>
        <v>14610</v>
      </c>
      <c r="G31" s="1">
        <f>F31-SUM($E$5:E31)*10</f>
        <v>12110</v>
      </c>
      <c r="H31" s="1"/>
      <c r="I31" s="1"/>
      <c r="J31" s="7">
        <v>27</v>
      </c>
      <c r="K31" s="8">
        <v>1400</v>
      </c>
      <c r="L31" s="8">
        <v>45</v>
      </c>
      <c r="M31" s="9">
        <f t="shared" si="0"/>
        <v>1850</v>
      </c>
      <c r="N31" s="9">
        <f>SUM($M$5:M31)</f>
        <v>36350</v>
      </c>
      <c r="O31" s="2"/>
      <c r="P31" s="2"/>
      <c r="Q31" s="2"/>
      <c r="R31" s="2"/>
      <c r="S31" s="2"/>
      <c r="T31" s="2">
        <v>27</v>
      </c>
      <c r="U31" s="2">
        <f t="shared" si="1"/>
        <v>174050</v>
      </c>
      <c r="V31" s="1" cm="1">
        <f t="array" ref="V31">INDEX($B$5:$B$64,MATCH(U31,$G$5:$G$64,1))</f>
        <v>52</v>
      </c>
      <c r="W31" s="2"/>
      <c r="X31" s="1"/>
      <c r="Y31" s="3"/>
      <c r="Z31" s="3"/>
    </row>
    <row r="32" ht="16.5" spans="1:26">
      <c r="A32" s="1"/>
      <c r="B32" s="1">
        <v>28</v>
      </c>
      <c r="C32" s="1">
        <v>100</v>
      </c>
      <c r="D32" s="1">
        <f t="shared" si="2"/>
        <v>1830</v>
      </c>
      <c r="E32" s="1">
        <v>15</v>
      </c>
      <c r="F32" s="1">
        <f>SUM($D$5:D32)</f>
        <v>16440</v>
      </c>
      <c r="G32" s="1">
        <f>F32-SUM($E$5:E32)*10</f>
        <v>13790</v>
      </c>
      <c r="H32" s="1"/>
      <c r="I32" s="1"/>
      <c r="J32" s="7">
        <v>28</v>
      </c>
      <c r="K32" s="8">
        <v>1400</v>
      </c>
      <c r="L32" s="8">
        <v>45</v>
      </c>
      <c r="M32" s="9">
        <f t="shared" si="0"/>
        <v>1850</v>
      </c>
      <c r="N32" s="9">
        <f>SUM($M$5:M32)</f>
        <v>38200</v>
      </c>
      <c r="O32" s="2"/>
      <c r="P32" s="2"/>
      <c r="Q32" s="2"/>
      <c r="R32" s="2"/>
      <c r="S32" s="2"/>
      <c r="T32" s="2">
        <v>28</v>
      </c>
      <c r="U32" s="2">
        <f t="shared" si="1"/>
        <v>181000</v>
      </c>
      <c r="V32" s="1" cm="1">
        <f t="array" ref="V32">INDEX($B$5:$B$64,MATCH(U32,$G$5:$G$64,1))</f>
        <v>53</v>
      </c>
      <c r="W32" s="2"/>
      <c r="X32" s="1"/>
      <c r="Y32" s="3"/>
      <c r="Z32" s="3"/>
    </row>
    <row r="33" ht="16.5" spans="1:26">
      <c r="A33" s="1"/>
      <c r="B33" s="1">
        <v>29</v>
      </c>
      <c r="C33" s="1">
        <v>100</v>
      </c>
      <c r="D33" s="1">
        <f t="shared" si="2"/>
        <v>1930</v>
      </c>
      <c r="E33" s="1">
        <v>15</v>
      </c>
      <c r="F33" s="1">
        <f>SUM($D$5:D33)</f>
        <v>18370</v>
      </c>
      <c r="G33" s="1">
        <f>F33-SUM($E$5:E33)*10</f>
        <v>15570</v>
      </c>
      <c r="H33" s="1"/>
      <c r="I33" s="1"/>
      <c r="J33" s="7">
        <v>29</v>
      </c>
      <c r="K33" s="8">
        <v>1400</v>
      </c>
      <c r="L33" s="8">
        <v>45</v>
      </c>
      <c r="M33" s="9">
        <f t="shared" si="0"/>
        <v>1850</v>
      </c>
      <c r="N33" s="9">
        <f>SUM($M$5:M33)</f>
        <v>40050</v>
      </c>
      <c r="O33" s="2"/>
      <c r="P33" s="2"/>
      <c r="Q33" s="2"/>
      <c r="R33" s="2"/>
      <c r="S33" s="2"/>
      <c r="T33" s="2">
        <v>29</v>
      </c>
      <c r="U33" s="2">
        <f t="shared" si="1"/>
        <v>187950</v>
      </c>
      <c r="V33" s="1" cm="1">
        <f t="array" ref="V33">INDEX($B$5:$B$64,MATCH(U33,$G$5:$G$64,1))</f>
        <v>53</v>
      </c>
      <c r="W33" s="2"/>
      <c r="X33" s="1"/>
      <c r="Y33" s="3"/>
      <c r="Z33" s="3"/>
    </row>
    <row r="34" ht="16.5" spans="1:26">
      <c r="A34" s="1"/>
      <c r="B34" s="1">
        <v>30</v>
      </c>
      <c r="C34" s="1">
        <v>100</v>
      </c>
      <c r="D34" s="1">
        <f t="shared" si="2"/>
        <v>2030</v>
      </c>
      <c r="E34" s="1">
        <v>15</v>
      </c>
      <c r="F34" s="1">
        <f>SUM($D$5:D34)</f>
        <v>20400</v>
      </c>
      <c r="G34" s="1">
        <f>F34-SUM($E$5:E34)*10</f>
        <v>17450</v>
      </c>
      <c r="H34" s="1"/>
      <c r="I34" s="1"/>
      <c r="J34" s="7">
        <v>30</v>
      </c>
      <c r="K34" s="8">
        <v>1400</v>
      </c>
      <c r="L34" s="8">
        <v>45</v>
      </c>
      <c r="M34" s="9">
        <f t="shared" si="0"/>
        <v>1850</v>
      </c>
      <c r="N34" s="9">
        <f>SUM($M$5:M34)</f>
        <v>41900</v>
      </c>
      <c r="O34" s="2"/>
      <c r="P34" s="2"/>
      <c r="Q34" s="2"/>
      <c r="R34" s="2"/>
      <c r="S34" s="2"/>
      <c r="T34" s="2">
        <v>30</v>
      </c>
      <c r="U34" s="2">
        <f t="shared" si="1"/>
        <v>194900</v>
      </c>
      <c r="V34" s="1" cm="1">
        <f t="array" ref="V34">INDEX($B$5:$B$64,MATCH(U34,$G$5:$G$64,1))</f>
        <v>53</v>
      </c>
      <c r="W34" s="2"/>
      <c r="X34" s="1"/>
      <c r="Y34" s="3"/>
      <c r="Z34" s="3"/>
    </row>
    <row r="35" ht="16.5" spans="1:26">
      <c r="A35" s="1"/>
      <c r="B35" s="1">
        <v>31</v>
      </c>
      <c r="C35" s="1">
        <v>500</v>
      </c>
      <c r="D35" s="1">
        <f t="shared" si="2"/>
        <v>2130</v>
      </c>
      <c r="E35" s="1">
        <v>20</v>
      </c>
      <c r="F35" s="1">
        <f>SUM($D$5:D35)</f>
        <v>22530</v>
      </c>
      <c r="G35" s="1">
        <f>F35-SUM($E$5:E35)*10</f>
        <v>19380</v>
      </c>
      <c r="H35" s="1"/>
      <c r="I35" s="1"/>
      <c r="J35" s="7">
        <v>31</v>
      </c>
      <c r="K35" s="8">
        <v>1400</v>
      </c>
      <c r="L35" s="8">
        <v>45</v>
      </c>
      <c r="M35" s="9">
        <f t="shared" si="0"/>
        <v>1850</v>
      </c>
      <c r="N35" s="9">
        <f>SUM($M$5:M35)</f>
        <v>43750</v>
      </c>
      <c r="O35" s="2"/>
      <c r="P35" s="2"/>
      <c r="Q35" s="2"/>
      <c r="R35" s="2"/>
      <c r="S35" s="2"/>
      <c r="T35" s="2">
        <v>31</v>
      </c>
      <c r="U35" s="2">
        <f t="shared" si="1"/>
        <v>201850</v>
      </c>
      <c r="V35" s="1" cm="1">
        <f t="array" ref="V35">INDEX($B$5:$B$64,MATCH(U35,$G$5:$G$64,1))</f>
        <v>54</v>
      </c>
      <c r="W35" s="2"/>
      <c r="X35" s="1"/>
      <c r="Y35" s="3"/>
      <c r="Z35" s="3"/>
    </row>
    <row r="36" ht="16.5" spans="1:26">
      <c r="A36" s="1"/>
      <c r="B36" s="1">
        <v>32</v>
      </c>
      <c r="C36" s="1">
        <v>200</v>
      </c>
      <c r="D36" s="1">
        <f t="shared" si="2"/>
        <v>2630</v>
      </c>
      <c r="E36" s="1">
        <v>20</v>
      </c>
      <c r="F36" s="1">
        <f>SUM($D$5:D36)</f>
        <v>25160</v>
      </c>
      <c r="G36" s="1">
        <f>F36-SUM($E$5:E36)*10</f>
        <v>21810</v>
      </c>
      <c r="H36" s="1"/>
      <c r="I36" s="1"/>
      <c r="J36" s="7">
        <v>32</v>
      </c>
      <c r="K36" s="8">
        <v>1750</v>
      </c>
      <c r="L36" s="8">
        <v>50</v>
      </c>
      <c r="M36" s="9">
        <f t="shared" si="0"/>
        <v>2250</v>
      </c>
      <c r="N36" s="9">
        <f>SUM($M$5:M36)</f>
        <v>46000</v>
      </c>
      <c r="O36" s="2"/>
      <c r="P36" s="2"/>
      <c r="Q36" s="2"/>
      <c r="R36" s="2"/>
      <c r="S36" s="2"/>
      <c r="T36" s="2">
        <v>32</v>
      </c>
      <c r="U36" s="2">
        <f t="shared" si="1"/>
        <v>209200</v>
      </c>
      <c r="V36" s="1" cm="1">
        <f t="array" ref="V36">INDEX($B$5:$B$64,MATCH(U36,$G$5:$G$64,1))</f>
        <v>54</v>
      </c>
      <c r="W36" s="2"/>
      <c r="X36" s="1"/>
      <c r="Y36" s="3"/>
      <c r="Z36" s="3"/>
    </row>
    <row r="37" ht="16.5" spans="1:26">
      <c r="A37" s="1"/>
      <c r="B37" s="1">
        <v>33</v>
      </c>
      <c r="C37" s="1">
        <v>200</v>
      </c>
      <c r="D37" s="1">
        <f t="shared" si="2"/>
        <v>2830</v>
      </c>
      <c r="E37" s="1">
        <v>20</v>
      </c>
      <c r="F37" s="1">
        <f>SUM($D$5:D37)</f>
        <v>27990</v>
      </c>
      <c r="G37" s="1">
        <f>F37-SUM($E$5:E37)*10</f>
        <v>24440</v>
      </c>
      <c r="H37" s="1"/>
      <c r="I37" s="1"/>
      <c r="J37" s="7">
        <v>33</v>
      </c>
      <c r="K37" s="8">
        <v>1750</v>
      </c>
      <c r="L37" s="8">
        <v>50</v>
      </c>
      <c r="M37" s="9">
        <f t="shared" si="0"/>
        <v>2250</v>
      </c>
      <c r="N37" s="9">
        <f>SUM($M$5:M37)</f>
        <v>48250</v>
      </c>
      <c r="O37" s="2"/>
      <c r="P37" s="2"/>
      <c r="Q37" s="2"/>
      <c r="R37" s="2"/>
      <c r="S37" s="2"/>
      <c r="T37" s="2">
        <v>33</v>
      </c>
      <c r="U37" s="2">
        <f t="shared" si="1"/>
        <v>216550</v>
      </c>
      <c r="V37" s="1" cm="1">
        <f t="array" ref="V37">INDEX($B$5:$B$64,MATCH(U37,$G$5:$G$64,1))</f>
        <v>55</v>
      </c>
      <c r="W37" s="2"/>
      <c r="X37" s="1"/>
      <c r="Y37" s="3"/>
      <c r="Z37" s="3"/>
    </row>
    <row r="38" ht="16.5" spans="1:26">
      <c r="A38" s="1"/>
      <c r="B38" s="1">
        <v>34</v>
      </c>
      <c r="C38" s="1">
        <v>200</v>
      </c>
      <c r="D38" s="1">
        <f t="shared" si="2"/>
        <v>3030</v>
      </c>
      <c r="E38" s="1">
        <v>20</v>
      </c>
      <c r="F38" s="1">
        <f>SUM($D$5:D38)</f>
        <v>31020</v>
      </c>
      <c r="G38" s="1">
        <f>F38-SUM($E$5:E38)*10</f>
        <v>27270</v>
      </c>
      <c r="H38" s="1"/>
      <c r="I38" s="1"/>
      <c r="J38" s="7">
        <v>34</v>
      </c>
      <c r="K38" s="8">
        <v>1750</v>
      </c>
      <c r="L38" s="8">
        <v>50</v>
      </c>
      <c r="M38" s="9">
        <f t="shared" ref="M38:M69" si="3">L38*10+K38</f>
        <v>2250</v>
      </c>
      <c r="N38" s="9">
        <f>SUM($M$5:M38)</f>
        <v>50500</v>
      </c>
      <c r="O38" s="2"/>
      <c r="P38" s="2"/>
      <c r="Q38" s="2"/>
      <c r="R38" s="2"/>
      <c r="S38" s="2"/>
      <c r="T38" s="2">
        <v>34</v>
      </c>
      <c r="U38" s="2">
        <f t="shared" ref="U38:U69" si="4">$R$21*T38+N38</f>
        <v>223900</v>
      </c>
      <c r="V38" s="1" cm="1">
        <f t="array" ref="V38">INDEX($B$5:$B$64,MATCH(U38,$G$5:$G$64,1))</f>
        <v>55</v>
      </c>
      <c r="W38" s="2"/>
      <c r="X38" s="1"/>
      <c r="Y38" s="3"/>
      <c r="Z38" s="3"/>
    </row>
    <row r="39" ht="16.5" spans="1:26">
      <c r="A39" s="1"/>
      <c r="B39" s="1">
        <v>35</v>
      </c>
      <c r="C39" s="1">
        <v>200</v>
      </c>
      <c r="D39" s="1">
        <f t="shared" ref="D39:D64" si="5">C38+D38</f>
        <v>3230</v>
      </c>
      <c r="E39" s="1">
        <v>20</v>
      </c>
      <c r="F39" s="1">
        <f>SUM($D$5:D39)</f>
        <v>34250</v>
      </c>
      <c r="G39" s="1">
        <f>F39-SUM($E$5:E39)*10</f>
        <v>30300</v>
      </c>
      <c r="H39" s="1"/>
      <c r="I39" s="1"/>
      <c r="J39" s="7">
        <v>35</v>
      </c>
      <c r="K39" s="8">
        <v>1750</v>
      </c>
      <c r="L39" s="8">
        <v>50</v>
      </c>
      <c r="M39" s="9">
        <f t="shared" si="3"/>
        <v>2250</v>
      </c>
      <c r="N39" s="9">
        <f>SUM($M$5:M39)</f>
        <v>52750</v>
      </c>
      <c r="O39" s="2"/>
      <c r="P39" s="2"/>
      <c r="Q39" s="2"/>
      <c r="R39" s="2"/>
      <c r="S39" s="2"/>
      <c r="T39" s="2">
        <v>35</v>
      </c>
      <c r="U39" s="2">
        <f t="shared" si="4"/>
        <v>231250</v>
      </c>
      <c r="V39" s="1" cm="1">
        <f t="array" ref="V39">INDEX($B$5:$B$64,MATCH(U39,$G$5:$G$64,1))</f>
        <v>55</v>
      </c>
      <c r="W39" s="2"/>
      <c r="X39" s="1"/>
      <c r="Y39" s="3"/>
      <c r="Z39" s="3"/>
    </row>
    <row r="40" ht="16.5" spans="1:26">
      <c r="A40" s="1"/>
      <c r="B40" s="1">
        <v>36</v>
      </c>
      <c r="C40" s="1">
        <v>300</v>
      </c>
      <c r="D40" s="1">
        <f t="shared" si="5"/>
        <v>3430</v>
      </c>
      <c r="E40" s="1">
        <v>20</v>
      </c>
      <c r="F40" s="1">
        <f>SUM($D$5:D40)</f>
        <v>37680</v>
      </c>
      <c r="G40" s="1">
        <f>F40-SUM($E$5:E40)*10</f>
        <v>33530</v>
      </c>
      <c r="H40" s="1"/>
      <c r="I40" s="1"/>
      <c r="J40" s="7">
        <v>36</v>
      </c>
      <c r="K40" s="8">
        <v>1750</v>
      </c>
      <c r="L40" s="8">
        <v>50</v>
      </c>
      <c r="M40" s="9">
        <f t="shared" si="3"/>
        <v>2250</v>
      </c>
      <c r="N40" s="9">
        <f>SUM($M$5:M40)</f>
        <v>55000</v>
      </c>
      <c r="O40" s="2"/>
      <c r="P40" s="2"/>
      <c r="Q40" s="2"/>
      <c r="R40" s="2"/>
      <c r="S40" s="2"/>
      <c r="T40" s="2">
        <v>36</v>
      </c>
      <c r="U40" s="2">
        <f t="shared" si="4"/>
        <v>238600</v>
      </c>
      <c r="V40" s="1" cm="1">
        <f t="array" ref="V40">INDEX($B$5:$B$64,MATCH(U40,$G$5:$G$64,1))</f>
        <v>55</v>
      </c>
      <c r="W40" s="2"/>
      <c r="X40" s="1"/>
      <c r="Y40" s="3"/>
      <c r="Z40" s="3"/>
    </row>
    <row r="41" ht="16.5" spans="1:26">
      <c r="A41" s="1"/>
      <c r="B41" s="1">
        <v>37</v>
      </c>
      <c r="C41" s="1">
        <v>300</v>
      </c>
      <c r="D41" s="1">
        <f t="shared" si="5"/>
        <v>3730</v>
      </c>
      <c r="E41" s="1">
        <v>20</v>
      </c>
      <c r="F41" s="1">
        <f>SUM($D$5:D41)</f>
        <v>41410</v>
      </c>
      <c r="G41" s="1">
        <f>F41-SUM($E$5:E41)*10</f>
        <v>37060</v>
      </c>
      <c r="H41" s="1"/>
      <c r="I41" s="1"/>
      <c r="J41" s="7">
        <v>37</v>
      </c>
      <c r="K41" s="8">
        <v>1750</v>
      </c>
      <c r="L41" s="8">
        <v>50</v>
      </c>
      <c r="M41" s="9">
        <f t="shared" si="3"/>
        <v>2250</v>
      </c>
      <c r="N41" s="9">
        <f>SUM($M$5:M41)</f>
        <v>57250</v>
      </c>
      <c r="O41" s="3"/>
      <c r="P41" s="3"/>
      <c r="Q41" s="3"/>
      <c r="R41" s="3"/>
      <c r="S41" s="1"/>
      <c r="T41" s="2">
        <v>37</v>
      </c>
      <c r="U41" s="2">
        <f t="shared" si="4"/>
        <v>245950</v>
      </c>
      <c r="V41" s="1" cm="1">
        <f t="array" ref="V41">INDEX($B$5:$B$64,MATCH(U41,$G$5:$G$64,1))</f>
        <v>55</v>
      </c>
      <c r="W41" s="2"/>
      <c r="X41" s="1"/>
      <c r="Y41" s="3"/>
      <c r="Z41" s="3"/>
    </row>
    <row r="42" ht="16.5" spans="1:26">
      <c r="A42" s="1"/>
      <c r="B42" s="1">
        <v>38</v>
      </c>
      <c r="C42" s="1">
        <v>300</v>
      </c>
      <c r="D42" s="1">
        <f t="shared" si="5"/>
        <v>4030</v>
      </c>
      <c r="E42" s="1">
        <v>20</v>
      </c>
      <c r="F42" s="1">
        <f>SUM($D$5:D42)</f>
        <v>45440</v>
      </c>
      <c r="G42" s="1">
        <f>F42-SUM($E$5:E42)*10</f>
        <v>40890</v>
      </c>
      <c r="H42" s="1"/>
      <c r="I42" s="1"/>
      <c r="J42" s="7">
        <v>38</v>
      </c>
      <c r="K42" s="8">
        <v>1750</v>
      </c>
      <c r="L42" s="8">
        <v>50</v>
      </c>
      <c r="M42" s="9">
        <f t="shared" si="3"/>
        <v>2250</v>
      </c>
      <c r="N42" s="9">
        <f>SUM($M$5:M42)</f>
        <v>59500</v>
      </c>
      <c r="O42" s="3"/>
      <c r="P42" s="3"/>
      <c r="Q42" s="3"/>
      <c r="R42" s="3"/>
      <c r="S42" s="1"/>
      <c r="T42" s="2">
        <v>38</v>
      </c>
      <c r="U42" s="2">
        <f t="shared" si="4"/>
        <v>253300</v>
      </c>
      <c r="V42" s="1" cm="1">
        <f t="array" ref="V42">INDEX($B$5:$B$64,MATCH(U42,$G$5:$G$64,1))</f>
        <v>56</v>
      </c>
      <c r="W42" s="2"/>
      <c r="X42" s="1"/>
      <c r="Y42" s="3"/>
      <c r="Z42" s="3"/>
    </row>
    <row r="43" ht="16.5" spans="1:26">
      <c r="A43" s="1"/>
      <c r="B43" s="1">
        <v>39</v>
      </c>
      <c r="C43" s="1">
        <v>300</v>
      </c>
      <c r="D43" s="1">
        <f t="shared" si="5"/>
        <v>4330</v>
      </c>
      <c r="E43" s="1">
        <v>20</v>
      </c>
      <c r="F43" s="1">
        <f>SUM($D$5:D43)</f>
        <v>49770</v>
      </c>
      <c r="G43" s="1">
        <f>F43-SUM($E$5:E43)*10</f>
        <v>45020</v>
      </c>
      <c r="H43" s="1"/>
      <c r="I43" s="1"/>
      <c r="J43" s="7">
        <v>39</v>
      </c>
      <c r="K43" s="8">
        <v>1750</v>
      </c>
      <c r="L43" s="8">
        <v>50</v>
      </c>
      <c r="M43" s="9">
        <f t="shared" si="3"/>
        <v>2250</v>
      </c>
      <c r="N43" s="9">
        <f>SUM($M$5:M43)</f>
        <v>61750</v>
      </c>
      <c r="O43" s="3"/>
      <c r="P43" s="3"/>
      <c r="Q43" s="3"/>
      <c r="R43" s="3"/>
      <c r="S43" s="1"/>
      <c r="T43" s="2">
        <v>39</v>
      </c>
      <c r="U43" s="2">
        <f t="shared" si="4"/>
        <v>260650</v>
      </c>
      <c r="V43" s="1" cm="1">
        <f t="array" ref="V43">INDEX($B$5:$B$64,MATCH(U43,$G$5:$G$64,1))</f>
        <v>56</v>
      </c>
      <c r="W43" s="2"/>
      <c r="X43" s="1"/>
      <c r="Y43" s="3"/>
      <c r="Z43" s="3"/>
    </row>
    <row r="44" ht="16.5" spans="1:26">
      <c r="A44" s="1"/>
      <c r="B44" s="1">
        <v>40</v>
      </c>
      <c r="C44" s="1">
        <v>1000</v>
      </c>
      <c r="D44" s="1">
        <f t="shared" si="5"/>
        <v>4630</v>
      </c>
      <c r="E44" s="1">
        <v>20</v>
      </c>
      <c r="F44" s="1">
        <f>SUM($D$5:D44)</f>
        <v>54400</v>
      </c>
      <c r="G44" s="1">
        <f>F44-SUM($E$5:E44)*10</f>
        <v>49450</v>
      </c>
      <c r="H44" s="1"/>
      <c r="I44" s="1"/>
      <c r="J44" s="7">
        <v>40</v>
      </c>
      <c r="K44" s="8">
        <v>1750</v>
      </c>
      <c r="L44" s="8">
        <v>50</v>
      </c>
      <c r="M44" s="9">
        <f t="shared" si="3"/>
        <v>2250</v>
      </c>
      <c r="N44" s="9">
        <f>SUM($M$5:M44)</f>
        <v>64000</v>
      </c>
      <c r="O44" s="3"/>
      <c r="P44" s="3"/>
      <c r="Q44" s="3"/>
      <c r="R44" s="3"/>
      <c r="S44" s="1"/>
      <c r="T44" s="2">
        <v>40</v>
      </c>
      <c r="U44" s="2">
        <f t="shared" si="4"/>
        <v>268000</v>
      </c>
      <c r="V44" s="1" cm="1">
        <f t="array" ref="V44">INDEX($B$5:$B$64,MATCH(U44,$G$5:$G$64,1))</f>
        <v>56</v>
      </c>
      <c r="W44" s="2"/>
      <c r="X44" s="1"/>
      <c r="Y44" s="3"/>
      <c r="Z44" s="3"/>
    </row>
    <row r="45" ht="16.5" spans="1:26">
      <c r="A45" s="1"/>
      <c r="B45" s="1">
        <v>41</v>
      </c>
      <c r="C45" s="1">
        <v>400</v>
      </c>
      <c r="D45" s="1">
        <f t="shared" si="5"/>
        <v>5630</v>
      </c>
      <c r="E45" s="1">
        <v>30</v>
      </c>
      <c r="F45" s="1">
        <f>SUM($D$5:D45)</f>
        <v>60030</v>
      </c>
      <c r="G45" s="1">
        <f>F45-SUM($E$5:E45)*10</f>
        <v>54780</v>
      </c>
      <c r="H45" s="1"/>
      <c r="I45" s="1"/>
      <c r="J45" s="7">
        <v>41</v>
      </c>
      <c r="K45" s="8">
        <v>1750</v>
      </c>
      <c r="L45" s="8">
        <v>50</v>
      </c>
      <c r="M45" s="9">
        <f t="shared" si="3"/>
        <v>2250</v>
      </c>
      <c r="N45" s="9">
        <f>SUM($M$5:M45)</f>
        <v>66250</v>
      </c>
      <c r="O45" s="3"/>
      <c r="P45" s="3"/>
      <c r="Q45" s="3"/>
      <c r="R45" s="3"/>
      <c r="S45" s="1"/>
      <c r="T45" s="2">
        <v>41</v>
      </c>
      <c r="U45" s="2">
        <f t="shared" si="4"/>
        <v>275350</v>
      </c>
      <c r="V45" s="1" cm="1">
        <f t="array" ref="V45">INDEX($B$5:$B$64,MATCH(U45,$G$5:$G$64,1))</f>
        <v>56</v>
      </c>
      <c r="W45" s="2"/>
      <c r="X45" s="1"/>
      <c r="Y45" s="3"/>
      <c r="Z45" s="3"/>
    </row>
    <row r="46" ht="16.5" spans="1:26">
      <c r="A46" s="1"/>
      <c r="B46" s="1">
        <v>42</v>
      </c>
      <c r="C46" s="1">
        <v>450</v>
      </c>
      <c r="D46" s="1">
        <f t="shared" si="5"/>
        <v>6030</v>
      </c>
      <c r="E46" s="1">
        <v>30</v>
      </c>
      <c r="F46" s="1">
        <f>SUM($D$5:D46)</f>
        <v>66060</v>
      </c>
      <c r="G46" s="1">
        <f>F46-SUM($E$5:E46)*10</f>
        <v>60510</v>
      </c>
      <c r="H46" s="1"/>
      <c r="I46" s="1"/>
      <c r="J46" s="7">
        <v>42</v>
      </c>
      <c r="K46" s="8">
        <v>1750</v>
      </c>
      <c r="L46" s="8">
        <v>50</v>
      </c>
      <c r="M46" s="9">
        <f t="shared" si="3"/>
        <v>2250</v>
      </c>
      <c r="N46" s="9">
        <f>SUM($M$5:M46)</f>
        <v>68500</v>
      </c>
      <c r="O46" s="3"/>
      <c r="P46" s="3"/>
      <c r="Q46" s="3"/>
      <c r="R46" s="3"/>
      <c r="S46" s="1"/>
      <c r="T46" s="2">
        <v>42</v>
      </c>
      <c r="U46" s="2">
        <f t="shared" si="4"/>
        <v>282700</v>
      </c>
      <c r="V46" s="1" cm="1">
        <f t="array" ref="V46">INDEX($B$5:$B$64,MATCH(U46,$G$5:$G$64,1))</f>
        <v>57</v>
      </c>
      <c r="W46" s="2"/>
      <c r="X46" s="1"/>
      <c r="Y46" s="3"/>
      <c r="Z46" s="3"/>
    </row>
    <row r="47" ht="16.5" spans="1:26">
      <c r="A47" s="1"/>
      <c r="B47" s="1">
        <v>43</v>
      </c>
      <c r="C47" s="1">
        <v>500</v>
      </c>
      <c r="D47" s="1">
        <f t="shared" si="5"/>
        <v>6480</v>
      </c>
      <c r="E47" s="1">
        <v>30</v>
      </c>
      <c r="F47" s="1">
        <f>SUM($D$5:D47)</f>
        <v>72540</v>
      </c>
      <c r="G47" s="1">
        <f>F47-SUM($E$5:E47)*10</f>
        <v>66690</v>
      </c>
      <c r="H47" s="1"/>
      <c r="I47" s="1"/>
      <c r="J47" s="7">
        <v>43</v>
      </c>
      <c r="K47" s="8">
        <v>1750</v>
      </c>
      <c r="L47" s="8">
        <v>50</v>
      </c>
      <c r="M47" s="9">
        <f t="shared" si="3"/>
        <v>2250</v>
      </c>
      <c r="N47" s="9">
        <f>SUM($M$5:M47)</f>
        <v>70750</v>
      </c>
      <c r="O47" s="3"/>
      <c r="P47" s="3"/>
      <c r="Q47" s="3"/>
      <c r="R47" s="3"/>
      <c r="S47" s="1"/>
      <c r="T47" s="2">
        <v>43</v>
      </c>
      <c r="U47" s="2">
        <f t="shared" si="4"/>
        <v>290050</v>
      </c>
      <c r="V47" s="1" cm="1">
        <f t="array" ref="V47">INDEX($B$5:$B$64,MATCH(U47,$G$5:$G$64,1))</f>
        <v>57</v>
      </c>
      <c r="W47" s="2"/>
      <c r="X47" s="1"/>
      <c r="Y47" s="3"/>
      <c r="Z47" s="3"/>
    </row>
    <row r="48" ht="16.5" spans="1:26">
      <c r="A48" s="1"/>
      <c r="B48" s="1">
        <v>44</v>
      </c>
      <c r="C48" s="1">
        <v>550</v>
      </c>
      <c r="D48" s="1">
        <f t="shared" si="5"/>
        <v>6980</v>
      </c>
      <c r="E48" s="1">
        <v>30</v>
      </c>
      <c r="F48" s="1">
        <f>SUM($D$5:D48)</f>
        <v>79520</v>
      </c>
      <c r="G48" s="1">
        <f>F48-SUM($E$5:E48)*10</f>
        <v>73370</v>
      </c>
      <c r="H48" s="1"/>
      <c r="I48" s="1"/>
      <c r="J48" s="7">
        <v>44</v>
      </c>
      <c r="K48" s="8">
        <v>2100</v>
      </c>
      <c r="L48" s="8">
        <v>60</v>
      </c>
      <c r="M48" s="9">
        <f t="shared" si="3"/>
        <v>2700</v>
      </c>
      <c r="N48" s="9">
        <f>SUM($M$5:M48)</f>
        <v>73450</v>
      </c>
      <c r="O48" s="3"/>
      <c r="P48" s="3"/>
      <c r="Q48" s="3"/>
      <c r="R48" s="3"/>
      <c r="S48" s="1"/>
      <c r="T48" s="2">
        <v>44</v>
      </c>
      <c r="U48" s="2">
        <f t="shared" si="4"/>
        <v>297850</v>
      </c>
      <c r="V48" s="1" cm="1">
        <f t="array" ref="V48">INDEX($B$5:$B$64,MATCH(U48,$G$5:$G$64,1))</f>
        <v>57</v>
      </c>
      <c r="W48" s="2"/>
      <c r="X48" s="1"/>
      <c r="Y48" s="3"/>
      <c r="Z48" s="3"/>
    </row>
    <row r="49" ht="16.5" spans="1:26">
      <c r="A49" s="1"/>
      <c r="B49" s="1">
        <v>45</v>
      </c>
      <c r="C49" s="1">
        <v>600</v>
      </c>
      <c r="D49" s="1">
        <f t="shared" si="5"/>
        <v>7530</v>
      </c>
      <c r="E49" s="1">
        <v>30</v>
      </c>
      <c r="F49" s="1">
        <f>SUM($D$5:D49)</f>
        <v>87050</v>
      </c>
      <c r="G49" s="1">
        <f>F49-SUM($E$5:E49)*10</f>
        <v>80600</v>
      </c>
      <c r="H49" s="1"/>
      <c r="I49" s="1"/>
      <c r="J49" s="7">
        <v>45</v>
      </c>
      <c r="K49" s="8">
        <v>2100</v>
      </c>
      <c r="L49" s="8">
        <v>60</v>
      </c>
      <c r="M49" s="9">
        <f t="shared" si="3"/>
        <v>2700</v>
      </c>
      <c r="N49" s="9">
        <f>SUM($M$5:M49)</f>
        <v>76150</v>
      </c>
      <c r="O49" s="3"/>
      <c r="P49" s="3"/>
      <c r="Q49" s="3"/>
      <c r="R49" s="3"/>
      <c r="S49" s="1"/>
      <c r="T49" s="2">
        <v>45</v>
      </c>
      <c r="U49" s="2">
        <f t="shared" si="4"/>
        <v>305650</v>
      </c>
      <c r="V49" s="1" cm="1">
        <f t="array" ref="V49">INDEX($B$5:$B$64,MATCH(U49,$G$5:$G$64,1))</f>
        <v>57</v>
      </c>
      <c r="W49" s="2"/>
      <c r="X49" s="1"/>
      <c r="Y49" s="3"/>
      <c r="Z49" s="3"/>
    </row>
    <row r="50" ht="16.5" spans="1:26">
      <c r="A50" s="1"/>
      <c r="B50" s="1">
        <v>46</v>
      </c>
      <c r="C50" s="1">
        <v>650</v>
      </c>
      <c r="D50" s="1">
        <f t="shared" si="5"/>
        <v>8130</v>
      </c>
      <c r="E50" s="1">
        <v>30</v>
      </c>
      <c r="F50" s="1">
        <f>SUM($D$5:D50)</f>
        <v>95180</v>
      </c>
      <c r="G50" s="1">
        <f>F50-SUM($E$5:E50)*10</f>
        <v>88430</v>
      </c>
      <c r="H50" s="2"/>
      <c r="I50" s="2"/>
      <c r="J50" s="7">
        <v>46</v>
      </c>
      <c r="K50" s="8">
        <v>2100</v>
      </c>
      <c r="L50" s="8">
        <v>60</v>
      </c>
      <c r="M50" s="9">
        <f t="shared" si="3"/>
        <v>2700</v>
      </c>
      <c r="N50" s="9">
        <f>SUM($M$5:M50)</f>
        <v>78850</v>
      </c>
      <c r="O50" s="3"/>
      <c r="P50" s="3"/>
      <c r="Q50" s="3"/>
      <c r="R50" s="3"/>
      <c r="S50" s="1"/>
      <c r="T50" s="2">
        <v>46</v>
      </c>
      <c r="U50" s="2">
        <f t="shared" si="4"/>
        <v>313450</v>
      </c>
      <c r="V50" s="1" cm="1">
        <f t="array" ref="V50">INDEX($B$5:$B$64,MATCH(U50,$G$5:$G$64,1))</f>
        <v>58</v>
      </c>
      <c r="W50" s="2"/>
      <c r="X50" s="1"/>
      <c r="Y50" s="3"/>
      <c r="Z50" s="3"/>
    </row>
    <row r="51" ht="16.5" spans="1:26">
      <c r="A51" s="1"/>
      <c r="B51" s="1">
        <v>47</v>
      </c>
      <c r="C51" s="1">
        <v>700</v>
      </c>
      <c r="D51" s="1">
        <f t="shared" si="5"/>
        <v>8780</v>
      </c>
      <c r="E51" s="1">
        <v>30</v>
      </c>
      <c r="F51" s="1">
        <f>SUM($D$5:D51)</f>
        <v>103960</v>
      </c>
      <c r="G51" s="1">
        <f>F51-SUM($E$5:E51)*10</f>
        <v>96910</v>
      </c>
      <c r="H51" s="1"/>
      <c r="I51" s="1"/>
      <c r="J51" s="7">
        <v>47</v>
      </c>
      <c r="K51" s="8">
        <v>2100</v>
      </c>
      <c r="L51" s="8">
        <v>60</v>
      </c>
      <c r="M51" s="9">
        <f t="shared" si="3"/>
        <v>2700</v>
      </c>
      <c r="N51" s="9">
        <f>SUM($M$5:M51)</f>
        <v>81550</v>
      </c>
      <c r="O51" s="3"/>
      <c r="P51" s="3"/>
      <c r="Q51" s="3"/>
      <c r="R51" s="3"/>
      <c r="S51" s="1"/>
      <c r="T51" s="2">
        <v>47</v>
      </c>
      <c r="U51" s="2">
        <f t="shared" si="4"/>
        <v>321250</v>
      </c>
      <c r="V51" s="1" cm="1">
        <f t="array" ref="V51">INDEX($B$5:$B$64,MATCH(U51,$G$5:$G$64,1))</f>
        <v>58</v>
      </c>
      <c r="W51" s="2"/>
      <c r="X51" s="1"/>
      <c r="Y51" s="3"/>
      <c r="Z51" s="3"/>
    </row>
    <row r="52" ht="16.5" spans="1:26">
      <c r="A52" s="1"/>
      <c r="B52" s="1">
        <v>48</v>
      </c>
      <c r="C52" s="1">
        <v>750</v>
      </c>
      <c r="D52" s="1">
        <f t="shared" si="5"/>
        <v>9480</v>
      </c>
      <c r="E52" s="1">
        <v>30</v>
      </c>
      <c r="F52" s="1">
        <f>SUM($D$5:D52)</f>
        <v>113440</v>
      </c>
      <c r="G52" s="1">
        <f>F52-SUM($E$5:E52)*10</f>
        <v>106090</v>
      </c>
      <c r="H52" s="1"/>
      <c r="I52" s="1"/>
      <c r="J52" s="7">
        <v>48</v>
      </c>
      <c r="K52" s="8">
        <v>2100</v>
      </c>
      <c r="L52" s="8">
        <v>60</v>
      </c>
      <c r="M52" s="9">
        <f t="shared" si="3"/>
        <v>2700</v>
      </c>
      <c r="N52" s="9">
        <f>SUM($M$5:M52)</f>
        <v>84250</v>
      </c>
      <c r="O52" s="3"/>
      <c r="P52" s="3"/>
      <c r="Q52" s="3"/>
      <c r="R52" s="3"/>
      <c r="S52" s="1"/>
      <c r="T52" s="2">
        <v>48</v>
      </c>
      <c r="U52" s="2">
        <f t="shared" si="4"/>
        <v>329050</v>
      </c>
      <c r="V52" s="1" cm="1">
        <f t="array" ref="V52">INDEX($B$5:$B$64,MATCH(U52,$G$5:$G$64,1))</f>
        <v>58</v>
      </c>
      <c r="W52" s="2"/>
      <c r="X52" s="1"/>
      <c r="Y52" s="3"/>
      <c r="Z52" s="3"/>
    </row>
    <row r="53" ht="16.5" spans="1:26">
      <c r="A53" s="1"/>
      <c r="B53" s="1">
        <v>49</v>
      </c>
      <c r="C53" s="1">
        <v>800</v>
      </c>
      <c r="D53" s="1">
        <f t="shared" si="5"/>
        <v>10230</v>
      </c>
      <c r="E53" s="1">
        <v>30</v>
      </c>
      <c r="F53" s="1">
        <f>SUM($D$5:D53)</f>
        <v>123670</v>
      </c>
      <c r="G53" s="1">
        <f>F53-SUM($E$5:E53)*10</f>
        <v>116020</v>
      </c>
      <c r="H53" s="1"/>
      <c r="I53" s="1"/>
      <c r="J53" s="7">
        <v>49</v>
      </c>
      <c r="K53" s="8">
        <v>2100</v>
      </c>
      <c r="L53" s="8">
        <v>60</v>
      </c>
      <c r="M53" s="9">
        <f t="shared" si="3"/>
        <v>2700</v>
      </c>
      <c r="N53" s="9">
        <f>SUM($M$5:M53)</f>
        <v>86950</v>
      </c>
      <c r="O53" s="3"/>
      <c r="P53" s="3"/>
      <c r="Q53" s="3"/>
      <c r="R53" s="3"/>
      <c r="S53" s="1"/>
      <c r="T53" s="2">
        <v>49</v>
      </c>
      <c r="U53" s="2">
        <f t="shared" si="4"/>
        <v>336850</v>
      </c>
      <c r="V53" s="1" cm="1">
        <f t="array" ref="V53">INDEX($B$5:$B$64,MATCH(U53,$G$5:$G$64,1))</f>
        <v>58</v>
      </c>
      <c r="W53" s="2"/>
      <c r="X53" s="1"/>
      <c r="Y53" s="3"/>
      <c r="Z53" s="3"/>
    </row>
    <row r="54" ht="16.5" spans="1:26">
      <c r="A54" s="1"/>
      <c r="B54" s="1">
        <v>50</v>
      </c>
      <c r="C54" s="1">
        <v>5000</v>
      </c>
      <c r="D54" s="1">
        <f t="shared" si="5"/>
        <v>11030</v>
      </c>
      <c r="E54" s="1">
        <v>30</v>
      </c>
      <c r="F54" s="1">
        <f>SUM($D$5:D54)</f>
        <v>134700</v>
      </c>
      <c r="G54" s="1">
        <f>F54-SUM($E$5:E54)*10</f>
        <v>126750</v>
      </c>
      <c r="H54" s="1"/>
      <c r="I54" s="1"/>
      <c r="J54" s="7">
        <v>50</v>
      </c>
      <c r="K54" s="8">
        <v>2100</v>
      </c>
      <c r="L54" s="8">
        <v>60</v>
      </c>
      <c r="M54" s="9">
        <f t="shared" si="3"/>
        <v>2700</v>
      </c>
      <c r="N54" s="9">
        <f>SUM($M$5:M54)</f>
        <v>89650</v>
      </c>
      <c r="O54" s="3"/>
      <c r="P54" s="3"/>
      <c r="Q54" s="3"/>
      <c r="R54" s="3"/>
      <c r="S54" s="1"/>
      <c r="T54" s="2">
        <v>50</v>
      </c>
      <c r="U54" s="2">
        <f t="shared" si="4"/>
        <v>344650</v>
      </c>
      <c r="V54" s="1" cm="1">
        <f t="array" ref="V54">INDEX($B$5:$B$64,MATCH(U54,$G$5:$G$64,1))</f>
        <v>58</v>
      </c>
      <c r="W54" s="2"/>
      <c r="X54" s="1"/>
      <c r="Y54" s="3"/>
      <c r="Z54" s="3"/>
    </row>
    <row r="55" ht="16.5" spans="1:26">
      <c r="A55" s="1"/>
      <c r="B55" s="1">
        <v>51</v>
      </c>
      <c r="C55" s="1">
        <v>1000</v>
      </c>
      <c r="D55" s="1">
        <f t="shared" si="5"/>
        <v>16030</v>
      </c>
      <c r="E55" s="1">
        <v>40</v>
      </c>
      <c r="F55" s="1">
        <f>SUM($D$5:D55)</f>
        <v>150730</v>
      </c>
      <c r="G55" s="1">
        <f>F55-SUM($E$5:E55)*10</f>
        <v>142380</v>
      </c>
      <c r="H55" s="1"/>
      <c r="I55" s="1"/>
      <c r="J55" s="7">
        <v>51</v>
      </c>
      <c r="K55" s="8">
        <v>2100</v>
      </c>
      <c r="L55" s="8">
        <v>60</v>
      </c>
      <c r="M55" s="9">
        <f t="shared" si="3"/>
        <v>2700</v>
      </c>
      <c r="N55" s="9">
        <f>SUM($M$5:M55)</f>
        <v>92350</v>
      </c>
      <c r="O55" s="3"/>
      <c r="P55" s="3"/>
      <c r="Q55" s="3"/>
      <c r="R55" s="3"/>
      <c r="S55" s="1"/>
      <c r="T55" s="2">
        <v>51</v>
      </c>
      <c r="U55" s="2">
        <f t="shared" si="4"/>
        <v>352450</v>
      </c>
      <c r="V55" s="1" cm="1">
        <f t="array" ref="V55">INDEX($B$5:$B$64,MATCH(U55,$G$5:$G$64,1))</f>
        <v>58</v>
      </c>
      <c r="W55" s="2"/>
      <c r="X55" s="1"/>
      <c r="Y55" s="3"/>
      <c r="Z55" s="3"/>
    </row>
    <row r="56" ht="16.5" spans="1:26">
      <c r="A56" s="1"/>
      <c r="B56" s="1">
        <v>52</v>
      </c>
      <c r="C56" s="1">
        <v>1100</v>
      </c>
      <c r="D56" s="1">
        <f t="shared" si="5"/>
        <v>17030</v>
      </c>
      <c r="E56" s="1">
        <v>40</v>
      </c>
      <c r="F56" s="1">
        <f>SUM($D$5:D56)</f>
        <v>167760</v>
      </c>
      <c r="G56" s="1">
        <f>F56-SUM($E$5:E56)*10</f>
        <v>159010</v>
      </c>
      <c r="H56" s="1"/>
      <c r="I56" s="1"/>
      <c r="J56" s="7">
        <v>52</v>
      </c>
      <c r="K56" s="8">
        <v>2100</v>
      </c>
      <c r="L56" s="8">
        <v>60</v>
      </c>
      <c r="M56" s="9">
        <f t="shared" si="3"/>
        <v>2700</v>
      </c>
      <c r="N56" s="9">
        <f>SUM($M$5:M56)</f>
        <v>95050</v>
      </c>
      <c r="O56" s="3"/>
      <c r="P56" s="3"/>
      <c r="Q56" s="3"/>
      <c r="R56" s="3"/>
      <c r="S56" s="1"/>
      <c r="T56" s="2">
        <v>52</v>
      </c>
      <c r="U56" s="2">
        <f t="shared" si="4"/>
        <v>360250</v>
      </c>
      <c r="V56" s="1" cm="1">
        <f t="array" ref="V56">INDEX($B$5:$B$64,MATCH(U56,$G$5:$G$64,1))</f>
        <v>58</v>
      </c>
      <c r="W56" s="2"/>
      <c r="X56" s="1"/>
      <c r="Y56" s="3"/>
      <c r="Z56" s="3"/>
    </row>
    <row r="57" ht="16.5" spans="1:26">
      <c r="A57" s="1"/>
      <c r="B57" s="1">
        <v>53</v>
      </c>
      <c r="C57" s="1">
        <v>1200</v>
      </c>
      <c r="D57" s="1">
        <f t="shared" si="5"/>
        <v>18130</v>
      </c>
      <c r="E57" s="1">
        <v>40</v>
      </c>
      <c r="F57" s="1">
        <f>SUM($D$5:D57)</f>
        <v>185890</v>
      </c>
      <c r="G57" s="1">
        <f>F57-SUM($E$5:E57)*10</f>
        <v>176740</v>
      </c>
      <c r="H57" s="1"/>
      <c r="I57" s="1"/>
      <c r="J57" s="7">
        <v>53</v>
      </c>
      <c r="K57" s="8">
        <v>2100</v>
      </c>
      <c r="L57" s="8">
        <v>60</v>
      </c>
      <c r="M57" s="9">
        <f t="shared" si="3"/>
        <v>2700</v>
      </c>
      <c r="N57" s="9">
        <f>SUM($M$5:M57)</f>
        <v>97750</v>
      </c>
      <c r="O57" s="3"/>
      <c r="P57" s="3"/>
      <c r="Q57" s="3"/>
      <c r="R57" s="3"/>
      <c r="S57" s="1"/>
      <c r="T57" s="2">
        <v>53</v>
      </c>
      <c r="U57" s="2">
        <f t="shared" si="4"/>
        <v>368050</v>
      </c>
      <c r="V57" s="1" cm="1">
        <f t="array" ref="V57">INDEX($B$5:$B$64,MATCH(U57,$G$5:$G$64,1))</f>
        <v>59</v>
      </c>
      <c r="W57" s="2"/>
      <c r="X57" s="1"/>
      <c r="Y57" s="3"/>
      <c r="Z57" s="3"/>
    </row>
    <row r="58" ht="16.5" spans="1:26">
      <c r="A58" s="1"/>
      <c r="B58" s="1">
        <v>54</v>
      </c>
      <c r="C58" s="1">
        <v>1300</v>
      </c>
      <c r="D58" s="1">
        <f t="shared" si="5"/>
        <v>19330</v>
      </c>
      <c r="E58" s="1">
        <v>40</v>
      </c>
      <c r="F58" s="1">
        <f>SUM($D$5:D58)</f>
        <v>205220</v>
      </c>
      <c r="G58" s="1">
        <f>F58-SUM($E$5:E58)*10</f>
        <v>195670</v>
      </c>
      <c r="H58" s="1"/>
      <c r="I58" s="1"/>
      <c r="J58" s="7">
        <v>54</v>
      </c>
      <c r="K58" s="8">
        <v>2100</v>
      </c>
      <c r="L58" s="8">
        <v>60</v>
      </c>
      <c r="M58" s="9">
        <f t="shared" si="3"/>
        <v>2700</v>
      </c>
      <c r="N58" s="9">
        <f>SUM($M$5:M58)</f>
        <v>100450</v>
      </c>
      <c r="O58" s="3"/>
      <c r="P58" s="3"/>
      <c r="Q58" s="3"/>
      <c r="R58" s="3"/>
      <c r="S58" s="1"/>
      <c r="T58" s="2">
        <v>54</v>
      </c>
      <c r="U58" s="2">
        <f t="shared" si="4"/>
        <v>375850</v>
      </c>
      <c r="V58" s="1" cm="1">
        <f t="array" ref="V58">INDEX($B$5:$B$64,MATCH(U58,$G$5:$G$64,1))</f>
        <v>59</v>
      </c>
      <c r="W58" s="2"/>
      <c r="X58" s="1"/>
      <c r="Y58" s="3"/>
      <c r="Z58" s="3"/>
    </row>
    <row r="59" ht="16.5" spans="1:26">
      <c r="A59" s="1"/>
      <c r="B59" s="1">
        <v>55</v>
      </c>
      <c r="C59" s="1">
        <v>10000</v>
      </c>
      <c r="D59" s="1">
        <f t="shared" si="5"/>
        <v>20630</v>
      </c>
      <c r="E59" s="1">
        <v>40</v>
      </c>
      <c r="F59" s="1">
        <f>SUM($D$5:D59)</f>
        <v>225850</v>
      </c>
      <c r="G59" s="1">
        <f>F59-SUM($E$5:E59)*10</f>
        <v>215900</v>
      </c>
      <c r="H59" s="1"/>
      <c r="I59" s="1"/>
      <c r="J59" s="7">
        <v>55</v>
      </c>
      <c r="K59" s="8">
        <v>2100</v>
      </c>
      <c r="L59" s="8">
        <v>60</v>
      </c>
      <c r="M59" s="9">
        <f t="shared" si="3"/>
        <v>2700</v>
      </c>
      <c r="N59" s="9">
        <f>SUM($M$5:M59)</f>
        <v>103150</v>
      </c>
      <c r="O59" s="3"/>
      <c r="P59" s="3"/>
      <c r="Q59" s="3"/>
      <c r="R59" s="3"/>
      <c r="S59" s="1"/>
      <c r="T59" s="2">
        <v>55</v>
      </c>
      <c r="U59" s="2">
        <f t="shared" si="4"/>
        <v>383650</v>
      </c>
      <c r="V59" s="1" cm="1">
        <f t="array" ref="V59">INDEX($B$5:$B$64,MATCH(U59,$G$5:$G$64,1))</f>
        <v>59</v>
      </c>
      <c r="W59" s="2"/>
      <c r="X59" s="1"/>
      <c r="Y59" s="3"/>
      <c r="Z59" s="3"/>
    </row>
    <row r="60" ht="16.5" spans="1:26">
      <c r="A60" s="1"/>
      <c r="B60" s="1">
        <v>56</v>
      </c>
      <c r="C60" s="1">
        <v>1500</v>
      </c>
      <c r="D60" s="1">
        <f t="shared" si="5"/>
        <v>30630</v>
      </c>
      <c r="E60" s="1">
        <v>40</v>
      </c>
      <c r="F60" s="1">
        <f>SUM($D$5:D60)</f>
        <v>256480</v>
      </c>
      <c r="G60" s="1">
        <f>F60-SUM($E$5:E60)*10</f>
        <v>246130</v>
      </c>
      <c r="H60" s="1"/>
      <c r="I60" s="1"/>
      <c r="J60" s="7">
        <v>56</v>
      </c>
      <c r="K60" s="8">
        <v>2100</v>
      </c>
      <c r="L60" s="8">
        <v>60</v>
      </c>
      <c r="M60" s="9">
        <f t="shared" si="3"/>
        <v>2700</v>
      </c>
      <c r="N60" s="9">
        <f>SUM($M$5:M60)</f>
        <v>105850</v>
      </c>
      <c r="O60" s="3"/>
      <c r="P60" s="3"/>
      <c r="Q60" s="3"/>
      <c r="R60" s="3"/>
      <c r="S60" s="1"/>
      <c r="T60" s="2">
        <v>56</v>
      </c>
      <c r="U60" s="2">
        <f t="shared" si="4"/>
        <v>391450</v>
      </c>
      <c r="V60" s="1" cm="1">
        <f t="array" ref="V60">INDEX($B$5:$B$64,MATCH(U60,$G$5:$G$64,1))</f>
        <v>59</v>
      </c>
      <c r="W60" s="2"/>
      <c r="X60" s="1"/>
      <c r="Y60" s="3"/>
      <c r="Z60" s="3"/>
    </row>
    <row r="61" ht="16.5" spans="1:26">
      <c r="A61" s="1"/>
      <c r="B61" s="1">
        <v>57</v>
      </c>
      <c r="C61" s="1">
        <v>2000</v>
      </c>
      <c r="D61" s="1">
        <f t="shared" si="5"/>
        <v>32130</v>
      </c>
      <c r="E61" s="1">
        <v>40</v>
      </c>
      <c r="F61" s="1">
        <f>SUM($D$5:D61)</f>
        <v>288610</v>
      </c>
      <c r="G61" s="1">
        <f>F61-SUM($E$5:E61)*10</f>
        <v>277860</v>
      </c>
      <c r="H61" s="1"/>
      <c r="I61" s="1"/>
      <c r="J61" s="7">
        <v>57</v>
      </c>
      <c r="K61" s="8">
        <v>2100</v>
      </c>
      <c r="L61" s="8">
        <v>60</v>
      </c>
      <c r="M61" s="9">
        <f t="shared" si="3"/>
        <v>2700</v>
      </c>
      <c r="N61" s="9">
        <f>SUM($M$5:M61)</f>
        <v>108550</v>
      </c>
      <c r="O61" s="3"/>
      <c r="P61" s="3"/>
      <c r="Q61" s="3"/>
      <c r="R61" s="3"/>
      <c r="S61" s="1"/>
      <c r="T61" s="2">
        <v>57</v>
      </c>
      <c r="U61" s="2">
        <f t="shared" si="4"/>
        <v>399250</v>
      </c>
      <c r="V61" s="1" cm="1">
        <f t="array" ref="V61">INDEX($B$5:$B$64,MATCH(U61,$G$5:$G$64,1))</f>
        <v>59</v>
      </c>
      <c r="W61" s="2"/>
      <c r="X61" s="1"/>
      <c r="Y61" s="3"/>
      <c r="Z61" s="3"/>
    </row>
    <row r="62" ht="16.5" spans="1:26">
      <c r="A62" s="1"/>
      <c r="B62" s="1">
        <v>58</v>
      </c>
      <c r="C62" s="1">
        <v>20000</v>
      </c>
      <c r="D62" s="1">
        <f t="shared" si="5"/>
        <v>34130</v>
      </c>
      <c r="E62" s="1">
        <v>40</v>
      </c>
      <c r="F62" s="1">
        <f>SUM($D$5:D62)</f>
        <v>322740</v>
      </c>
      <c r="G62" s="1">
        <f>F62-SUM($E$5:E62)*10</f>
        <v>311590</v>
      </c>
      <c r="H62" s="1"/>
      <c r="I62" s="1"/>
      <c r="J62" s="7">
        <v>58</v>
      </c>
      <c r="K62" s="8">
        <v>2450</v>
      </c>
      <c r="L62" s="8">
        <v>65</v>
      </c>
      <c r="M62" s="9">
        <f t="shared" si="3"/>
        <v>3100</v>
      </c>
      <c r="N62" s="9">
        <f>SUM($M$5:M62)</f>
        <v>111650</v>
      </c>
      <c r="O62" s="3"/>
      <c r="P62" s="3"/>
      <c r="Q62" s="3"/>
      <c r="R62" s="3"/>
      <c r="S62" s="1"/>
      <c r="T62" s="2">
        <v>58</v>
      </c>
      <c r="U62" s="2">
        <f t="shared" si="4"/>
        <v>407450</v>
      </c>
      <c r="V62" s="1" cm="1">
        <f t="array" ref="V62">INDEX($B$5:$B$64,MATCH(U62,$G$5:$G$64,1))</f>
        <v>59</v>
      </c>
      <c r="W62" s="2"/>
      <c r="X62" s="1"/>
      <c r="Y62" s="3"/>
      <c r="Z62" s="3"/>
    </row>
    <row r="63" ht="16.5" spans="1:26">
      <c r="A63" s="1"/>
      <c r="B63" s="1">
        <v>59</v>
      </c>
      <c r="C63" s="1">
        <v>4000</v>
      </c>
      <c r="D63" s="1">
        <f t="shared" si="5"/>
        <v>54130</v>
      </c>
      <c r="E63" s="1">
        <v>40</v>
      </c>
      <c r="F63" s="1">
        <f>SUM($D$5:D63)</f>
        <v>376870</v>
      </c>
      <c r="G63" s="1">
        <f>F63-SUM($E$5:E63)*10</f>
        <v>365320</v>
      </c>
      <c r="H63" s="1"/>
      <c r="I63" s="1"/>
      <c r="J63" s="7">
        <v>59</v>
      </c>
      <c r="K63" s="8">
        <v>2450</v>
      </c>
      <c r="L63" s="8">
        <v>65</v>
      </c>
      <c r="M63" s="9">
        <f t="shared" si="3"/>
        <v>3100</v>
      </c>
      <c r="N63" s="9">
        <f>SUM($M$5:M63)</f>
        <v>114750</v>
      </c>
      <c r="O63" s="3"/>
      <c r="P63" s="3"/>
      <c r="Q63" s="3"/>
      <c r="R63" s="3"/>
      <c r="S63" s="1"/>
      <c r="T63" s="2">
        <v>59</v>
      </c>
      <c r="U63" s="2">
        <f t="shared" si="4"/>
        <v>415650</v>
      </c>
      <c r="V63" s="1" cm="1">
        <f t="array" ref="V63">INDEX($B$5:$B$64,MATCH(U63,$G$5:$G$64,1))</f>
        <v>59</v>
      </c>
      <c r="W63" s="2"/>
      <c r="X63" s="1"/>
      <c r="Y63" s="3"/>
      <c r="Z63" s="3"/>
    </row>
    <row r="64" ht="16.5" spans="1:26">
      <c r="A64" s="1"/>
      <c r="B64" s="1">
        <v>60</v>
      </c>
      <c r="C64" s="1">
        <v>5000</v>
      </c>
      <c r="D64" s="1">
        <f t="shared" si="5"/>
        <v>58130</v>
      </c>
      <c r="E64" s="1">
        <v>40</v>
      </c>
      <c r="F64" s="1">
        <f>SUM($D$5:D64)</f>
        <v>435000</v>
      </c>
      <c r="G64" s="1">
        <f>F64-SUM($E$5:E64)*10</f>
        <v>423050</v>
      </c>
      <c r="H64" s="1"/>
      <c r="I64" s="1"/>
      <c r="J64" s="7">
        <v>60</v>
      </c>
      <c r="K64" s="8">
        <v>2450</v>
      </c>
      <c r="L64" s="8">
        <v>65</v>
      </c>
      <c r="M64" s="9">
        <f t="shared" si="3"/>
        <v>3100</v>
      </c>
      <c r="N64" s="9">
        <f>SUM($M$5:M64)</f>
        <v>117850</v>
      </c>
      <c r="O64" s="3"/>
      <c r="P64" s="3"/>
      <c r="Q64" s="3"/>
      <c r="R64" s="3"/>
      <c r="S64" s="1"/>
      <c r="T64" s="2">
        <v>60</v>
      </c>
      <c r="U64" s="2">
        <f t="shared" si="4"/>
        <v>423850</v>
      </c>
      <c r="V64" s="1" cm="1">
        <f t="array" ref="V64">INDEX($B$5:$B$64,MATCH(U64,$G$5:$G$64,1))</f>
        <v>60</v>
      </c>
      <c r="W64" s="2"/>
      <c r="X64" s="1"/>
      <c r="Y64" s="3"/>
      <c r="Z64" s="3"/>
    </row>
    <row r="65" ht="16.5" spans="1:26">
      <c r="A65" s="1"/>
      <c r="B65" s="1"/>
      <c r="C65" s="2"/>
      <c r="D65" s="2"/>
      <c r="E65" s="2"/>
      <c r="F65" s="2"/>
      <c r="G65" s="2"/>
      <c r="H65" s="1"/>
      <c r="I65" s="1"/>
      <c r="J65" s="7">
        <v>61</v>
      </c>
      <c r="K65" s="8">
        <v>2450</v>
      </c>
      <c r="L65" s="8">
        <v>65</v>
      </c>
      <c r="M65" s="9">
        <f t="shared" si="3"/>
        <v>3100</v>
      </c>
      <c r="N65" s="9">
        <f>SUM($M$5:M65)</f>
        <v>120950</v>
      </c>
      <c r="O65" s="3"/>
      <c r="P65" s="3"/>
      <c r="Q65" s="3"/>
      <c r="R65" s="3"/>
      <c r="S65" s="1"/>
      <c r="T65" s="2">
        <v>61</v>
      </c>
      <c r="U65" s="2">
        <f t="shared" si="4"/>
        <v>432050</v>
      </c>
      <c r="V65" s="1" cm="1">
        <f t="array" ref="V65">INDEX($B$5:$B$64,MATCH(U65,$G$5:$G$64,1))</f>
        <v>60</v>
      </c>
      <c r="W65" s="2"/>
      <c r="X65" s="1"/>
      <c r="Y65" s="3"/>
      <c r="Z65" s="3"/>
    </row>
    <row r="66" ht="16.5" spans="1:26">
      <c r="A66" s="1"/>
      <c r="B66" s="1"/>
      <c r="C66" s="2"/>
      <c r="D66" s="2"/>
      <c r="E66" s="2"/>
      <c r="F66" s="2"/>
      <c r="G66" s="2"/>
      <c r="H66" s="1"/>
      <c r="I66" s="1"/>
      <c r="J66" s="7">
        <v>62</v>
      </c>
      <c r="K66" s="8">
        <v>2450</v>
      </c>
      <c r="L66" s="8">
        <v>65</v>
      </c>
      <c r="M66" s="9">
        <f t="shared" si="3"/>
        <v>3100</v>
      </c>
      <c r="N66" s="9">
        <f>SUM($M$5:M66)</f>
        <v>124050</v>
      </c>
      <c r="O66" s="3"/>
      <c r="P66" s="3"/>
      <c r="Q66" s="3"/>
      <c r="R66" s="3"/>
      <c r="S66" s="1"/>
      <c r="T66" s="2">
        <v>62</v>
      </c>
      <c r="U66" s="2">
        <f t="shared" si="4"/>
        <v>440250</v>
      </c>
      <c r="V66" s="1" cm="1">
        <f t="array" ref="V66">INDEX($B$5:$B$64,MATCH(U66,$G$5:$G$64,1))</f>
        <v>60</v>
      </c>
      <c r="W66" s="2"/>
      <c r="X66" s="1"/>
      <c r="Y66" s="3"/>
      <c r="Z66" s="3"/>
    </row>
    <row r="67" ht="16.5" spans="1:26">
      <c r="A67" s="1"/>
      <c r="B67" s="1"/>
      <c r="C67" s="2"/>
      <c r="D67" s="2"/>
      <c r="E67" s="2"/>
      <c r="F67" s="2"/>
      <c r="G67" s="2"/>
      <c r="H67" s="1"/>
      <c r="I67" s="1"/>
      <c r="J67" s="7">
        <v>63</v>
      </c>
      <c r="K67" s="8">
        <v>2450</v>
      </c>
      <c r="L67" s="8">
        <v>65</v>
      </c>
      <c r="M67" s="9">
        <f t="shared" si="3"/>
        <v>3100</v>
      </c>
      <c r="N67" s="9">
        <f>SUM($M$5:M67)</f>
        <v>127150</v>
      </c>
      <c r="O67" s="3"/>
      <c r="P67" s="3"/>
      <c r="Q67" s="3"/>
      <c r="R67" s="3"/>
      <c r="S67" s="1"/>
      <c r="T67" s="2">
        <v>63</v>
      </c>
      <c r="U67" s="2">
        <f t="shared" si="4"/>
        <v>448450</v>
      </c>
      <c r="V67" s="1" cm="1">
        <f t="array" ref="V67">INDEX($B$5:$B$64,MATCH(U67,$G$5:$G$64,1))</f>
        <v>60</v>
      </c>
      <c r="W67" s="2"/>
      <c r="X67" s="1"/>
      <c r="Y67" s="3"/>
      <c r="Z67" s="3"/>
    </row>
    <row r="68" ht="16.5" spans="1:26">
      <c r="A68" s="1"/>
      <c r="B68" s="1"/>
      <c r="C68" s="2"/>
      <c r="D68" s="2"/>
      <c r="E68" s="2"/>
      <c r="F68" s="2"/>
      <c r="G68" s="2"/>
      <c r="H68" s="1"/>
      <c r="I68" s="1"/>
      <c r="J68" s="7">
        <v>64</v>
      </c>
      <c r="K68" s="8">
        <v>2450</v>
      </c>
      <c r="L68" s="8">
        <v>65</v>
      </c>
      <c r="M68" s="9">
        <f t="shared" si="3"/>
        <v>3100</v>
      </c>
      <c r="N68" s="9">
        <f>SUM($M$5:M68)</f>
        <v>130250</v>
      </c>
      <c r="O68" s="3"/>
      <c r="P68" s="3"/>
      <c r="Q68" s="3"/>
      <c r="R68" s="3"/>
      <c r="S68" s="1"/>
      <c r="T68" s="2">
        <v>64</v>
      </c>
      <c r="U68" s="2">
        <f t="shared" si="4"/>
        <v>456650</v>
      </c>
      <c r="V68" s="1" cm="1">
        <f t="array" ref="V68">INDEX($B$5:$B$64,MATCH(U68,$G$5:$G$64,1))</f>
        <v>60</v>
      </c>
      <c r="W68" s="2"/>
      <c r="X68" s="1"/>
      <c r="Y68" s="3"/>
      <c r="Z68" s="3"/>
    </row>
    <row r="69" ht="16.5" spans="1:26">
      <c r="A69" s="1"/>
      <c r="B69" s="1"/>
      <c r="C69" s="2"/>
      <c r="D69" s="2"/>
      <c r="E69" s="2"/>
      <c r="F69" s="2"/>
      <c r="G69" s="2"/>
      <c r="H69" s="1"/>
      <c r="I69" s="1"/>
      <c r="J69" s="7">
        <v>65</v>
      </c>
      <c r="K69" s="8">
        <v>2450</v>
      </c>
      <c r="L69" s="8">
        <v>65</v>
      </c>
      <c r="M69" s="9">
        <f t="shared" si="3"/>
        <v>3100</v>
      </c>
      <c r="N69" s="9">
        <f>SUM($M$5:M69)</f>
        <v>133350</v>
      </c>
      <c r="O69" s="3"/>
      <c r="P69" s="3"/>
      <c r="Q69" s="3"/>
      <c r="R69" s="3"/>
      <c r="S69" s="1"/>
      <c r="T69" s="2">
        <v>65</v>
      </c>
      <c r="U69" s="2">
        <f t="shared" si="4"/>
        <v>464850</v>
      </c>
      <c r="V69" s="1" cm="1">
        <f t="array" ref="V69">INDEX($B$5:$B$64,MATCH(U69,$G$5:$G$64,1))</f>
        <v>60</v>
      </c>
      <c r="W69" s="2"/>
      <c r="X69" s="1"/>
      <c r="Y69" s="3"/>
      <c r="Z69" s="3"/>
    </row>
    <row r="70" ht="16.5" spans="1:26">
      <c r="A70" s="1"/>
      <c r="B70" s="1"/>
      <c r="C70" s="2"/>
      <c r="D70" s="2"/>
      <c r="E70" s="2"/>
      <c r="F70" s="2"/>
      <c r="G70" s="2"/>
      <c r="H70" s="1"/>
      <c r="I70" s="1"/>
      <c r="J70" s="7">
        <v>66</v>
      </c>
      <c r="K70" s="8">
        <v>2450</v>
      </c>
      <c r="L70" s="8">
        <v>65</v>
      </c>
      <c r="M70" s="9">
        <f t="shared" ref="M70:M94" si="6">L70*10+K70</f>
        <v>3100</v>
      </c>
      <c r="N70" s="9">
        <f>SUM($M$5:M70)</f>
        <v>136450</v>
      </c>
      <c r="O70" s="3"/>
      <c r="P70" s="3"/>
      <c r="Q70" s="3"/>
      <c r="R70" s="3"/>
      <c r="S70" s="1"/>
      <c r="T70" s="2"/>
      <c r="U70" s="2"/>
      <c r="V70" s="1"/>
      <c r="W70" s="2"/>
      <c r="X70" s="1"/>
      <c r="Y70" s="3"/>
      <c r="Z70" s="3"/>
    </row>
    <row r="71" ht="16.5" spans="1:26">
      <c r="A71" s="1"/>
      <c r="B71" s="1"/>
      <c r="C71" s="2"/>
      <c r="D71" s="2"/>
      <c r="E71" s="2"/>
      <c r="F71" s="2"/>
      <c r="G71" s="2"/>
      <c r="H71" s="1"/>
      <c r="I71" s="1"/>
      <c r="J71" s="7">
        <v>67</v>
      </c>
      <c r="K71" s="8">
        <v>2450</v>
      </c>
      <c r="L71" s="8">
        <v>65</v>
      </c>
      <c r="M71" s="9">
        <f t="shared" si="6"/>
        <v>3100</v>
      </c>
      <c r="N71" s="9">
        <f>SUM($M$5:M71)</f>
        <v>139550</v>
      </c>
      <c r="O71" s="3"/>
      <c r="P71" s="3"/>
      <c r="Q71" s="3"/>
      <c r="R71" s="3"/>
      <c r="S71" s="1"/>
      <c r="T71" s="2"/>
      <c r="U71" s="2"/>
      <c r="V71" s="1"/>
      <c r="W71" s="2"/>
      <c r="X71" s="1"/>
      <c r="Y71" s="3"/>
      <c r="Z71" s="3"/>
    </row>
    <row r="72" ht="16.5" spans="1:26">
      <c r="A72" s="1"/>
      <c r="B72" s="1"/>
      <c r="C72" s="2"/>
      <c r="D72" s="2"/>
      <c r="E72" s="2"/>
      <c r="F72" s="2"/>
      <c r="G72" s="2"/>
      <c r="H72" s="1"/>
      <c r="I72" s="1"/>
      <c r="J72" s="7">
        <v>68</v>
      </c>
      <c r="K72" s="8">
        <v>2450</v>
      </c>
      <c r="L72" s="8">
        <v>65</v>
      </c>
      <c r="M72" s="9">
        <f t="shared" si="6"/>
        <v>3100</v>
      </c>
      <c r="N72" s="9">
        <f>SUM($M$5:M72)</f>
        <v>142650</v>
      </c>
      <c r="O72" s="3"/>
      <c r="P72" s="3"/>
      <c r="Q72" s="3"/>
      <c r="R72" s="3"/>
      <c r="S72" s="1"/>
      <c r="T72" s="2"/>
      <c r="U72" s="2"/>
      <c r="V72" s="1"/>
      <c r="W72" s="2"/>
      <c r="X72" s="1"/>
      <c r="Y72" s="3"/>
      <c r="Z72" s="3"/>
    </row>
    <row r="73" ht="16.5" spans="1:26">
      <c r="A73" s="1"/>
      <c r="B73" s="1"/>
      <c r="C73" s="2"/>
      <c r="D73" s="2"/>
      <c r="E73" s="2"/>
      <c r="F73" s="2"/>
      <c r="G73" s="2"/>
      <c r="H73" s="1"/>
      <c r="I73" s="1"/>
      <c r="J73" s="7">
        <v>69</v>
      </c>
      <c r="K73" s="8">
        <v>2450</v>
      </c>
      <c r="L73" s="8">
        <v>65</v>
      </c>
      <c r="M73" s="9">
        <f t="shared" si="6"/>
        <v>3100</v>
      </c>
      <c r="N73" s="9">
        <f>SUM($M$5:M73)</f>
        <v>145750</v>
      </c>
      <c r="O73" s="3"/>
      <c r="P73" s="3"/>
      <c r="Q73" s="3"/>
      <c r="R73" s="3"/>
      <c r="S73" s="1"/>
      <c r="T73" s="2"/>
      <c r="U73" s="2"/>
      <c r="V73" s="1"/>
      <c r="W73" s="2"/>
      <c r="X73" s="1"/>
      <c r="Y73" s="3"/>
      <c r="Z73" s="3"/>
    </row>
    <row r="74" ht="16.5" spans="1:26">
      <c r="A74" s="1"/>
      <c r="B74" s="1"/>
      <c r="C74" s="2"/>
      <c r="D74" s="2"/>
      <c r="E74" s="2"/>
      <c r="F74" s="2"/>
      <c r="G74" s="2"/>
      <c r="H74" s="1"/>
      <c r="I74" s="1"/>
      <c r="J74" s="7">
        <v>70</v>
      </c>
      <c r="K74" s="8">
        <v>2450</v>
      </c>
      <c r="L74" s="8">
        <v>65</v>
      </c>
      <c r="M74" s="9">
        <f t="shared" si="6"/>
        <v>3100</v>
      </c>
      <c r="N74" s="9">
        <f>SUM($M$5:M74)</f>
        <v>148850</v>
      </c>
      <c r="O74" s="3"/>
      <c r="P74" s="3"/>
      <c r="Q74" s="3"/>
      <c r="R74" s="3"/>
      <c r="S74" s="1"/>
      <c r="T74" s="2"/>
      <c r="U74" s="2"/>
      <c r="V74" s="1"/>
      <c r="W74" s="2"/>
      <c r="X74" s="1"/>
      <c r="Y74" s="3"/>
      <c r="Z74" s="3"/>
    </row>
    <row r="75" ht="16.5" spans="1:26">
      <c r="A75" s="1"/>
      <c r="B75" s="1"/>
      <c r="C75" s="2"/>
      <c r="D75" s="2"/>
      <c r="E75" s="2"/>
      <c r="F75" s="2"/>
      <c r="G75" s="2"/>
      <c r="H75" s="1"/>
      <c r="I75" s="1"/>
      <c r="J75" s="7">
        <v>71</v>
      </c>
      <c r="K75" s="8">
        <v>2750</v>
      </c>
      <c r="L75" s="8">
        <v>70</v>
      </c>
      <c r="M75" s="9">
        <f t="shared" si="6"/>
        <v>3450</v>
      </c>
      <c r="N75" s="9">
        <f>SUM($M$5:M75)</f>
        <v>152300</v>
      </c>
      <c r="O75" s="3"/>
      <c r="P75" s="3"/>
      <c r="Q75" s="3"/>
      <c r="R75" s="3"/>
      <c r="S75" s="1"/>
      <c r="T75" s="2"/>
      <c r="U75" s="2"/>
      <c r="V75" s="1"/>
      <c r="W75" s="2"/>
      <c r="X75" s="1"/>
      <c r="Y75" s="3"/>
      <c r="Z75" s="3"/>
    </row>
    <row r="76" ht="16.5" spans="1:26">
      <c r="A76" s="1"/>
      <c r="B76" s="1"/>
      <c r="C76" s="2"/>
      <c r="D76" s="2"/>
      <c r="E76" s="2"/>
      <c r="F76" s="2"/>
      <c r="G76" s="2"/>
      <c r="H76" s="1"/>
      <c r="I76" s="1"/>
      <c r="J76" s="7">
        <v>72</v>
      </c>
      <c r="K76" s="8">
        <v>2750</v>
      </c>
      <c r="L76" s="8">
        <v>70</v>
      </c>
      <c r="M76" s="9">
        <f t="shared" si="6"/>
        <v>3450</v>
      </c>
      <c r="N76" s="9">
        <f>SUM($M$5:M76)</f>
        <v>155750</v>
      </c>
      <c r="O76" s="3"/>
      <c r="P76" s="3"/>
      <c r="Q76" s="3"/>
      <c r="R76" s="3"/>
      <c r="S76" s="1"/>
      <c r="T76" s="2"/>
      <c r="U76" s="2"/>
      <c r="V76" s="1"/>
      <c r="W76" s="2"/>
      <c r="X76" s="1"/>
      <c r="Y76" s="3"/>
      <c r="Z76" s="3"/>
    </row>
    <row r="77" ht="16.5" spans="1:26">
      <c r="A77" s="1"/>
      <c r="B77" s="1"/>
      <c r="C77" s="2"/>
      <c r="D77" s="2"/>
      <c r="E77" s="2"/>
      <c r="F77" s="2"/>
      <c r="G77" s="2"/>
      <c r="H77" s="1"/>
      <c r="I77" s="1"/>
      <c r="J77" s="7">
        <v>73</v>
      </c>
      <c r="K77" s="8">
        <v>2750</v>
      </c>
      <c r="L77" s="8">
        <v>70</v>
      </c>
      <c r="M77" s="9">
        <f t="shared" si="6"/>
        <v>3450</v>
      </c>
      <c r="N77" s="9">
        <f>SUM($M$5:M77)</f>
        <v>159200</v>
      </c>
      <c r="O77" s="3"/>
      <c r="P77" s="3"/>
      <c r="Q77" s="3"/>
      <c r="R77" s="3"/>
      <c r="S77" s="1"/>
      <c r="T77" s="2"/>
      <c r="U77" s="2"/>
      <c r="V77" s="1"/>
      <c r="W77" s="2"/>
      <c r="X77" s="1"/>
      <c r="Y77" s="3"/>
      <c r="Z77" s="3"/>
    </row>
    <row r="78" ht="16.5" spans="1:26">
      <c r="A78" s="1"/>
      <c r="B78" s="1"/>
      <c r="C78" s="2"/>
      <c r="D78" s="2"/>
      <c r="E78" s="2"/>
      <c r="F78" s="2"/>
      <c r="G78" s="2"/>
      <c r="H78" s="1"/>
      <c r="I78" s="1"/>
      <c r="J78" s="7">
        <v>74</v>
      </c>
      <c r="K78" s="8">
        <v>2750</v>
      </c>
      <c r="L78" s="8">
        <v>70</v>
      </c>
      <c r="M78" s="9">
        <f t="shared" si="6"/>
        <v>3450</v>
      </c>
      <c r="N78" s="9">
        <f>SUM($M$5:M78)</f>
        <v>162650</v>
      </c>
      <c r="O78" s="3"/>
      <c r="P78" s="3"/>
      <c r="Q78" s="3"/>
      <c r="R78" s="3"/>
      <c r="S78" s="1"/>
      <c r="T78" s="2"/>
      <c r="U78" s="2"/>
      <c r="V78" s="1"/>
      <c r="W78" s="2"/>
      <c r="X78" s="1"/>
      <c r="Y78" s="3"/>
      <c r="Z78" s="3"/>
    </row>
    <row r="79" ht="16.5" spans="1:26">
      <c r="A79" s="1"/>
      <c r="B79" s="1"/>
      <c r="C79" s="2"/>
      <c r="D79" s="2"/>
      <c r="E79" s="2"/>
      <c r="F79" s="2"/>
      <c r="G79" s="2"/>
      <c r="H79" s="1"/>
      <c r="I79" s="1"/>
      <c r="J79" s="7">
        <v>75</v>
      </c>
      <c r="K79" s="8">
        <v>2750</v>
      </c>
      <c r="L79" s="8">
        <v>70</v>
      </c>
      <c r="M79" s="9">
        <f t="shared" si="6"/>
        <v>3450</v>
      </c>
      <c r="N79" s="9">
        <f>SUM($M$5:M79)</f>
        <v>166100</v>
      </c>
      <c r="O79" s="3"/>
      <c r="P79" s="3"/>
      <c r="Q79" s="3"/>
      <c r="R79" s="3"/>
      <c r="S79" s="1"/>
      <c r="T79" s="2"/>
      <c r="U79" s="2"/>
      <c r="V79" s="1"/>
      <c r="W79" s="2"/>
      <c r="X79" s="1"/>
      <c r="Y79" s="3"/>
      <c r="Z79" s="3"/>
    </row>
    <row r="80" ht="16.5" spans="1:26">
      <c r="A80" s="1"/>
      <c r="B80" s="1"/>
      <c r="C80" s="2"/>
      <c r="D80" s="2"/>
      <c r="E80" s="2"/>
      <c r="F80" s="2"/>
      <c r="G80" s="2"/>
      <c r="H80" s="1"/>
      <c r="I80" s="1"/>
      <c r="J80" s="7">
        <v>76</v>
      </c>
      <c r="K80" s="8">
        <v>2750</v>
      </c>
      <c r="L80" s="8">
        <v>70</v>
      </c>
      <c r="M80" s="9">
        <f t="shared" si="6"/>
        <v>3450</v>
      </c>
      <c r="N80" s="9">
        <f>SUM($M$5:M80)</f>
        <v>169550</v>
      </c>
      <c r="O80" s="3"/>
      <c r="P80" s="3"/>
      <c r="Q80" s="3"/>
      <c r="R80" s="3"/>
      <c r="S80" s="1"/>
      <c r="T80" s="2"/>
      <c r="U80" s="2"/>
      <c r="V80" s="1"/>
      <c r="W80" s="2"/>
      <c r="X80" s="1"/>
      <c r="Y80" s="3"/>
      <c r="Z80" s="3"/>
    </row>
    <row r="81" ht="16.5" spans="1:26">
      <c r="A81" s="1"/>
      <c r="B81" s="1"/>
      <c r="C81" s="2"/>
      <c r="D81" s="2"/>
      <c r="E81" s="2"/>
      <c r="F81" s="2"/>
      <c r="G81" s="2"/>
      <c r="H81" s="1"/>
      <c r="I81" s="1"/>
      <c r="J81" s="7">
        <v>77</v>
      </c>
      <c r="K81" s="8">
        <v>2750</v>
      </c>
      <c r="L81" s="8">
        <v>70</v>
      </c>
      <c r="M81" s="9">
        <f t="shared" si="6"/>
        <v>3450</v>
      </c>
      <c r="N81" s="9">
        <f>SUM($M$5:M81)</f>
        <v>173000</v>
      </c>
      <c r="O81" s="3"/>
      <c r="P81" s="3"/>
      <c r="Q81" s="3"/>
      <c r="R81" s="3"/>
      <c r="S81" s="1"/>
      <c r="T81" s="2"/>
      <c r="U81" s="2"/>
      <c r="V81" s="1"/>
      <c r="W81" s="2"/>
      <c r="X81" s="1"/>
      <c r="Y81" s="3"/>
      <c r="Z81" s="3"/>
    </row>
    <row r="82" ht="16.5" spans="1:26">
      <c r="A82" s="1"/>
      <c r="B82" s="1"/>
      <c r="C82" s="2"/>
      <c r="D82" s="2"/>
      <c r="E82" s="2"/>
      <c r="F82" s="2"/>
      <c r="G82" s="2"/>
      <c r="H82" s="1"/>
      <c r="I82" s="1"/>
      <c r="J82" s="7">
        <v>78</v>
      </c>
      <c r="K82" s="8">
        <v>2750</v>
      </c>
      <c r="L82" s="8">
        <v>70</v>
      </c>
      <c r="M82" s="9">
        <f t="shared" si="6"/>
        <v>3450</v>
      </c>
      <c r="N82" s="9">
        <f>SUM($M$5:M82)</f>
        <v>176450</v>
      </c>
      <c r="O82" s="3"/>
      <c r="P82" s="3"/>
      <c r="Q82" s="3"/>
      <c r="R82" s="3"/>
      <c r="S82" s="1"/>
      <c r="T82" s="2"/>
      <c r="U82" s="2"/>
      <c r="V82" s="1"/>
      <c r="W82" s="2"/>
      <c r="X82" s="1"/>
      <c r="Y82" s="3"/>
      <c r="Z82" s="3"/>
    </row>
    <row r="83" ht="16.5" spans="1:26">
      <c r="A83" s="1"/>
      <c r="B83" s="1"/>
      <c r="C83" s="2"/>
      <c r="D83" s="2"/>
      <c r="E83" s="2"/>
      <c r="F83" s="2"/>
      <c r="G83" s="2"/>
      <c r="H83" s="1"/>
      <c r="I83" s="1"/>
      <c r="J83" s="7">
        <v>79</v>
      </c>
      <c r="K83" s="8">
        <v>2750</v>
      </c>
      <c r="L83" s="8">
        <v>70</v>
      </c>
      <c r="M83" s="9">
        <f t="shared" si="6"/>
        <v>3450</v>
      </c>
      <c r="N83" s="9">
        <f>SUM($M$5:M83)</f>
        <v>179900</v>
      </c>
      <c r="O83" s="3"/>
      <c r="P83" s="3"/>
      <c r="Q83" s="3"/>
      <c r="R83" s="3"/>
      <c r="S83" s="1"/>
      <c r="T83" s="2"/>
      <c r="U83" s="2"/>
      <c r="V83" s="1"/>
      <c r="W83" s="2"/>
      <c r="X83" s="1"/>
      <c r="Y83" s="3"/>
      <c r="Z83" s="3"/>
    </row>
    <row r="84" ht="16.5" spans="1:26">
      <c r="A84" s="1"/>
      <c r="B84" s="1"/>
      <c r="C84" s="2"/>
      <c r="D84" s="2"/>
      <c r="E84" s="2"/>
      <c r="F84" s="2"/>
      <c r="G84" s="2"/>
      <c r="H84" s="1"/>
      <c r="I84" s="1"/>
      <c r="J84" s="7">
        <v>80</v>
      </c>
      <c r="K84" s="8">
        <v>2750</v>
      </c>
      <c r="L84" s="8">
        <v>70</v>
      </c>
      <c r="M84" s="9">
        <f t="shared" si="6"/>
        <v>3450</v>
      </c>
      <c r="N84" s="9">
        <f>SUM($M$5:M84)</f>
        <v>183350</v>
      </c>
      <c r="O84" s="3"/>
      <c r="P84" s="3"/>
      <c r="Q84" s="3"/>
      <c r="R84" s="3"/>
      <c r="S84" s="1"/>
      <c r="T84" s="2"/>
      <c r="U84" s="2"/>
      <c r="V84" s="1"/>
      <c r="W84" s="2"/>
      <c r="X84" s="1"/>
      <c r="Y84" s="3"/>
      <c r="Z84" s="3"/>
    </row>
    <row r="85" ht="16.5" spans="1:26">
      <c r="A85" s="1"/>
      <c r="B85" s="1"/>
      <c r="C85" s="1"/>
      <c r="D85" s="1"/>
      <c r="E85" s="1"/>
      <c r="F85" s="1"/>
      <c r="G85" s="1"/>
      <c r="H85" s="1"/>
      <c r="I85" s="1"/>
      <c r="J85" s="7">
        <v>81</v>
      </c>
      <c r="K85" s="8">
        <v>2750</v>
      </c>
      <c r="L85" s="8">
        <v>70</v>
      </c>
      <c r="M85" s="9">
        <f t="shared" si="6"/>
        <v>3450</v>
      </c>
      <c r="N85" s="9">
        <f>SUM($M$5:M85)</f>
        <v>186800</v>
      </c>
      <c r="O85" s="3"/>
      <c r="P85" s="3"/>
      <c r="Q85" s="3"/>
      <c r="R85" s="3"/>
      <c r="S85" s="1"/>
      <c r="T85" s="2"/>
      <c r="U85" s="2"/>
      <c r="V85" s="1"/>
      <c r="W85" s="2"/>
      <c r="X85" s="1"/>
      <c r="Y85" s="3"/>
      <c r="Z85" s="3"/>
    </row>
    <row r="86" ht="16.5" spans="1:26">
      <c r="A86" s="1"/>
      <c r="B86" s="1"/>
      <c r="C86" s="1"/>
      <c r="D86" s="1"/>
      <c r="E86" s="1"/>
      <c r="F86" s="1"/>
      <c r="G86" s="1"/>
      <c r="H86" s="1"/>
      <c r="I86" s="1"/>
      <c r="J86" s="7">
        <v>82</v>
      </c>
      <c r="K86" s="8">
        <v>2750</v>
      </c>
      <c r="L86" s="8">
        <v>70</v>
      </c>
      <c r="M86" s="9">
        <f t="shared" si="6"/>
        <v>3450</v>
      </c>
      <c r="N86" s="9">
        <f>SUM($M$5:M86)</f>
        <v>190250</v>
      </c>
      <c r="O86" s="3"/>
      <c r="P86" s="3"/>
      <c r="Q86" s="3"/>
      <c r="R86" s="3"/>
      <c r="S86" s="1"/>
      <c r="T86" s="2"/>
      <c r="U86" s="2"/>
      <c r="V86" s="1"/>
      <c r="W86" s="2"/>
      <c r="X86" s="1"/>
      <c r="Y86" s="3"/>
      <c r="Z86" s="3"/>
    </row>
    <row r="87" ht="16.5" spans="1:26">
      <c r="A87" s="1"/>
      <c r="B87" s="1"/>
      <c r="C87" s="1"/>
      <c r="D87" s="1"/>
      <c r="E87" s="1"/>
      <c r="F87" s="1"/>
      <c r="G87" s="1"/>
      <c r="H87" s="1"/>
      <c r="I87" s="1"/>
      <c r="J87" s="7">
        <v>83</v>
      </c>
      <c r="K87" s="8">
        <v>2750</v>
      </c>
      <c r="L87" s="8">
        <v>70</v>
      </c>
      <c r="M87" s="9">
        <f t="shared" si="6"/>
        <v>3450</v>
      </c>
      <c r="N87" s="9">
        <f>SUM($M$5:M87)</f>
        <v>193700</v>
      </c>
      <c r="O87" s="3"/>
      <c r="P87" s="3"/>
      <c r="Q87" s="3"/>
      <c r="R87" s="3"/>
      <c r="S87" s="1"/>
      <c r="T87" s="2"/>
      <c r="U87" s="2"/>
      <c r="V87" s="1"/>
      <c r="W87" s="2"/>
      <c r="X87" s="1"/>
      <c r="Y87" s="3"/>
      <c r="Z87" s="3"/>
    </row>
    <row r="88" ht="16.5" spans="1:26">
      <c r="A88" s="1"/>
      <c r="B88" s="1"/>
      <c r="C88" s="1"/>
      <c r="D88" s="1"/>
      <c r="E88" s="1"/>
      <c r="F88" s="1"/>
      <c r="G88" s="1"/>
      <c r="H88" s="1"/>
      <c r="I88" s="1"/>
      <c r="J88" s="7">
        <v>84</v>
      </c>
      <c r="K88" s="8">
        <v>2750</v>
      </c>
      <c r="L88" s="8">
        <v>70</v>
      </c>
      <c r="M88" s="9">
        <f t="shared" si="6"/>
        <v>3450</v>
      </c>
      <c r="N88" s="9">
        <f>SUM($M$5:M88)</f>
        <v>197150</v>
      </c>
      <c r="O88" s="3"/>
      <c r="P88" s="3"/>
      <c r="Q88" s="3"/>
      <c r="R88" s="3"/>
      <c r="S88" s="1"/>
      <c r="T88" s="2"/>
      <c r="U88" s="2"/>
      <c r="V88" s="1"/>
      <c r="W88" s="2"/>
      <c r="X88" s="1"/>
      <c r="Y88" s="3"/>
      <c r="Z88" s="3"/>
    </row>
    <row r="89" ht="16.5" spans="1:26">
      <c r="A89" s="1"/>
      <c r="B89" s="1"/>
      <c r="C89" s="1"/>
      <c r="D89" s="1"/>
      <c r="E89" s="1"/>
      <c r="F89" s="1"/>
      <c r="G89" s="1"/>
      <c r="H89" s="1"/>
      <c r="I89" s="1"/>
      <c r="J89" s="7">
        <v>85</v>
      </c>
      <c r="K89" s="8">
        <v>3000</v>
      </c>
      <c r="L89" s="8">
        <v>80</v>
      </c>
      <c r="M89" s="9">
        <f t="shared" si="6"/>
        <v>3800</v>
      </c>
      <c r="N89" s="9">
        <f>SUM($M$5:M89)</f>
        <v>200950</v>
      </c>
      <c r="O89" s="3"/>
      <c r="P89" s="3"/>
      <c r="Q89" s="3"/>
      <c r="R89" s="3"/>
      <c r="S89" s="1"/>
      <c r="T89" s="2"/>
      <c r="U89" s="2"/>
      <c r="V89" s="1"/>
      <c r="W89" s="2"/>
      <c r="X89" s="1"/>
      <c r="Y89" s="3"/>
      <c r="Z89" s="3"/>
    </row>
    <row r="90" ht="16.5" spans="1:26">
      <c r="A90" s="1"/>
      <c r="B90" s="1"/>
      <c r="C90" s="1"/>
      <c r="D90" s="1"/>
      <c r="E90" s="1"/>
      <c r="F90" s="1"/>
      <c r="G90" s="1"/>
      <c r="H90" s="1"/>
      <c r="I90" s="1"/>
      <c r="J90" s="7">
        <v>86</v>
      </c>
      <c r="K90" s="8">
        <v>3000</v>
      </c>
      <c r="L90" s="8">
        <v>80</v>
      </c>
      <c r="M90" s="9">
        <f t="shared" si="6"/>
        <v>3800</v>
      </c>
      <c r="N90" s="9">
        <f>SUM($M$5:M90)</f>
        <v>204750</v>
      </c>
      <c r="O90" s="3"/>
      <c r="P90" s="3"/>
      <c r="Q90" s="3"/>
      <c r="R90" s="3"/>
      <c r="S90" s="1"/>
      <c r="T90" s="2"/>
      <c r="U90" s="2"/>
      <c r="V90" s="1"/>
      <c r="W90" s="2"/>
      <c r="X90" s="1"/>
      <c r="Y90" s="3"/>
      <c r="Z90" s="3"/>
    </row>
    <row r="91" ht="16.5" spans="1:26">
      <c r="A91" s="1"/>
      <c r="B91" s="1"/>
      <c r="C91" s="1"/>
      <c r="D91" s="1"/>
      <c r="E91" s="1"/>
      <c r="F91" s="1"/>
      <c r="G91" s="1"/>
      <c r="H91" s="1"/>
      <c r="I91" s="1"/>
      <c r="J91" s="7">
        <v>87</v>
      </c>
      <c r="K91" s="8">
        <v>3000</v>
      </c>
      <c r="L91" s="8">
        <v>80</v>
      </c>
      <c r="M91" s="9">
        <f t="shared" si="6"/>
        <v>3800</v>
      </c>
      <c r="N91" s="9">
        <f>SUM($M$5:M91)</f>
        <v>208550</v>
      </c>
      <c r="O91" s="3"/>
      <c r="P91" s="3"/>
      <c r="Q91" s="3"/>
      <c r="R91" s="3"/>
      <c r="S91" s="1"/>
      <c r="T91" s="2"/>
      <c r="U91" s="2"/>
      <c r="V91" s="1"/>
      <c r="W91" s="2"/>
      <c r="X91" s="1"/>
      <c r="Y91" s="3"/>
      <c r="Z91" s="3"/>
    </row>
    <row r="92" ht="16.5" spans="1:26">
      <c r="A92" s="1"/>
      <c r="B92" s="1"/>
      <c r="C92" s="1"/>
      <c r="D92" s="1"/>
      <c r="E92" s="1"/>
      <c r="F92" s="1"/>
      <c r="G92" s="1"/>
      <c r="H92" s="1"/>
      <c r="I92" s="1"/>
      <c r="J92" s="7">
        <v>88</v>
      </c>
      <c r="K92" s="8">
        <v>3000</v>
      </c>
      <c r="L92" s="8">
        <v>80</v>
      </c>
      <c r="M92" s="9">
        <f t="shared" si="6"/>
        <v>3800</v>
      </c>
      <c r="N92" s="9">
        <f>SUM($M$5:M92)</f>
        <v>212350</v>
      </c>
      <c r="O92" s="3"/>
      <c r="P92" s="3"/>
      <c r="Q92" s="3"/>
      <c r="R92" s="3"/>
      <c r="S92" s="1"/>
      <c r="T92" s="1"/>
      <c r="U92" s="2"/>
      <c r="V92" s="2"/>
      <c r="W92" s="2"/>
      <c r="X92" s="1"/>
      <c r="Y92" s="3"/>
      <c r="Z92" s="3"/>
    </row>
    <row r="93" ht="16.5" spans="1:26">
      <c r="A93" s="1"/>
      <c r="B93" s="1"/>
      <c r="C93" s="1"/>
      <c r="D93" s="1"/>
      <c r="E93" s="1"/>
      <c r="F93" s="1"/>
      <c r="G93" s="1"/>
      <c r="H93" s="1"/>
      <c r="I93" s="1"/>
      <c r="J93" s="7">
        <v>89</v>
      </c>
      <c r="K93" s="8">
        <v>3000</v>
      </c>
      <c r="L93" s="8">
        <v>80</v>
      </c>
      <c r="M93" s="9">
        <f t="shared" si="6"/>
        <v>3800</v>
      </c>
      <c r="N93" s="9">
        <f>SUM($M$5:M93)</f>
        <v>216150</v>
      </c>
      <c r="O93" s="3"/>
      <c r="P93" s="3"/>
      <c r="Q93" s="3"/>
      <c r="R93" s="3"/>
      <c r="S93" s="1"/>
      <c r="T93" s="1"/>
      <c r="U93" s="2"/>
      <c r="V93" s="2"/>
      <c r="W93" s="2"/>
      <c r="X93" s="1"/>
      <c r="Y93" s="3"/>
      <c r="Z93" s="3"/>
    </row>
    <row r="94" ht="16.5" spans="1:26">
      <c r="A94" s="1"/>
      <c r="B94" s="1"/>
      <c r="C94" s="1"/>
      <c r="D94" s="1"/>
      <c r="E94" s="1"/>
      <c r="F94" s="1"/>
      <c r="G94" s="1"/>
      <c r="H94" s="1"/>
      <c r="I94" s="1"/>
      <c r="J94" s="7">
        <v>90</v>
      </c>
      <c r="K94" s="8">
        <v>3000</v>
      </c>
      <c r="L94" s="8">
        <v>80</v>
      </c>
      <c r="M94" s="9">
        <f t="shared" si="6"/>
        <v>3800</v>
      </c>
      <c r="N94" s="9">
        <f>SUM($M$5:M94)</f>
        <v>219950</v>
      </c>
      <c r="O94" s="3"/>
      <c r="P94" s="3"/>
      <c r="Q94" s="3"/>
      <c r="R94" s="3"/>
      <c r="S94" s="1"/>
      <c r="T94" s="1"/>
      <c r="U94" s="2"/>
      <c r="V94" s="2"/>
      <c r="W94" s="2"/>
      <c r="X94" s="1"/>
      <c r="Y94" s="3"/>
      <c r="Z94" s="3"/>
    </row>
    <row r="95" ht="16.5" spans="1:26">
      <c r="A95" s="1"/>
      <c r="B95" s="1"/>
      <c r="C95" s="1"/>
      <c r="D95" s="1"/>
      <c r="E95" s="1"/>
      <c r="F95" s="1"/>
      <c r="G95" s="1"/>
      <c r="H95" s="1"/>
      <c r="I95" s="1"/>
      <c r="J95" s="2"/>
      <c r="K95" s="3"/>
      <c r="L95" s="3"/>
      <c r="M95" s="3"/>
      <c r="N95" s="3"/>
      <c r="O95" s="3"/>
      <c r="P95" s="3"/>
      <c r="Q95" s="3"/>
      <c r="R95" s="3"/>
      <c r="S95" s="1"/>
      <c r="T95" s="1"/>
      <c r="U95" s="2"/>
      <c r="V95" s="2"/>
      <c r="W95" s="2"/>
      <c r="X95" s="1"/>
      <c r="Y95" s="3"/>
      <c r="Z95" s="3"/>
    </row>
    <row r="96" ht="16.5" spans="1:26">
      <c r="A96" s="1"/>
      <c r="B96" s="1"/>
      <c r="C96" s="1"/>
      <c r="D96" s="1"/>
      <c r="E96" s="1"/>
      <c r="F96" s="1"/>
      <c r="G96" s="1"/>
      <c r="H96" s="1"/>
      <c r="I96" s="1"/>
      <c r="J96" s="2"/>
      <c r="K96" s="3"/>
      <c r="L96" s="3"/>
      <c r="M96" s="3"/>
      <c r="N96" s="3"/>
      <c r="O96" s="3"/>
      <c r="P96" s="3"/>
      <c r="Q96" s="3"/>
      <c r="R96" s="3"/>
      <c r="S96" s="1"/>
      <c r="T96" s="1"/>
      <c r="U96" s="2"/>
      <c r="V96" s="2"/>
      <c r="W96" s="2"/>
      <c r="X96" s="1"/>
      <c r="Y96" s="3"/>
      <c r="Z96" s="3"/>
    </row>
    <row r="97" ht="16.5" spans="1:26">
      <c r="A97" s="1"/>
      <c r="B97" s="1"/>
      <c r="C97" s="1"/>
      <c r="D97" s="1"/>
      <c r="E97" s="1"/>
      <c r="F97" s="1"/>
      <c r="G97" s="1"/>
      <c r="H97" s="1"/>
      <c r="I97" s="1"/>
      <c r="J97" s="2"/>
      <c r="K97" s="3"/>
      <c r="L97" s="3"/>
      <c r="M97" s="3"/>
      <c r="N97" s="3"/>
      <c r="O97" s="3"/>
      <c r="P97" s="3"/>
      <c r="Q97" s="3"/>
      <c r="R97" s="3"/>
      <c r="S97" s="1"/>
      <c r="T97" s="1"/>
      <c r="U97" s="2"/>
      <c r="V97" s="2"/>
      <c r="W97" s="2"/>
      <c r="X97" s="1"/>
      <c r="Y97" s="3"/>
      <c r="Z97" s="3"/>
    </row>
    <row r="98" ht="16.5" spans="1:26">
      <c r="A98" s="1"/>
      <c r="B98" s="1"/>
      <c r="C98" s="1"/>
      <c r="D98" s="1"/>
      <c r="E98" s="1"/>
      <c r="F98" s="1"/>
      <c r="G98" s="1"/>
      <c r="H98" s="1"/>
      <c r="I98" s="1"/>
      <c r="J98" s="2"/>
      <c r="K98" s="3"/>
      <c r="L98" s="3"/>
      <c r="M98" s="3"/>
      <c r="N98" s="3"/>
      <c r="O98" s="3"/>
      <c r="P98" s="3"/>
      <c r="Q98" s="3"/>
      <c r="R98" s="3"/>
      <c r="S98" s="1"/>
      <c r="T98" s="1"/>
      <c r="U98" s="2"/>
      <c r="V98" s="2"/>
      <c r="W98" s="2"/>
      <c r="X98" s="1"/>
      <c r="Y98" s="3"/>
      <c r="Z98" s="3"/>
    </row>
    <row r="99" ht="16.5" spans="1:26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1"/>
      <c r="R99" s="1"/>
      <c r="S99" s="1"/>
      <c r="T99" s="1"/>
      <c r="U99" s="2"/>
      <c r="V99" s="2"/>
      <c r="W99" s="2"/>
      <c r="X99" s="1"/>
      <c r="Y99" s="3"/>
      <c r="Z99" s="3"/>
    </row>
    <row r="100" ht="16.5" spans="1:26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1"/>
      <c r="R100" s="1"/>
      <c r="S100" s="1"/>
      <c r="T100" s="1"/>
      <c r="U100" s="2"/>
      <c r="V100" s="2"/>
      <c r="W100" s="2"/>
      <c r="X100" s="1"/>
      <c r="Y100" s="3"/>
      <c r="Z100" s="3"/>
    </row>
    <row r="101" ht="16.5" spans="1:26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1"/>
      <c r="R101" s="1"/>
      <c r="S101" s="1"/>
      <c r="T101" s="1"/>
      <c r="U101" s="2"/>
      <c r="V101" s="2"/>
      <c r="W101" s="2"/>
      <c r="X101" s="1"/>
      <c r="Y101" s="3"/>
      <c r="Z101" s="3"/>
    </row>
    <row r="102" ht="16.5" spans="1:26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1"/>
      <c r="R102" s="1"/>
      <c r="S102" s="1"/>
      <c r="T102" s="1"/>
      <c r="U102" s="2"/>
      <c r="V102" s="2"/>
      <c r="W102" s="2"/>
      <c r="X102" s="1"/>
      <c r="Y102" s="3"/>
      <c r="Z102" s="3"/>
    </row>
    <row r="103" ht="16.5" spans="1:26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1"/>
      <c r="R103" s="1"/>
      <c r="S103" s="1"/>
      <c r="T103" s="1"/>
      <c r="U103" s="2"/>
      <c r="V103" s="2"/>
      <c r="W103" s="2"/>
      <c r="X103" s="1"/>
      <c r="Y103" s="3"/>
      <c r="Z103" s="3"/>
    </row>
    <row r="104" ht="16.5" spans="1:26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1"/>
      <c r="R104" s="1"/>
      <c r="S104" s="1"/>
      <c r="T104" s="1"/>
      <c r="U104" s="2"/>
      <c r="V104" s="2"/>
      <c r="W104" s="2"/>
      <c r="X104" s="1"/>
      <c r="Y104" s="3"/>
      <c r="Z104" s="3"/>
    </row>
    <row r="105" ht="16.5" spans="1:26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1"/>
      <c r="R105" s="1"/>
      <c r="S105" s="1"/>
      <c r="T105" s="1"/>
      <c r="U105" s="2"/>
      <c r="V105" s="2"/>
      <c r="W105" s="2"/>
      <c r="X105" s="1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conditionalFormatting sqref="J5:N94">
    <cfRule type="expression" dxfId="0" priority="1">
      <formula>$G5&lt;&gt;""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开放节奏</vt:lpstr>
      <vt:lpstr>角色等级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2026-07-03T07:41:00Z</dcterms:created>
  <dcterms:modified xsi:type="dcterms:W3CDTF">2026-08-31T07:56:13Z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80AB6928E32E48EBA7AF657E33ED635F_12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