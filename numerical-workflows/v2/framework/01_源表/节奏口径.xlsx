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Vgame_design\numerical-workflows\v2\framework\01_源表\"/>
    </mc:Choice>
  </mc:AlternateContent>
  <bookViews>
    <workbookView windowWidth="27945" windowHeight="12375" activeTab="1"/>
  </bookViews>
  <sheets>
    <sheet name="开放节奏" sheetId="1" r:id="rId1"/>
    <sheet name="角色等级" sheetId="2" r:id="rId2"/>
    <sheet name="Sheet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<sst xmlns="http://schemas.openxmlformats.org/spreadsheetml/2006/main" count="130" uniqueCount="100">
  <si>
    <t>开启条件（填了哪个就以哪个为准）</t>
  </si>
  <si>
    <t>养成线</t>
  </si>
  <si>
    <t>玩法线</t>
  </si>
  <si>
    <t>引导</t>
  </si>
  <si>
    <t>角色等级</t>
  </si>
  <si>
    <t>章节</t>
  </si>
  <si>
    <t>主线关卡</t>
  </si>
  <si>
    <t>天数</t>
  </si>
  <si>
    <t>备注</t>
  </si>
  <si>
    <t>角色</t>
  </si>
  <si>
    <t>主线</t>
  </si>
  <si>
    <t>上阵小寒</t>
  </si>
  <si>
    <t>升级引导</t>
  </si>
  <si>
    <t>领取章节宝箱+选择下一关</t>
  </si>
  <si>
    <t>起名+招募+上阵大暑</t>
  </si>
  <si>
    <t>放开强引导，签到+邮件+七日活动+章节任务+每日任务+好友+聊天</t>
  </si>
  <si>
    <t>防呆引导，在一个条件下，主页停留超过一定时间需要提醒玩家点击主线</t>
  </si>
  <si>
    <t>能效</t>
  </si>
  <si>
    <t>能效引导</t>
  </si>
  <si>
    <t>舱室</t>
  </si>
  <si>
    <t>资源副本-舱室、温泉</t>
  </si>
  <si>
    <t>舱室养成需要建筑材料，可以从主线和高难主线刷取</t>
  </si>
  <si>
    <t>资源副本-金币</t>
  </si>
  <si>
    <t>公会</t>
  </si>
  <si>
    <t>竞技场</t>
  </si>
  <si>
    <t>资源副本-经验</t>
  </si>
  <si>
    <t>装备</t>
  </si>
  <si>
    <t>装备副本</t>
  </si>
  <si>
    <t>房车升级引导+爬塔指引</t>
  </si>
  <si>
    <t>房车升级</t>
  </si>
  <si>
    <t>爬塔</t>
  </si>
  <si>
    <t>无限挑战</t>
  </si>
  <si>
    <t>房车天赋</t>
  </si>
  <si>
    <t>跑商</t>
  </si>
  <si>
    <t>boss挑战</t>
  </si>
  <si>
    <t>装备宝石</t>
  </si>
  <si>
    <t>高难主线</t>
  </si>
  <si>
    <t>打开从序章开始的高难关卡（高难关卡也要卡等级）</t>
  </si>
  <si>
    <t>收容物</t>
  </si>
  <si>
    <t>资源副本-收容物</t>
  </si>
  <si>
    <t>肉鸽</t>
  </si>
  <si>
    <t>邮票</t>
  </si>
  <si>
    <t>邮票副本</t>
  </si>
  <si>
    <t>7到8</t>
  </si>
  <si>
    <t>主角等级上限</t>
  </si>
  <si>
    <t>章节任务经验产出</t>
  </si>
  <si>
    <t>额外经验</t>
  </si>
  <si>
    <t>小R</t>
  </si>
  <si>
    <t>大R</t>
  </si>
  <si>
    <t>体力兑换经验</t>
  </si>
  <si>
    <t>舱室经验产出</t>
  </si>
  <si>
    <t>经验产出</t>
  </si>
  <si>
    <t>天数等级表</t>
  </si>
  <si>
    <t>等级</t>
  </si>
  <si>
    <t>每级成长</t>
  </si>
  <si>
    <t>升级需要经验</t>
  </si>
  <si>
    <t>升级返还体力</t>
  </si>
  <si>
    <t>所需总经验</t>
  </si>
  <si>
    <t>实际所需总经验</t>
  </si>
  <si>
    <t>经验</t>
  </si>
  <si>
    <t>体力</t>
  </si>
  <si>
    <t>单日经验</t>
  </si>
  <si>
    <t>总经验</t>
  </si>
  <si>
    <t>来源</t>
  </si>
  <si>
    <t>每日产出</t>
  </si>
  <si>
    <t>核算经验</t>
  </si>
  <si>
    <t>实际等级</t>
  </si>
  <si>
    <t>自然回复</t>
  </si>
  <si>
    <t>每日任务</t>
  </si>
  <si>
    <t>购买体力1次</t>
  </si>
  <si>
    <t>购买体力2次</t>
  </si>
  <si>
    <t>购买体力3次</t>
  </si>
  <si>
    <t>购买体力4次</t>
  </si>
  <si>
    <t>购买体力5次</t>
  </si>
  <si>
    <t>购买体力6次</t>
  </si>
  <si>
    <t>购买体力7次</t>
  </si>
  <si>
    <t>购买体力8次</t>
  </si>
  <si>
    <t>温泉</t>
  </si>
  <si>
    <t>中R</t>
  </si>
  <si>
    <t>章节等级表</t>
  </si>
  <si>
    <t>开启等级</t>
  </si>
  <si>
    <t>天</t>
  </si>
  <si>
    <t>完成章节</t>
  </si>
  <si>
    <t>行旅帧片</t>
  </si>
  <si>
    <t>猎鹰金币</t>
  </si>
  <si>
    <t>元晶</t>
  </si>
  <si>
    <t>玩家经验</t>
  </si>
  <si>
    <t>角色经验（记录盘折算）</t>
  </si>
  <si>
    <t>D1</t>
  </si>
  <si>
    <t>1+2 章</t>
  </si>
  <si>
    <t>D2</t>
  </si>
  <si>
    <t>第 3 章</t>
  </si>
  <si>
    <t>D3</t>
  </si>
  <si>
    <t>第 4 章</t>
  </si>
  <si>
    <t>D4</t>
  </si>
  <si>
    <t>第 5 章</t>
  </si>
  <si>
    <t>D5</t>
  </si>
  <si>
    <t>第 6 章</t>
  </si>
  <si>
    <t>D6</t>
  </si>
  <si>
    <t>第 7 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</si>
</sst>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.75"/>
      <color rgb="FF0F1115"/>
      <name val="Segoe UI"/>
      <charset val="134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b/>
      <sz val="11"/>
      <color rgb="FFFFFFFF"/>
      <name val="微软雅黑"/>
      <charset val="134"/>
    </font>
    <font>
      <sz val="10"/>
      <color rgb="FF00000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5" borderId="2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3">
      <alignment vertical="center"/>
    </xf>
    <xf numFmtId="0" fontId="12" fillId="0" borderId="3">
      <alignment vertical="center"/>
    </xf>
    <xf numFmtId="0" fontId="13" fillId="0" borderId="4">
      <alignment vertical="center"/>
    </xf>
    <xf numFmtId="0" fontId="13" fillId="0" borderId="0">
      <alignment vertical="center"/>
    </xf>
    <xf numFmtId="0" fontId="14" fillId="6" borderId="5">
      <alignment vertical="center"/>
    </xf>
    <xf numFmtId="0" fontId="15" fillId="7" borderId="6">
      <alignment vertical="center"/>
    </xf>
    <xf numFmtId="0" fontId="16" fillId="7" borderId="5">
      <alignment vertical="center"/>
    </xf>
    <xf numFmtId="0" fontId="17" fillId="8" borderId="7">
      <alignment vertical="center"/>
    </xf>
    <xf numFmtId="0" fontId="18" fillId="0" borderId="8">
      <alignment vertical="center"/>
    </xf>
    <xf numFmtId="0" fontId="19" fillId="0" borderId="9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4" fillId="13" borderId="0">
      <alignment vertical="center"/>
    </xf>
    <xf numFmtId="0" fontId="24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24" fillId="17" borderId="0">
      <alignment vertical="center"/>
    </xf>
    <xf numFmtId="0" fontId="24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4" fillId="21" borderId="0">
      <alignment vertical="center"/>
    </xf>
    <xf numFmtId="0" fontId="24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4" fillId="25" borderId="0">
      <alignment vertical="center"/>
    </xf>
    <xf numFmtId="0" fontId="24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4" fillId="29" borderId="0">
      <alignment vertical="center"/>
    </xf>
    <xf numFmtId="0" fontId="24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4" fillId="33" borderId="0">
      <alignment vertical="center"/>
    </xf>
    <xf numFmtId="0" fontId="24" fillId="34" borderId="0">
      <alignment vertical="center"/>
    </xf>
    <xf numFmtId="0" fontId="23" fillId="35" borderId="0">
      <alignment vertical="center"/>
    </xf>
  </cellStyleXfs>
  <cellXfs count="17">
    <xf numFmtId="0" fontId="0" fillId="0" borderId="0" xfId="0"/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wrapText="1"/>
    </xf>
    <xf numFmtId="3" fontId="1" fillId="2" borderId="0" xfId="0" applyNumberFormat="1" applyFont="1" applyFill="1" applyAlignment="1">
      <alignment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3" fillId="0" borderId="0" xfId="0" applyFont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0" fillId="0" borderId="0" xfId="0" applyFont="1" applyFill="1" applyAlignment="1"/>
    <xf numFmtId="3" fontId="5" fillId="0" borderId="0" xfId="0" applyNumberFormat="1" applyFont="1" applyAlignment="1">
      <alignment vertical="center"/>
    </xf>
    <xf numFmtId="0" fontId="2" fillId="3" borderId="0" xfId="0" applyFont="1" applyFill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3" fontId="0" fillId="0" borderId="0" xfId="0" applyNumberFormat="1"/>
    <xf numFmtId="0" fontId="2" fillId="0" borderId="0" xfId="0" applyFont="1"/>
    <xf numFmtId="0" fontId="2" fillId="0" borderId="0" xfId="0" applyFont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fgColor rgb="FFEAF3F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203"/>
  <sheetViews>
    <sheetView showGridLines="0" workbookViewId="0">
      <pane ySplit="1" topLeftCell="A2" activePane="bottomLeft" state="frozen"/>
      <selection/>
      <selection pane="bottomLeft" activeCell="D20" sqref="D20"/>
    </sheetView>
  </sheetViews>
  <sheetFormatPr defaultColWidth="9" defaultRowHeight="16.5"/>
  <cols>
    <col min="1" max="2" width="9" style="15" customWidth="1"/>
    <col min="3" max="3" width="30.375" style="15" customWidth="1"/>
    <col min="4" max="4" width="67.125" style="15" customWidth="1"/>
    <col min="5" max="5" width="33.75" style="15" customWidth="1"/>
    <col min="6" max="8" width="9" style="15" customWidth="1"/>
    <col min="9" max="9" width="15" style="15" customWidth="1"/>
    <col min="10" max="16384" width="9" style="15" customWidth="1"/>
  </cols>
  <sheetData>
    <row r="1" spans="1:40">
      <c r="A1" s="16"/>
      <c r="B1" s="16"/>
      <c r="C1" s="16"/>
      <c r="D1" s="16"/>
      <c r="E1" s="16" t="s">
        <v>0</v>
      </c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</row>
    <row r="2" spans="1:40">
      <c r="A2" s="16"/>
      <c r="B2" s="8" t="s">
        <v>1</v>
      </c>
      <c r="C2" s="8" t="s">
        <v>2</v>
      </c>
      <c r="D2" s="8" t="s">
        <v>3</v>
      </c>
      <c r="E2" s="8" t="s">
        <v>4</v>
      </c>
      <c r="F2" s="8" t="s">
        <v>5</v>
      </c>
      <c r="G2" s="8" t="s">
        <v>6</v>
      </c>
      <c r="H2" s="8" t="s">
        <v>7</v>
      </c>
      <c r="I2" s="8" t="s">
        <v>8</v>
      </c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</row>
    <row r="3" s="15" customFormat="1" spans="1:40">
      <c r="A3" s="16"/>
      <c r="B3" s="5" t="s">
        <v>9</v>
      </c>
      <c r="C3" s="16"/>
      <c r="D3" s="16"/>
      <c r="E3" s="16">
        <v>1</v>
      </c>
      <c r="F3" s="16"/>
      <c r="G3" s="16"/>
      <c r="H3" s="15">
        <v>1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</row>
    <row r="4" s="15" customFormat="1" spans="1:40">
      <c r="A4" s="16"/>
      <c r="B4" s="5"/>
      <c r="C4" s="16" t="s">
        <v>10</v>
      </c>
      <c r="D4" s="16"/>
      <c r="E4" s="16">
        <v>1</v>
      </c>
      <c r="F4" s="16"/>
      <c r="G4" s="16"/>
      <c r="H4" s="15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="15" customFormat="1" spans="1:40">
      <c r="A5" s="16"/>
      <c r="B5" s="5"/>
      <c r="C5" s="16"/>
      <c r="D5" s="16" t="s">
        <v>11</v>
      </c>
      <c r="E5" s="16"/>
      <c r="F5" s="16">
        <v>0</v>
      </c>
      <c r="G5" s="16">
        <v>2</v>
      </c>
      <c r="H5" s="15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</row>
    <row r="6" s="15" customFormat="1" spans="1:40">
      <c r="A6" s="16"/>
      <c r="B6" s="5"/>
      <c r="C6" s="16"/>
      <c r="D6" s="16" t="s">
        <v>12</v>
      </c>
      <c r="E6" s="16"/>
      <c r="F6" s="16">
        <v>0</v>
      </c>
      <c r="G6" s="16">
        <v>3</v>
      </c>
      <c r="H6" s="15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</row>
    <row r="7" s="15" customFormat="1" spans="1:40">
      <c r="A7" s="16"/>
      <c r="B7" s="5"/>
      <c r="C7" s="16"/>
      <c r="D7" s="16" t="s">
        <v>13</v>
      </c>
      <c r="E7" s="16"/>
      <c r="F7" s="16">
        <v>0</v>
      </c>
      <c r="G7" s="16">
        <v>4</v>
      </c>
      <c r="H7" s="15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</row>
    <row r="8" s="15" customFormat="1" spans="1:40">
      <c r="A8" s="16"/>
      <c r="B8" s="5"/>
      <c r="C8" s="16"/>
      <c r="D8" s="16" t="s">
        <v>14</v>
      </c>
      <c r="E8" s="16"/>
      <c r="F8" s="16">
        <v>1</v>
      </c>
      <c r="G8" s="16">
        <v>1</v>
      </c>
      <c r="H8" s="15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</row>
    <row r="9" s="15" customFormat="1" spans="1:40">
      <c r="A9" s="16"/>
      <c r="B9" s="5"/>
      <c r="C9" s="16"/>
      <c r="D9" s="16" t="s">
        <v>15</v>
      </c>
      <c r="E9" s="16"/>
      <c r="F9" s="16">
        <v>1</v>
      </c>
      <c r="G9" s="16">
        <v>2</v>
      </c>
      <c r="H9" s="15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</row>
    <row r="10" s="15" customFormat="1" spans="1:40">
      <c r="A10" s="16"/>
      <c r="B10" s="5"/>
      <c r="C10" s="16"/>
      <c r="D10" s="16" t="s">
        <v>16</v>
      </c>
      <c r="E10" s="16"/>
      <c r="F10" s="16"/>
      <c r="G10" s="16"/>
      <c r="H10" s="15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</row>
    <row r="11" s="15" customFormat="1" spans="1:40">
      <c r="A11" s="16"/>
      <c r="B11" s="5" t="s">
        <v>17</v>
      </c>
      <c r="C11" s="16"/>
      <c r="D11" s="16" t="s">
        <v>18</v>
      </c>
      <c r="E11" s="16"/>
      <c r="F11" s="16">
        <v>1</v>
      </c>
      <c r="G11" s="16">
        <v>4</v>
      </c>
      <c r="H11" s="15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</row>
    <row r="12" s="15" customFormat="1" spans="1:40">
      <c r="A12" s="16"/>
      <c r="B12" s="5" t="s">
        <v>19</v>
      </c>
      <c r="C12" s="16" t="s">
        <v>20</v>
      </c>
      <c r="D12" s="16" t="s">
        <v>21</v>
      </c>
      <c r="E12" s="16"/>
      <c r="F12" s="16">
        <v>1</v>
      </c>
      <c r="G12" s="16">
        <v>8</v>
      </c>
      <c r="H12" s="15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</row>
    <row r="13" s="15" customFormat="1" spans="1:40">
      <c r="A13" s="16"/>
      <c r="B13" s="5"/>
      <c r="C13" s="16" t="s">
        <v>22</v>
      </c>
      <c r="D13" s="16"/>
      <c r="E13" s="16"/>
      <c r="F13" s="16">
        <v>2</v>
      </c>
      <c r="G13" s="16">
        <v>4</v>
      </c>
      <c r="H13" s="15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</row>
    <row r="14" s="15" customFormat="1" spans="1:40">
      <c r="A14" s="16"/>
      <c r="B14" s="5"/>
      <c r="C14" s="16" t="s">
        <v>23</v>
      </c>
      <c r="D14" s="16"/>
      <c r="E14" s="16">
        <v>20</v>
      </c>
      <c r="F14" s="16"/>
      <c r="G14" s="16"/>
      <c r="H14" s="15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</row>
    <row r="15" s="15" customFormat="1" spans="1:40">
      <c r="A15" s="16"/>
      <c r="B15" s="5"/>
      <c r="C15" s="16" t="s">
        <v>24</v>
      </c>
      <c r="D15" s="16"/>
      <c r="E15" s="16"/>
      <c r="F15" s="16">
        <v>2</v>
      </c>
      <c r="G15" s="16">
        <v>7</v>
      </c>
      <c r="H15" s="15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</row>
    <row r="16" s="15" customFormat="1" spans="1:40">
      <c r="A16" s="16"/>
      <c r="B16" s="5"/>
      <c r="C16" s="16" t="s">
        <v>25</v>
      </c>
      <c r="D16" s="16"/>
      <c r="E16" s="16"/>
      <c r="F16" s="16">
        <v>2</v>
      </c>
      <c r="G16" s="16">
        <v>8</v>
      </c>
      <c r="H16" s="15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</row>
    <row r="17" s="15" customFormat="1" spans="1:40">
      <c r="A17" s="16"/>
      <c r="B17" s="5" t="s">
        <v>26</v>
      </c>
      <c r="C17" s="16" t="s">
        <v>27</v>
      </c>
      <c r="D17" s="16" t="s">
        <v>28</v>
      </c>
      <c r="E17" s="16"/>
      <c r="F17" s="16">
        <v>2</v>
      </c>
      <c r="G17" s="16">
        <v>10</v>
      </c>
      <c r="H17" s="15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</row>
    <row r="18" s="15" customFormat="1" spans="1:40">
      <c r="A18" s="16"/>
      <c r="B18" s="5" t="s">
        <v>29</v>
      </c>
      <c r="C18" s="16" t="s">
        <v>30</v>
      </c>
      <c r="D18" s="16"/>
      <c r="E18" s="16"/>
      <c r="F18" s="16">
        <v>3</v>
      </c>
      <c r="G18" s="16">
        <v>10</v>
      </c>
      <c r="H18" s="15">
        <v>2</v>
      </c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</row>
    <row r="19" s="15" customFormat="1" spans="1:40">
      <c r="A19" s="16"/>
      <c r="B19" s="5"/>
      <c r="C19" s="16" t="s">
        <v>31</v>
      </c>
      <c r="D19" s="16"/>
      <c r="E19" s="16">
        <v>25</v>
      </c>
      <c r="F19" s="16"/>
      <c r="G19" s="16"/>
      <c r="H19" s="15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</row>
    <row r="20" s="15" customFormat="1" spans="1:40">
      <c r="A20" s="16"/>
      <c r="B20" s="5" t="s">
        <v>32</v>
      </c>
      <c r="C20" s="16" t="s">
        <v>33</v>
      </c>
      <c r="D20" s="16"/>
      <c r="E20" s="16"/>
      <c r="F20" s="16">
        <v>4</v>
      </c>
      <c r="G20" s="16">
        <v>10</v>
      </c>
      <c r="H20" s="15">
        <v>3</v>
      </c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</row>
    <row r="21" s="15" customFormat="1" spans="1:40">
      <c r="A21" s="16"/>
      <c r="B21" s="5"/>
      <c r="C21" s="16" t="s">
        <v>34</v>
      </c>
      <c r="D21" s="16"/>
      <c r="E21" s="16"/>
      <c r="F21" s="16">
        <v>4</v>
      </c>
      <c r="G21" s="16">
        <v>15</v>
      </c>
      <c r="H21" s="15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</row>
    <row r="22" s="15" customFormat="1" spans="1:40">
      <c r="A22" s="16"/>
      <c r="B22" s="5" t="s">
        <v>35</v>
      </c>
      <c r="C22" s="16" t="s">
        <v>36</v>
      </c>
      <c r="D22" s="16" t="s">
        <v>37</v>
      </c>
      <c r="E22" s="16"/>
      <c r="F22" s="16">
        <v>5</v>
      </c>
      <c r="G22" s="16">
        <v>15</v>
      </c>
      <c r="H22" s="15">
        <v>4</v>
      </c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</row>
    <row r="23" s="15" customFormat="1" spans="1:40">
      <c r="A23" s="16"/>
      <c r="B23" s="5" t="s">
        <v>38</v>
      </c>
      <c r="C23" s="16" t="s">
        <v>39</v>
      </c>
      <c r="D23" s="16"/>
      <c r="E23" s="16">
        <v>34</v>
      </c>
      <c r="F23" s="16"/>
      <c r="G23" s="16"/>
      <c r="H23" s="15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</row>
    <row r="24" s="15" customFormat="1" spans="1:40">
      <c r="A24" s="16"/>
      <c r="B24" s="5"/>
      <c r="C24" s="16" t="s">
        <v>40</v>
      </c>
      <c r="D24" s="16"/>
      <c r="E24" s="16">
        <v>35</v>
      </c>
      <c r="F24" s="16"/>
      <c r="G24" s="16"/>
      <c r="H24" s="15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</row>
    <row r="25" s="15" customFormat="1" spans="1:40">
      <c r="A25" s="16"/>
      <c r="B25" s="5" t="s">
        <v>41</v>
      </c>
      <c r="C25" s="16" t="s">
        <v>42</v>
      </c>
      <c r="D25" s="16"/>
      <c r="E25" s="16">
        <v>38</v>
      </c>
      <c r="F25" s="16"/>
      <c r="G25" s="16"/>
      <c r="H25" s="15" t="s">
        <v>43</v>
      </c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</row>
    <row r="26" spans="1:40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</row>
    <row r="27" spans="1:40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</row>
    <row r="28" spans="1:40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</row>
    <row r="29" spans="1:40">
      <c r="A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</row>
    <row r="30" spans="1:4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</row>
    <row r="31" spans="1:40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</row>
    <row r="32" spans="1:40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</row>
    <row r="33" spans="1:40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</row>
    <row r="34" spans="1:40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</row>
    <row r="35" spans="1:40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</row>
    <row r="36" spans="1:40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</row>
    <row r="37" spans="1:40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</row>
    <row r="38" spans="1:40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</row>
    <row r="39" spans="1:40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</row>
    <row r="40" spans="1: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</row>
    <row r="41" spans="1:40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</row>
    <row r="42" spans="1:40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</row>
    <row r="43" spans="1:40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</row>
    <row r="44" spans="1:40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</row>
    <row r="45" spans="1:40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</row>
    <row r="46" spans="1:40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</row>
    <row r="47" spans="1:40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</row>
    <row r="48" spans="1:40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</row>
    <row r="49" spans="1:40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</row>
    <row r="50" spans="1:4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</row>
    <row r="51" spans="1:40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</row>
    <row r="52" spans="1:40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</row>
    <row r="53" spans="1:40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</row>
    <row r="54" spans="1:40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</row>
    <row r="55" spans="1:40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</row>
    <row r="56" spans="1:40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</row>
    <row r="57" spans="1:40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</row>
    <row r="58" spans="1:40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</row>
    <row r="59" spans="1:40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</row>
    <row r="60" spans="1:4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</row>
    <row r="61" spans="1:40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</row>
    <row r="62" spans="1:40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</row>
    <row r="63" spans="1:40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</row>
    <row r="64" spans="1:40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</row>
    <row r="65" spans="1:40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</row>
    <row r="66" spans="1:40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</row>
    <row r="67" spans="1:40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</row>
    <row r="68" spans="1:40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</row>
    <row r="69" spans="1:40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</row>
    <row r="70" spans="1:4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</row>
    <row r="71" spans="1:40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</row>
    <row r="72" spans="1:40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</row>
    <row r="73" spans="1:40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</row>
    <row r="74" spans="1:40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</row>
    <row r="75" spans="1:40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</row>
    <row r="76" spans="1:40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</row>
    <row r="77" spans="1:40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</row>
    <row r="78" spans="1:40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</row>
    <row r="79" spans="1:40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</row>
    <row r="80" spans="1:4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</row>
    <row r="81" spans="1:40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</row>
    <row r="82" spans="1:40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</row>
    <row r="83" spans="1:40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</row>
    <row r="84" spans="1:40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</row>
    <row r="85" spans="1:40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</row>
    <row r="86" spans="1:40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</row>
    <row r="87" spans="1:40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</row>
    <row r="88" spans="1:40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</row>
    <row r="89" spans="1:40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</row>
    <row r="90" spans="1:4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</row>
    <row r="91" spans="1:40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</row>
    <row r="92" spans="1:40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</row>
    <row r="93" spans="1:40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</row>
    <row r="94" spans="1:40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</row>
    <row r="95" spans="1:40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</row>
    <row r="96" spans="1:40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</row>
    <row r="97" spans="1:40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</row>
    <row r="98" spans="1:40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</row>
    <row r="99" spans="1:40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</row>
    <row r="100" spans="1:4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</row>
    <row r="101" spans="1:40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</row>
    <row r="102" spans="1:40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</row>
    <row r="103" spans="1:40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</row>
    <row r="104" spans="1:40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</row>
    <row r="105" spans="1:40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</row>
    <row r="106" spans="1:40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</row>
    <row r="107" spans="1:40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</row>
    <row r="108" spans="1:40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</row>
    <row r="109" spans="1:40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</row>
    <row r="110" spans="1:4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</row>
    <row r="111" spans="1:40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</row>
    <row r="112" spans="1:40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</row>
    <row r="113" spans="1:40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</row>
    <row r="114" spans="1:40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</row>
    <row r="115" spans="1:40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</row>
    <row r="116" spans="1:40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</row>
    <row r="117" spans="1:40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</row>
    <row r="118" spans="1:40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</row>
    <row r="119" spans="1:40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</row>
    <row r="120" spans="1:4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</row>
    <row r="121" spans="1:40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</row>
    <row r="122" spans="1:40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</row>
    <row r="123" spans="1:40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</row>
    <row r="124" spans="1:40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</row>
    <row r="125" spans="1:40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</row>
    <row r="126" spans="1:40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</row>
    <row r="127" spans="1:40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</row>
    <row r="128" spans="1:40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</row>
    <row r="129" spans="1:40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</row>
    <row r="130" spans="1:4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</row>
    <row r="131" spans="1:40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</row>
    <row r="132" spans="1:40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</row>
    <row r="133" spans="1:40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</row>
    <row r="134" spans="1:40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</row>
    <row r="135" spans="1:40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</row>
    <row r="136" spans="1:40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</row>
    <row r="137" spans="1:40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</row>
    <row r="138" spans="1:40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</row>
    <row r="139" spans="1:40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</row>
    <row r="140" spans="1: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</row>
    <row r="141" spans="1:40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</row>
    <row r="142" spans="1:40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</row>
    <row r="143" spans="1:40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</row>
    <row r="144" spans="1:40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</row>
    <row r="145" spans="1:40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</row>
    <row r="146" spans="1:40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</row>
    <row r="147" spans="1:40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</row>
    <row r="148" spans="1:40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</row>
    <row r="149" spans="1:40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</row>
    <row r="150" spans="1:4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</row>
    <row r="151" spans="1:40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</row>
    <row r="152" spans="1:40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</row>
    <row r="153" spans="1:40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</row>
    <row r="154" spans="1:40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</row>
    <row r="155" spans="1:40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</row>
    <row r="156" spans="1:40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</row>
    <row r="157" spans="1:40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</row>
    <row r="158" spans="1:40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</row>
    <row r="159" spans="1:40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</row>
    <row r="160" spans="1:4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</row>
    <row r="161" spans="1:40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</row>
    <row r="162" spans="1:40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</row>
    <row r="163" spans="1:40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</row>
    <row r="164" spans="1:40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</row>
    <row r="165" spans="1:40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</row>
    <row r="166" spans="1:40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</row>
    <row r="167" spans="1:40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</row>
    <row r="168" spans="1:40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</row>
    <row r="169" spans="1:40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</row>
    <row r="170" spans="1:4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</row>
    <row r="171" spans="1:40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</row>
    <row r="172" spans="1:40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</row>
    <row r="173" spans="1:40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</row>
    <row r="174" spans="1:40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</row>
    <row r="175" spans="1:40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</row>
    <row r="176" spans="1:40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</row>
    <row r="177" spans="1:40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</row>
    <row r="178" spans="1:40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</row>
    <row r="179" spans="1:40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</row>
    <row r="180" spans="1:4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</row>
    <row r="181" spans="1:40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</row>
    <row r="182" spans="1:40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</row>
    <row r="183" spans="1:40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</row>
    <row r="184" spans="1:40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</row>
    <row r="185" spans="1:40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</row>
    <row r="186" spans="1:40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</row>
    <row r="187" spans="1:40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</row>
    <row r="188" spans="1:40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</row>
    <row r="189" spans="1:40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</row>
    <row r="190" spans="1:4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</row>
    <row r="191" spans="1:40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</row>
    <row r="192" spans="1:40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</row>
    <row r="193" spans="1:40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</row>
    <row r="194" spans="1:40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</row>
    <row r="195" spans="1:40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</row>
    <row r="196" spans="1:40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</row>
    <row r="197" spans="1:40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</row>
    <row r="198" spans="1:40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</row>
    <row r="199" spans="1:40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</row>
    <row r="200" spans="1:4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</row>
    <row r="201" spans="1:40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</row>
    <row r="202" spans="1:40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</row>
    <row r="203" spans="1:40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84"/>
  <sheetViews>
    <sheetView tabSelected="1" workbookViewId="0">
      <selection activeCell="A14" sqref="A14"/>
    </sheetView>
  </sheetViews>
  <sheetFormatPr defaultColWidth="9" defaultRowHeight="13.5"/>
  <cols>
    <col min="4" max="4" width="11" customWidth="1"/>
    <col min="5" max="5" width="12.875" customWidth="1"/>
    <col min="6" max="6" width="14.125" customWidth="1"/>
    <col min="7" max="7" width="15" customWidth="1"/>
    <col min="10" max="10" width="12.875" customWidth="1"/>
    <col min="11" max="19" width="12.125" customWidth="1"/>
    <col min="20" max="20" width="15.875" customWidth="1"/>
    <col min="21" max="22" width="15.5" customWidth="1"/>
    <col min="23" max="30" width="12.125" customWidth="1"/>
    <col min="34" max="34" width="10.875" customWidth="1"/>
    <col min="38" max="38" width="10.875" customWidth="1"/>
  </cols>
  <sheetData>
    <row r="1" ht="16.5" customHeight="1" spans="1:42">
      <c r="A1" s="4"/>
      <c r="B1" s="4"/>
      <c r="C1" s="4"/>
      <c r="D1" s="4"/>
      <c r="E1" s="4"/>
      <c r="F1" s="4"/>
      <c r="G1" s="4"/>
      <c r="H1" s="4"/>
      <c r="I1" s="4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4"/>
      <c r="AG1" s="4"/>
      <c r="AH1" s="4"/>
      <c r="AI1" s="5"/>
      <c r="AJ1" s="5"/>
      <c r="AK1" s="5"/>
      <c r="AL1" s="4"/>
    </row>
    <row r="2" ht="16.5" customHeight="1" spans="1:42">
      <c r="A2" s="4"/>
      <c r="B2" s="4" t="s">
        <v>44</v>
      </c>
      <c r="C2" s="4"/>
      <c r="D2" s="6">
        <v>60</v>
      </c>
      <c r="E2" s="4"/>
      <c r="F2" s="4">
        <v>31.16436782</v>
      </c>
      <c r="G2" s="4">
        <v>36.15066667</v>
      </c>
      <c r="H2" s="4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7" t="s">
        <v>45</v>
      </c>
      <c r="V2" s="7"/>
      <c r="W2" s="5"/>
      <c r="X2" s="5"/>
      <c r="Y2" s="7" t="s">
        <v>46</v>
      </c>
      <c r="Z2" s="5"/>
      <c r="AA2" s="5"/>
      <c r="AB2" s="5"/>
      <c r="AC2" s="5"/>
      <c r="AD2" s="5"/>
      <c r="AE2" s="5"/>
      <c r="AF2" s="4"/>
      <c r="AG2" s="4"/>
      <c r="AH2" s="7" t="s">
        <v>47</v>
      </c>
      <c r="AI2" s="7"/>
      <c r="AJ2" s="7"/>
      <c r="AK2" s="7"/>
      <c r="AL2" s="7" t="s">
        <v>48</v>
      </c>
      <c r="AM2" s="5"/>
      <c r="AN2" s="5"/>
    </row>
    <row r="3" ht="16.5" customHeight="1" spans="1:42">
      <c r="A3" s="4"/>
      <c r="B3" s="4" t="s">
        <v>49</v>
      </c>
      <c r="C3" s="4"/>
      <c r="D3" s="6">
        <v>5</v>
      </c>
      <c r="E3" s="4"/>
      <c r="F3" s="4">
        <v>36.15066667</v>
      </c>
      <c r="G3" s="4"/>
      <c r="H3" s="4"/>
      <c r="I3" s="4"/>
      <c r="J3" s="7" t="s">
        <v>50</v>
      </c>
      <c r="K3" t="s">
        <v>47</v>
      </c>
      <c r="L3" s="7"/>
      <c r="M3" s="7"/>
      <c r="N3" s="7"/>
      <c r="O3" s="7" t="s">
        <v>48</v>
      </c>
      <c r="P3" s="7"/>
      <c r="Q3" s="7"/>
      <c r="R3" s="7"/>
      <c r="S3" s="7"/>
      <c r="T3" s="7"/>
      <c r="U3" s="7" t="s">
        <v>47</v>
      </c>
      <c r="V3" s="7"/>
      <c r="W3" s="7" t="s">
        <v>48</v>
      </c>
      <c r="X3" s="7"/>
      <c r="Y3" s="7" t="s">
        <v>47</v>
      </c>
      <c r="Z3" s="7"/>
      <c r="AA3" s="7" t="s">
        <v>48</v>
      </c>
      <c r="AB3" s="7"/>
      <c r="AC3" s="7"/>
      <c r="AD3" s="7" t="s">
        <v>51</v>
      </c>
      <c r="AE3" s="5"/>
      <c r="AF3" s="5"/>
      <c r="AH3" s="5" t="s">
        <v>52</v>
      </c>
      <c r="AI3" s="5"/>
      <c r="AJ3" s="4"/>
      <c r="AL3" s="5" t="s">
        <v>52</v>
      </c>
      <c r="AM3" s="5"/>
      <c r="AN3" s="4"/>
    </row>
    <row r="4" ht="16.5" customHeight="1" spans="1:42">
      <c r="A4" s="4"/>
      <c r="B4" s="8" t="s">
        <v>53</v>
      </c>
      <c r="C4" s="8" t="s">
        <v>54</v>
      </c>
      <c r="D4" s="8" t="s">
        <v>55</v>
      </c>
      <c r="E4" s="8" t="s">
        <v>56</v>
      </c>
      <c r="F4" s="8" t="s">
        <v>57</v>
      </c>
      <c r="G4" s="8" t="s">
        <v>58</v>
      </c>
      <c r="H4" s="8"/>
      <c r="I4" s="4"/>
      <c r="J4" s="8" t="s">
        <v>7</v>
      </c>
      <c r="K4" s="8" t="s">
        <v>59</v>
      </c>
      <c r="L4" s="8" t="s">
        <v>60</v>
      </c>
      <c r="M4" s="8" t="s">
        <v>61</v>
      </c>
      <c r="N4" s="8" t="s">
        <v>62</v>
      </c>
      <c r="O4" s="8" t="s">
        <v>59</v>
      </c>
      <c r="P4" s="8" t="s">
        <v>60</v>
      </c>
      <c r="Q4" s="8" t="s">
        <v>61</v>
      </c>
      <c r="R4" s="8" t="s">
        <v>62</v>
      </c>
      <c r="S4" s="5"/>
      <c r="T4" s="8" t="s">
        <v>7</v>
      </c>
      <c r="U4" s="8" t="s">
        <v>59</v>
      </c>
      <c r="V4" s="8" t="s">
        <v>62</v>
      </c>
      <c r="W4" s="8" t="s">
        <v>59</v>
      </c>
      <c r="X4" s="8" t="s">
        <v>62</v>
      </c>
      <c r="Y4" s="8" t="s">
        <v>59</v>
      </c>
      <c r="Z4" s="8" t="s">
        <v>62</v>
      </c>
      <c r="AA4" s="8" t="s">
        <v>59</v>
      </c>
      <c r="AB4" s="8" t="s">
        <v>62</v>
      </c>
      <c r="AC4" s="5"/>
      <c r="AD4" s="8" t="s">
        <v>63</v>
      </c>
      <c r="AE4" s="8" t="s">
        <v>64</v>
      </c>
      <c r="AF4" s="8" t="s">
        <v>65</v>
      </c>
      <c r="AH4" s="8" t="s">
        <v>7</v>
      </c>
      <c r="AI4" s="8" t="s">
        <v>62</v>
      </c>
      <c r="AJ4" s="8" t="s">
        <v>66</v>
      </c>
      <c r="AL4" s="8" t="s">
        <v>7</v>
      </c>
      <c r="AM4" s="8" t="s">
        <v>62</v>
      </c>
      <c r="AN4" s="8" t="s">
        <v>66</v>
      </c>
    </row>
    <row r="5" ht="16.5" customHeight="1" spans="1:42">
      <c r="A5" s="4"/>
      <c r="B5" s="4">
        <v>1</v>
      </c>
      <c r="C5" s="4">
        <v>0</v>
      </c>
      <c r="D5" s="6">
        <v>40</v>
      </c>
      <c r="E5" s="4">
        <v>5</v>
      </c>
      <c r="F5" s="4">
        <f>SUM($D$5:D5)</f>
        <v>40</v>
      </c>
      <c r="G5" s="4">
        <f>F5-SUM($E$5:E5)*$D$3</f>
        <v>15</v>
      </c>
      <c r="H5" s="4"/>
      <c r="I5" s="4"/>
      <c r="J5" s="9">
        <v>1</v>
      </c>
      <c r="K5" s="10">
        <v>504</v>
      </c>
      <c r="L5" s="10">
        <v>38.4</v>
      </c>
      <c r="M5" s="11">
        <f>L5*$D$3+K5</f>
        <v>696</v>
      </c>
      <c r="N5" s="11">
        <f>SUM($M$5:M5)</f>
        <v>696</v>
      </c>
      <c r="O5" s="10">
        <v>648</v>
      </c>
      <c r="P5" s="10">
        <v>43.2</v>
      </c>
      <c r="Q5" s="11">
        <f>P5*$D$3+O5</f>
        <v>864</v>
      </c>
      <c r="R5" s="11">
        <f>SUM($Q$5:Q5)</f>
        <v>864</v>
      </c>
      <c r="S5" s="5"/>
      <c r="T5" s="9">
        <v>1</v>
      </c>
      <c r="U5" s="5">
        <v>2400</v>
      </c>
      <c r="V5" s="5">
        <f>SUM($U$5:U5)</f>
        <v>2400</v>
      </c>
      <c r="W5" s="5">
        <v>4200</v>
      </c>
      <c r="X5" s="5">
        <f>SUM($W$5:W5)</f>
        <v>4200</v>
      </c>
      <c r="Y5" s="5">
        <v>600</v>
      </c>
      <c r="Z5" s="5">
        <f>(SUM($Y$5:Y5))/2</f>
        <v>300</v>
      </c>
      <c r="AA5" s="5">
        <v>600</v>
      </c>
      <c r="AB5" s="5">
        <f>SUM($AA$5:AA5)</f>
        <v>600</v>
      </c>
      <c r="AC5" s="5"/>
      <c r="AD5" s="5" t="s">
        <v>67</v>
      </c>
      <c r="AE5" s="12">
        <v>240</v>
      </c>
      <c r="AF5" s="5">
        <f t="shared" ref="AF5:AF14" si="0">AE5*$D$3</f>
        <v>1200</v>
      </c>
      <c r="AH5" s="5">
        <v>1</v>
      </c>
      <c r="AI5" s="13">
        <f>$AF$21*AH5+N5+V5+Z5</f>
        <v>6996</v>
      </c>
      <c r="AJ5" s="4" cm="1">
        <f t="array" ref="AJ5">INDEX($B$5:$B$64,MATCH(AI5,$G$5:$G$64,1))+1</f>
        <v>22</v>
      </c>
      <c r="AL5" s="5">
        <v>1</v>
      </c>
      <c r="AM5" s="14">
        <f>$AF$23*AL5+R5+X5+AB5</f>
        <v>11964</v>
      </c>
      <c r="AN5" s="4" cm="1">
        <f t="array" ref="AN5">INDEX($B$5:$B$64,MATCH(AM5,$G$5:$G$64,1))+1</f>
        <v>25</v>
      </c>
      <c r="AO5" s="14">
        <f>AM5</f>
        <v>11964</v>
      </c>
      <c r="AP5">
        <v>12850</v>
      </c>
    </row>
    <row r="6" ht="16.5" customHeight="1" spans="1:42">
      <c r="A6" s="4"/>
      <c r="B6" s="4">
        <v>2</v>
      </c>
      <c r="C6" s="4">
        <v>5</v>
      </c>
      <c r="D6" s="4">
        <f t="shared" ref="D6:D64" si="1">C5+D5</f>
        <v>40</v>
      </c>
      <c r="E6" s="4">
        <v>5</v>
      </c>
      <c r="F6" s="4">
        <f>SUM($D$5:D6)</f>
        <v>80</v>
      </c>
      <c r="G6" s="4">
        <f>F6-SUM($E$5:E6)*$D$3</f>
        <v>30</v>
      </c>
      <c r="H6" s="4"/>
      <c r="I6" s="4"/>
      <c r="J6" s="9">
        <v>2</v>
      </c>
      <c r="K6" s="10">
        <v>648</v>
      </c>
      <c r="L6" s="10">
        <v>43.2</v>
      </c>
      <c r="M6" s="11">
        <f t="shared" ref="M6:M37" si="2">L6*$D$3+K6</f>
        <v>864</v>
      </c>
      <c r="N6" s="11">
        <f>SUM($M$5:M6)</f>
        <v>1560</v>
      </c>
      <c r="O6" s="10">
        <v>840</v>
      </c>
      <c r="P6" s="10">
        <v>48</v>
      </c>
      <c r="Q6" s="11">
        <f t="shared" ref="Q6:Q37" si="3">P6*$D$3+O6</f>
        <v>1080</v>
      </c>
      <c r="R6" s="11">
        <f>SUM($Q$5:Q6)</f>
        <v>1944</v>
      </c>
      <c r="S6" s="5"/>
      <c r="T6" s="9">
        <v>2</v>
      </c>
      <c r="U6" s="5">
        <v>1800</v>
      </c>
      <c r="V6" s="5">
        <f>SUM($U$5:U6)</f>
        <v>4200</v>
      </c>
      <c r="W6" s="5">
        <v>4400</v>
      </c>
      <c r="X6" s="5">
        <f>SUM($W$5:W6)</f>
        <v>8600</v>
      </c>
      <c r="Y6" s="5">
        <v>0</v>
      </c>
      <c r="Z6" s="5">
        <f>(SUM($Y$5:Y6))/2</f>
        <v>300</v>
      </c>
      <c r="AA6" s="5">
        <v>600</v>
      </c>
      <c r="AB6" s="5">
        <f>SUM($AA$5:AA6)</f>
        <v>1200</v>
      </c>
      <c r="AC6" s="5"/>
      <c r="AD6" s="5" t="s">
        <v>68</v>
      </c>
      <c r="AE6" s="5">
        <v>0</v>
      </c>
      <c r="AF6" s="12">
        <v>1500</v>
      </c>
      <c r="AH6" s="5">
        <v>2</v>
      </c>
      <c r="AI6" s="13">
        <f t="shared" ref="AI6:AI37" si="4">$AF$21*AH6+N6+V6+Z6</f>
        <v>13260</v>
      </c>
      <c r="AJ6" s="4" cm="1">
        <f t="array" ref="AJ6">INDEX($B$5:$B$64,MATCH(AI6,$G$5:$G$64,1))+1</f>
        <v>25</v>
      </c>
      <c r="AL6" s="5">
        <v>2</v>
      </c>
      <c r="AM6" s="14">
        <f t="shared" ref="AM6:AM37" si="5">$AF$23*AL6+R6+X6+AB6</f>
        <v>24344</v>
      </c>
      <c r="AN6" s="4" cm="1">
        <f t="array" ref="AN6">INDEX($B$5:$B$64,MATCH(AM6,$G$5:$G$64,1))+1</f>
        <v>30</v>
      </c>
      <c r="AO6" s="14">
        <f>AM6-AM5</f>
        <v>12380</v>
      </c>
      <c r="AP6">
        <v>8925</v>
      </c>
    </row>
    <row r="7" ht="16.5" customHeight="1" spans="1:42">
      <c r="A7" s="4"/>
      <c r="B7" s="4">
        <v>3</v>
      </c>
      <c r="C7" s="4">
        <v>5</v>
      </c>
      <c r="D7" s="4">
        <f t="shared" si="1"/>
        <v>45</v>
      </c>
      <c r="E7" s="4">
        <v>5</v>
      </c>
      <c r="F7" s="4">
        <f>SUM($D$5:D7)</f>
        <v>125</v>
      </c>
      <c r="G7" s="4">
        <f>F7-SUM($E$5:E7)*$D$3</f>
        <v>50</v>
      </c>
      <c r="H7" s="4"/>
      <c r="I7" s="4"/>
      <c r="J7" s="9">
        <v>3</v>
      </c>
      <c r="K7" s="10">
        <v>648</v>
      </c>
      <c r="L7" s="10">
        <v>43.2</v>
      </c>
      <c r="M7" s="11">
        <f t="shared" si="2"/>
        <v>864</v>
      </c>
      <c r="N7" s="11">
        <f>SUM($M$5:M7)</f>
        <v>2424</v>
      </c>
      <c r="O7" s="10">
        <v>840</v>
      </c>
      <c r="P7" s="10">
        <v>48</v>
      </c>
      <c r="Q7" s="11">
        <f t="shared" si="3"/>
        <v>1080</v>
      </c>
      <c r="R7" s="11">
        <f>SUM($Q$5:Q7)</f>
        <v>3024</v>
      </c>
      <c r="S7" s="5"/>
      <c r="T7" s="9">
        <v>3</v>
      </c>
      <c r="U7" s="5">
        <v>2000</v>
      </c>
      <c r="V7" s="5">
        <f>SUM($U$5:U7)</f>
        <v>6200</v>
      </c>
      <c r="W7" s="5">
        <v>6200</v>
      </c>
      <c r="X7" s="5">
        <f>SUM($W$5:W7)</f>
        <v>14800</v>
      </c>
      <c r="Y7" s="5">
        <v>600</v>
      </c>
      <c r="Z7" s="5">
        <f>(SUM($Y$5:Y7))/2</f>
        <v>600</v>
      </c>
      <c r="AA7" s="5">
        <v>300</v>
      </c>
      <c r="AB7" s="5">
        <f>SUM($AA$5:AA7)</f>
        <v>1500</v>
      </c>
      <c r="AC7" s="5"/>
      <c r="AD7" s="5" t="s">
        <v>69</v>
      </c>
      <c r="AE7" s="12">
        <v>60</v>
      </c>
      <c r="AF7" s="5">
        <f t="shared" si="0"/>
        <v>300</v>
      </c>
      <c r="AH7" s="5">
        <v>3</v>
      </c>
      <c r="AI7" s="13">
        <f t="shared" si="4"/>
        <v>20024</v>
      </c>
      <c r="AJ7" s="4" cm="1">
        <f t="array" ref="AJ7">INDEX($B$5:$B$64,MATCH(AI7,$G$5:$G$64,1))+1</f>
        <v>28</v>
      </c>
      <c r="AL7" s="5">
        <v>3</v>
      </c>
      <c r="AM7" s="14">
        <f t="shared" si="5"/>
        <v>38224</v>
      </c>
      <c r="AN7" s="4" cm="1">
        <f t="array" ref="AN7">INDEX($B$5:$B$64,MATCH(AM7,$G$5:$G$64,1))+1</f>
        <v>35</v>
      </c>
      <c r="AO7" s="14">
        <f t="shared" ref="AO7:AO38" si="6">AM7-AM6</f>
        <v>13880</v>
      </c>
      <c r="AP7">
        <v>11050</v>
      </c>
    </row>
    <row r="8" ht="16.5" customHeight="1" spans="1:42">
      <c r="A8" s="4"/>
      <c r="B8" s="4">
        <v>4</v>
      </c>
      <c r="C8" s="4">
        <v>5</v>
      </c>
      <c r="D8" s="4">
        <f t="shared" si="1"/>
        <v>50</v>
      </c>
      <c r="E8" s="4">
        <v>5</v>
      </c>
      <c r="F8" s="4">
        <f>SUM($D$5:D8)</f>
        <v>175</v>
      </c>
      <c r="G8" s="4">
        <f>F8-SUM($E$5:E8)*$D$3</f>
        <v>75</v>
      </c>
      <c r="H8" s="4"/>
      <c r="I8" s="4"/>
      <c r="J8" s="9">
        <v>4</v>
      </c>
      <c r="K8" s="10">
        <v>840</v>
      </c>
      <c r="L8" s="10">
        <v>48</v>
      </c>
      <c r="M8" s="11">
        <f t="shared" si="2"/>
        <v>1080</v>
      </c>
      <c r="N8" s="11">
        <f>SUM($M$5:M8)</f>
        <v>3504</v>
      </c>
      <c r="O8" s="10">
        <v>1080</v>
      </c>
      <c r="P8" s="10">
        <v>50.4</v>
      </c>
      <c r="Q8" s="11">
        <f t="shared" si="3"/>
        <v>1332</v>
      </c>
      <c r="R8" s="11">
        <f>SUM($Q$5:Q8)</f>
        <v>4356</v>
      </c>
      <c r="S8" s="5"/>
      <c r="T8" s="9">
        <v>4</v>
      </c>
      <c r="U8" s="5">
        <v>2400</v>
      </c>
      <c r="V8" s="5">
        <f>SUM($U$5:U8)</f>
        <v>8600</v>
      </c>
      <c r="W8" s="5">
        <v>0</v>
      </c>
      <c r="X8" s="5">
        <f>SUM($W$5:W8)</f>
        <v>14800</v>
      </c>
      <c r="Y8" s="5">
        <v>600</v>
      </c>
      <c r="Z8" s="5">
        <f>(SUM($Y$5:Y8))/2</f>
        <v>900</v>
      </c>
      <c r="AA8" s="5">
        <v>300</v>
      </c>
      <c r="AB8" s="5">
        <f>SUM($AA$5:AA8)</f>
        <v>1800</v>
      </c>
      <c r="AC8" s="5"/>
      <c r="AD8" s="5" t="s">
        <v>70</v>
      </c>
      <c r="AE8" s="12">
        <v>60</v>
      </c>
      <c r="AF8" s="5">
        <f t="shared" si="0"/>
        <v>300</v>
      </c>
      <c r="AH8" s="5">
        <v>4</v>
      </c>
      <c r="AI8" s="13">
        <f t="shared" si="4"/>
        <v>27404</v>
      </c>
      <c r="AJ8" s="4" cm="1">
        <f t="array" ref="AJ8">INDEX($B$5:$B$64,MATCH(AI8,$G$5:$G$64,1))+1</f>
        <v>31</v>
      </c>
      <c r="AL8" s="5">
        <v>4</v>
      </c>
      <c r="AM8" s="14">
        <f t="shared" si="5"/>
        <v>46156</v>
      </c>
      <c r="AN8" s="4" cm="1">
        <f t="array" ref="AN8">INDEX($B$5:$B$64,MATCH(AM8,$G$5:$G$64,1))+1</f>
        <v>37</v>
      </c>
      <c r="AO8" s="14">
        <f t="shared" si="6"/>
        <v>7932</v>
      </c>
      <c r="AP8">
        <v>6000</v>
      </c>
    </row>
    <row r="9" ht="16.5" customHeight="1" spans="1:42">
      <c r="A9" s="4"/>
      <c r="B9" s="4">
        <v>5</v>
      </c>
      <c r="C9" s="4">
        <v>5</v>
      </c>
      <c r="D9" s="4">
        <f t="shared" si="1"/>
        <v>55</v>
      </c>
      <c r="E9" s="4">
        <v>5</v>
      </c>
      <c r="F9" s="4">
        <f>SUM($D$5:D9)</f>
        <v>230</v>
      </c>
      <c r="G9" s="4">
        <f>F9-SUM($E$5:E9)*$D$3</f>
        <v>105</v>
      </c>
      <c r="H9" s="4"/>
      <c r="I9" s="4"/>
      <c r="J9" s="9">
        <v>5</v>
      </c>
      <c r="K9" s="10">
        <v>840</v>
      </c>
      <c r="L9" s="10">
        <v>48</v>
      </c>
      <c r="M9" s="11">
        <f t="shared" si="2"/>
        <v>1080</v>
      </c>
      <c r="N9" s="11">
        <f>SUM($M$5:M9)</f>
        <v>4584</v>
      </c>
      <c r="O9" s="10">
        <v>1080</v>
      </c>
      <c r="P9" s="10">
        <v>50.4</v>
      </c>
      <c r="Q9" s="11">
        <f t="shared" si="3"/>
        <v>1332</v>
      </c>
      <c r="R9" s="11">
        <f>SUM($Q$5:Q9)</f>
        <v>5688</v>
      </c>
      <c r="S9" s="5"/>
      <c r="T9" s="9">
        <v>5</v>
      </c>
      <c r="U9" s="5">
        <v>3600</v>
      </c>
      <c r="V9" s="5">
        <f>SUM($U$5:U9)</f>
        <v>12200</v>
      </c>
      <c r="W9" s="5">
        <v>0</v>
      </c>
      <c r="X9" s="5">
        <f>SUM($W$5:W9)</f>
        <v>14800</v>
      </c>
      <c r="Y9" s="5">
        <v>0</v>
      </c>
      <c r="Z9" s="5">
        <f>(SUM($Y$5:Y9))/2</f>
        <v>900</v>
      </c>
      <c r="AA9" s="5">
        <v>0</v>
      </c>
      <c r="AB9" s="5">
        <f>SUM($AA$5:AA9)</f>
        <v>1800</v>
      </c>
      <c r="AC9" s="5"/>
      <c r="AD9" s="5" t="s">
        <v>71</v>
      </c>
      <c r="AE9" s="12">
        <v>60</v>
      </c>
      <c r="AF9" s="5">
        <f t="shared" si="0"/>
        <v>300</v>
      </c>
      <c r="AH9" s="5">
        <v>5</v>
      </c>
      <c r="AI9" s="13">
        <f t="shared" si="4"/>
        <v>35684</v>
      </c>
      <c r="AJ9" s="4" cm="1">
        <f t="array" ref="AJ9">INDEX($B$5:$B$64,MATCH(AI9,$G$5:$G$64,1))+1</f>
        <v>34</v>
      </c>
      <c r="AL9" s="5">
        <v>5</v>
      </c>
      <c r="AM9" s="14">
        <f t="shared" si="5"/>
        <v>53788</v>
      </c>
      <c r="AN9" s="4" cm="1">
        <f t="array" ref="AN9">INDEX($B$5:$B$64,MATCH(AM9,$G$5:$G$64,1))+1</f>
        <v>39</v>
      </c>
      <c r="AO9" s="14">
        <f t="shared" si="6"/>
        <v>7632</v>
      </c>
      <c r="AP9">
        <v>4000</v>
      </c>
    </row>
    <row r="10" ht="16.5" customHeight="1" spans="1:42">
      <c r="A10" s="4"/>
      <c r="B10" s="4">
        <v>6</v>
      </c>
      <c r="C10" s="4">
        <v>5</v>
      </c>
      <c r="D10" s="4">
        <f t="shared" si="1"/>
        <v>60</v>
      </c>
      <c r="E10" s="4">
        <v>5</v>
      </c>
      <c r="F10" s="4">
        <f>SUM($D$5:D10)</f>
        <v>290</v>
      </c>
      <c r="G10" s="4">
        <f>F10-SUM($E$5:E10)*$D$3</f>
        <v>140</v>
      </c>
      <c r="H10" s="4"/>
      <c r="I10" s="4"/>
      <c r="J10" s="9">
        <v>6</v>
      </c>
      <c r="K10" s="10">
        <v>840</v>
      </c>
      <c r="L10" s="10">
        <v>48</v>
      </c>
      <c r="M10" s="11">
        <f t="shared" si="2"/>
        <v>1080</v>
      </c>
      <c r="N10" s="11">
        <f>SUM($M$5:M10)</f>
        <v>5664</v>
      </c>
      <c r="O10" s="10">
        <v>1080</v>
      </c>
      <c r="P10" s="10">
        <v>50.4</v>
      </c>
      <c r="Q10" s="11">
        <f t="shared" si="3"/>
        <v>1332</v>
      </c>
      <c r="R10" s="11">
        <f>SUM($Q$5:Q10)</f>
        <v>7020</v>
      </c>
      <c r="S10" s="5"/>
      <c r="T10" s="9">
        <v>6</v>
      </c>
      <c r="U10" s="5">
        <v>2600</v>
      </c>
      <c r="V10" s="5">
        <f>SUM($U$5:U10)</f>
        <v>14800</v>
      </c>
      <c r="W10" s="5">
        <v>0</v>
      </c>
      <c r="X10" s="5">
        <f>SUM($W$5:W10)</f>
        <v>14800</v>
      </c>
      <c r="Y10" s="5">
        <v>0</v>
      </c>
      <c r="Z10" s="5">
        <f>(SUM($Y$5:Y10))/2</f>
        <v>900</v>
      </c>
      <c r="AA10" s="5">
        <v>0</v>
      </c>
      <c r="AB10" s="5">
        <f>SUM($AA$5:AA10)</f>
        <v>1800</v>
      </c>
      <c r="AC10" s="5"/>
      <c r="AD10" s="5" t="s">
        <v>72</v>
      </c>
      <c r="AE10" s="12">
        <v>60</v>
      </c>
      <c r="AF10" s="5">
        <f t="shared" si="0"/>
        <v>300</v>
      </c>
      <c r="AH10" s="5">
        <v>6</v>
      </c>
      <c r="AI10" s="13">
        <f t="shared" si="4"/>
        <v>42964</v>
      </c>
      <c r="AJ10" s="4" cm="1">
        <f t="array" ref="AJ10">INDEX($B$5:$B$64,MATCH(AI10,$G$5:$G$64,1))+1</f>
        <v>36</v>
      </c>
      <c r="AL10" s="5">
        <v>6</v>
      </c>
      <c r="AM10" s="14">
        <f t="shared" si="5"/>
        <v>61420</v>
      </c>
      <c r="AN10" s="4" cm="1">
        <f t="array" ref="AN10">INDEX($B$5:$B$64,MATCH(AM10,$G$5:$G$64,1))+1</f>
        <v>40</v>
      </c>
      <c r="AO10" s="14">
        <f t="shared" si="6"/>
        <v>7632</v>
      </c>
    </row>
    <row r="11" ht="16.5" customHeight="1" spans="1:42">
      <c r="A11" s="4"/>
      <c r="B11" s="4">
        <v>7</v>
      </c>
      <c r="C11" s="4">
        <v>10</v>
      </c>
      <c r="D11" s="4">
        <f t="shared" si="1"/>
        <v>65</v>
      </c>
      <c r="E11" s="4">
        <v>5</v>
      </c>
      <c r="F11" s="4">
        <f>SUM($D$5:D11)</f>
        <v>355</v>
      </c>
      <c r="G11" s="4">
        <f>F11-SUM($E$5:E11)*$D$3</f>
        <v>180</v>
      </c>
      <c r="H11" s="4"/>
      <c r="I11" s="4"/>
      <c r="J11" s="9">
        <v>7</v>
      </c>
      <c r="K11" s="10">
        <v>1080</v>
      </c>
      <c r="L11" s="10">
        <v>50.4</v>
      </c>
      <c r="M11" s="11">
        <f t="shared" si="2"/>
        <v>1332</v>
      </c>
      <c r="N11" s="11">
        <f>SUM($M$5:M11)</f>
        <v>6996</v>
      </c>
      <c r="O11" s="10">
        <v>1392</v>
      </c>
      <c r="P11" s="10">
        <v>55.2</v>
      </c>
      <c r="Q11" s="11">
        <f t="shared" si="3"/>
        <v>1668</v>
      </c>
      <c r="R11" s="11">
        <f>SUM($Q$5:Q11)</f>
        <v>8688</v>
      </c>
      <c r="S11" s="5"/>
      <c r="T11" s="9">
        <v>7</v>
      </c>
      <c r="U11" s="5">
        <v>0</v>
      </c>
      <c r="V11" s="5">
        <f>SUM($U$5:U11)</f>
        <v>14800</v>
      </c>
      <c r="W11" s="5">
        <v>0</v>
      </c>
      <c r="X11" s="5">
        <f>SUM($W$5:W11)</f>
        <v>14800</v>
      </c>
      <c r="Y11" s="5">
        <v>600</v>
      </c>
      <c r="Z11" s="5">
        <f>(SUM($Y$5:Y11))/2</f>
        <v>1200</v>
      </c>
      <c r="AA11" s="5">
        <v>0</v>
      </c>
      <c r="AB11" s="5">
        <f>SUM($AA$5:AA11)</f>
        <v>1800</v>
      </c>
      <c r="AC11" s="5"/>
      <c r="AD11" s="5" t="s">
        <v>73</v>
      </c>
      <c r="AE11" s="12">
        <v>60</v>
      </c>
      <c r="AF11" s="5">
        <f t="shared" si="0"/>
        <v>300</v>
      </c>
      <c r="AH11" s="5">
        <v>7</v>
      </c>
      <c r="AI11" s="13">
        <f t="shared" si="4"/>
        <v>48196</v>
      </c>
      <c r="AJ11" s="4" cm="1">
        <f t="array" ref="AJ11">INDEX($B$5:$B$64,MATCH(AI11,$G$5:$G$64,1))+1</f>
        <v>37</v>
      </c>
      <c r="AL11" s="5">
        <v>7</v>
      </c>
      <c r="AM11" s="14">
        <f t="shared" si="5"/>
        <v>69388</v>
      </c>
      <c r="AN11" s="4" cm="1">
        <f t="array" ref="AN11">INDEX($B$5:$B$64,MATCH(AM11,$G$5:$G$64,1))+1</f>
        <v>42</v>
      </c>
      <c r="AO11" s="14">
        <f t="shared" si="6"/>
        <v>7968</v>
      </c>
    </row>
    <row r="12" ht="16.5" customHeight="1" spans="1:42">
      <c r="A12" s="4"/>
      <c r="B12" s="4">
        <v>8</v>
      </c>
      <c r="C12" s="4">
        <v>10</v>
      </c>
      <c r="D12" s="4">
        <f t="shared" si="1"/>
        <v>75</v>
      </c>
      <c r="E12" s="4">
        <v>5</v>
      </c>
      <c r="F12" s="4">
        <f>SUM($D$5:D12)</f>
        <v>430</v>
      </c>
      <c r="G12" s="4">
        <f>F12-SUM($E$5:E12)*$D$3</f>
        <v>230</v>
      </c>
      <c r="H12" s="4"/>
      <c r="I12" s="4"/>
      <c r="J12" s="9">
        <v>8</v>
      </c>
      <c r="K12" s="10">
        <v>1080</v>
      </c>
      <c r="L12" s="10">
        <v>50.4</v>
      </c>
      <c r="M12" s="11">
        <f t="shared" si="2"/>
        <v>1332</v>
      </c>
      <c r="N12" s="11">
        <f>SUM($M$5:M12)</f>
        <v>8328</v>
      </c>
      <c r="O12" s="10">
        <v>1392</v>
      </c>
      <c r="P12" s="10">
        <v>55.2</v>
      </c>
      <c r="Q12" s="11">
        <f t="shared" si="3"/>
        <v>1668</v>
      </c>
      <c r="R12" s="11">
        <f>SUM($Q$5:Q12)</f>
        <v>10356</v>
      </c>
      <c r="S12" s="5"/>
      <c r="T12" s="9">
        <v>8</v>
      </c>
      <c r="U12" s="5">
        <v>0</v>
      </c>
      <c r="V12" s="5">
        <f>SUM($U$5:U12)</f>
        <v>14800</v>
      </c>
      <c r="W12" s="5">
        <v>0</v>
      </c>
      <c r="X12" s="5">
        <f>SUM($W$5:W12)</f>
        <v>14800</v>
      </c>
      <c r="Y12" s="5">
        <v>600</v>
      </c>
      <c r="Z12" s="5">
        <f>(SUM($Y$5:Y12))/2</f>
        <v>1500</v>
      </c>
      <c r="AA12" s="5">
        <v>300</v>
      </c>
      <c r="AB12" s="5">
        <f>SUM($AA$5:AA12)</f>
        <v>2100</v>
      </c>
      <c r="AC12" s="5"/>
      <c r="AD12" s="5" t="s">
        <v>74</v>
      </c>
      <c r="AE12" s="12">
        <v>60</v>
      </c>
      <c r="AF12" s="5">
        <f t="shared" si="0"/>
        <v>300</v>
      </c>
      <c r="AH12" s="5">
        <v>8</v>
      </c>
      <c r="AI12" s="13">
        <f t="shared" si="4"/>
        <v>53428</v>
      </c>
      <c r="AJ12" s="4" cm="1">
        <f t="array" ref="AJ12">INDEX($B$5:$B$64,MATCH(AI12,$G$5:$G$64,1))+1</f>
        <v>39</v>
      </c>
      <c r="AL12" s="5">
        <v>8</v>
      </c>
      <c r="AM12" s="14">
        <f t="shared" si="5"/>
        <v>77656</v>
      </c>
      <c r="AN12" s="4" cm="1">
        <f t="array" ref="AN12">INDEX($B$5:$B$64,MATCH(AM12,$G$5:$G$64,1))+1</f>
        <v>43</v>
      </c>
      <c r="AO12" s="14">
        <f t="shared" si="6"/>
        <v>8268</v>
      </c>
    </row>
    <row r="13" ht="16.5" customHeight="1" spans="1:42">
      <c r="A13" s="4"/>
      <c r="B13" s="4">
        <v>9</v>
      </c>
      <c r="C13" s="4">
        <v>20</v>
      </c>
      <c r="D13" s="4">
        <f t="shared" si="1"/>
        <v>85</v>
      </c>
      <c r="E13" s="4">
        <v>5</v>
      </c>
      <c r="F13" s="4">
        <f>SUM($D$5:D13)</f>
        <v>515</v>
      </c>
      <c r="G13" s="4">
        <f>F13-SUM($E$5:E13)*$D$3</f>
        <v>290</v>
      </c>
      <c r="H13" s="4"/>
      <c r="I13" s="4"/>
      <c r="J13" s="9">
        <v>9</v>
      </c>
      <c r="K13" s="10">
        <v>1080</v>
      </c>
      <c r="L13" s="10">
        <v>50.4</v>
      </c>
      <c r="M13" s="11">
        <f t="shared" si="2"/>
        <v>1332</v>
      </c>
      <c r="N13" s="11">
        <f>SUM($M$5:M13)</f>
        <v>9660</v>
      </c>
      <c r="O13" s="10">
        <v>1392</v>
      </c>
      <c r="P13" s="10">
        <v>55.2</v>
      </c>
      <c r="Q13" s="11">
        <f t="shared" si="3"/>
        <v>1668</v>
      </c>
      <c r="R13" s="11">
        <f>SUM($Q$5:Q13)</f>
        <v>12024</v>
      </c>
      <c r="S13" s="5"/>
      <c r="T13" s="9">
        <v>9</v>
      </c>
      <c r="U13" s="5">
        <v>0</v>
      </c>
      <c r="V13" s="5">
        <f>SUM($U$5:U13)</f>
        <v>14800</v>
      </c>
      <c r="W13" s="5">
        <v>0</v>
      </c>
      <c r="X13" s="5">
        <f>SUM($W$5:W13)</f>
        <v>14800</v>
      </c>
      <c r="Y13" s="5">
        <v>600</v>
      </c>
      <c r="Z13" s="5">
        <f>(SUM($Y$5:Y13))/2</f>
        <v>1800</v>
      </c>
      <c r="AA13" s="5">
        <v>300</v>
      </c>
      <c r="AB13" s="5">
        <f>SUM($AA$5:AA13)</f>
        <v>2400</v>
      </c>
      <c r="AC13" s="5"/>
      <c r="AD13" s="5" t="s">
        <v>75</v>
      </c>
      <c r="AE13" s="12">
        <v>60</v>
      </c>
      <c r="AF13" s="5">
        <f t="shared" si="0"/>
        <v>300</v>
      </c>
      <c r="AH13" s="5">
        <v>9</v>
      </c>
      <c r="AI13" s="13">
        <f t="shared" si="4"/>
        <v>58660</v>
      </c>
      <c r="AJ13" s="4" cm="1">
        <f t="array" ref="AJ13">INDEX($B$5:$B$64,MATCH(AI13,$G$5:$G$64,1))+1</f>
        <v>40</v>
      </c>
      <c r="AL13" s="5">
        <v>9</v>
      </c>
      <c r="AM13" s="14">
        <f t="shared" si="5"/>
        <v>85924</v>
      </c>
      <c r="AN13" s="4" cm="1">
        <f t="array" ref="AN13">INDEX($B$5:$B$64,MATCH(AM13,$G$5:$G$64,1))+1</f>
        <v>44</v>
      </c>
      <c r="AO13" s="14">
        <f t="shared" si="6"/>
        <v>8268</v>
      </c>
    </row>
    <row r="14" ht="16.5" customHeight="1" spans="1:42">
      <c r="A14" s="4"/>
      <c r="B14" s="4">
        <v>10</v>
      </c>
      <c r="C14" s="4">
        <v>20</v>
      </c>
      <c r="D14" s="4">
        <f t="shared" si="1"/>
        <v>105</v>
      </c>
      <c r="E14" s="4">
        <v>10</v>
      </c>
      <c r="F14" s="4">
        <f>SUM($D$5:D14)</f>
        <v>620</v>
      </c>
      <c r="G14" s="4">
        <f>F14-SUM($E$5:E14)*$D$3</f>
        <v>345</v>
      </c>
      <c r="H14" s="4"/>
      <c r="I14" s="4"/>
      <c r="J14" s="9">
        <v>10</v>
      </c>
      <c r="K14" s="10">
        <v>1080</v>
      </c>
      <c r="L14" s="10">
        <v>50.4</v>
      </c>
      <c r="M14" s="11">
        <f t="shared" si="2"/>
        <v>1332</v>
      </c>
      <c r="N14" s="11">
        <f>SUM($M$5:M14)</f>
        <v>10992</v>
      </c>
      <c r="O14" s="10">
        <v>1752</v>
      </c>
      <c r="P14" s="10">
        <v>60</v>
      </c>
      <c r="Q14" s="11">
        <f t="shared" si="3"/>
        <v>2052</v>
      </c>
      <c r="R14" s="11">
        <f>SUM($Q$5:Q14)</f>
        <v>14076</v>
      </c>
      <c r="S14" s="5"/>
      <c r="T14" s="9">
        <v>10</v>
      </c>
      <c r="U14" s="5">
        <v>0</v>
      </c>
      <c r="V14" s="5">
        <f>SUM($U$5:U14)</f>
        <v>14800</v>
      </c>
      <c r="W14" s="5">
        <v>0</v>
      </c>
      <c r="X14" s="5">
        <f>SUM($W$5:W14)</f>
        <v>14800</v>
      </c>
      <c r="Y14" s="5">
        <v>0</v>
      </c>
      <c r="Z14" s="5">
        <f>(SUM($Y$5:Y14))/2</f>
        <v>1800</v>
      </c>
      <c r="AA14" s="5">
        <v>0</v>
      </c>
      <c r="AB14" s="5">
        <f>SUM($AA$5:AA14)</f>
        <v>2400</v>
      </c>
      <c r="AC14" s="5"/>
      <c r="AD14" s="5" t="s">
        <v>76</v>
      </c>
      <c r="AE14" s="12">
        <v>60</v>
      </c>
      <c r="AF14" s="5">
        <f t="shared" si="0"/>
        <v>300</v>
      </c>
      <c r="AH14" s="5">
        <v>10</v>
      </c>
      <c r="AI14" s="13">
        <f t="shared" si="4"/>
        <v>63592</v>
      </c>
      <c r="AJ14" s="4" cm="1">
        <f t="array" ref="AJ14">INDEX($B$5:$B$64,MATCH(AI14,$G$5:$G$64,1))+1</f>
        <v>41</v>
      </c>
      <c r="AL14" s="5">
        <v>10</v>
      </c>
      <c r="AM14" s="14">
        <f t="shared" si="5"/>
        <v>94276</v>
      </c>
      <c r="AN14" s="4" cm="1">
        <f t="array" ref="AN14">INDEX($B$5:$B$64,MATCH(AM14,$G$5:$G$64,1))+1</f>
        <v>45</v>
      </c>
      <c r="AO14" s="14">
        <f t="shared" si="6"/>
        <v>8352</v>
      </c>
    </row>
    <row r="15" ht="16.5" customHeight="1" spans="1:42">
      <c r="A15" s="4"/>
      <c r="B15" s="4">
        <v>11</v>
      </c>
      <c r="C15" s="4">
        <v>50</v>
      </c>
      <c r="D15" s="4">
        <f t="shared" si="1"/>
        <v>125</v>
      </c>
      <c r="E15" s="4">
        <v>10</v>
      </c>
      <c r="F15" s="4">
        <f>SUM($D$5:D15)</f>
        <v>745</v>
      </c>
      <c r="G15" s="4">
        <f>F15-SUM($E$5:E15)*$D$3</f>
        <v>420</v>
      </c>
      <c r="H15" s="4"/>
      <c r="I15" s="4"/>
      <c r="J15" s="9">
        <v>11</v>
      </c>
      <c r="K15" s="10">
        <v>1080</v>
      </c>
      <c r="L15" s="10">
        <v>50.4</v>
      </c>
      <c r="M15" s="11">
        <f t="shared" si="2"/>
        <v>1332</v>
      </c>
      <c r="N15" s="11">
        <f>SUM($M$5:M15)</f>
        <v>12324</v>
      </c>
      <c r="O15" s="10">
        <v>1752</v>
      </c>
      <c r="P15" s="10">
        <v>60</v>
      </c>
      <c r="Q15" s="11">
        <f t="shared" si="3"/>
        <v>2052</v>
      </c>
      <c r="R15" s="11">
        <f>SUM($Q$5:Q15)</f>
        <v>16128</v>
      </c>
      <c r="S15" s="5"/>
      <c r="T15" s="9">
        <v>11</v>
      </c>
      <c r="U15" s="5">
        <v>0</v>
      </c>
      <c r="V15" s="5">
        <f>SUM($U$5:U15)</f>
        <v>14800</v>
      </c>
      <c r="W15" s="5">
        <v>0</v>
      </c>
      <c r="X15" s="5">
        <f>SUM($W$5:W15)</f>
        <v>14800</v>
      </c>
      <c r="Y15" s="5">
        <v>0</v>
      </c>
      <c r="Z15" s="5">
        <f>(SUM($Y$5:Y15))/2</f>
        <v>1800</v>
      </c>
      <c r="AA15" s="5">
        <v>0</v>
      </c>
      <c r="AB15" s="5">
        <f>SUM($AA$5:AA15)</f>
        <v>2400</v>
      </c>
      <c r="AC15" s="5"/>
      <c r="AD15" s="5"/>
      <c r="AE15" s="5"/>
      <c r="AF15" s="5"/>
      <c r="AH15" s="5">
        <v>11</v>
      </c>
      <c r="AI15" s="13">
        <f t="shared" si="4"/>
        <v>68524</v>
      </c>
      <c r="AJ15" s="4" cm="1">
        <f t="array" ref="AJ15">INDEX($B$5:$B$64,MATCH(AI15,$G$5:$G$64,1))+1</f>
        <v>42</v>
      </c>
      <c r="AL15" s="5">
        <v>11</v>
      </c>
      <c r="AM15" s="14">
        <f t="shared" si="5"/>
        <v>102628</v>
      </c>
      <c r="AN15" s="4" cm="1">
        <f t="array" ref="AN15">INDEX($B$5:$B$64,MATCH(AM15,$G$5:$G$64,1))+1</f>
        <v>46</v>
      </c>
      <c r="AO15" s="14">
        <f t="shared" si="6"/>
        <v>8352</v>
      </c>
    </row>
    <row r="16" ht="16.5" customHeight="1" spans="1:42">
      <c r="A16" s="4"/>
      <c r="B16" s="4">
        <v>12</v>
      </c>
      <c r="C16" s="4">
        <v>50</v>
      </c>
      <c r="D16" s="4">
        <f t="shared" si="1"/>
        <v>175</v>
      </c>
      <c r="E16" s="4">
        <v>10</v>
      </c>
      <c r="F16" s="4">
        <f>SUM($D$5:D16)</f>
        <v>920</v>
      </c>
      <c r="G16" s="4">
        <f>F16-SUM($E$5:E16)*$D$3</f>
        <v>545</v>
      </c>
      <c r="H16" s="4"/>
      <c r="I16" s="4"/>
      <c r="J16" s="9">
        <v>12</v>
      </c>
      <c r="K16" s="10">
        <v>1080</v>
      </c>
      <c r="L16" s="10">
        <v>50.4</v>
      </c>
      <c r="M16" s="11">
        <f t="shared" si="2"/>
        <v>1332</v>
      </c>
      <c r="N16" s="11">
        <f>SUM($M$5:M16)</f>
        <v>13656</v>
      </c>
      <c r="O16" s="10">
        <v>1752</v>
      </c>
      <c r="P16" s="10">
        <v>60</v>
      </c>
      <c r="Q16" s="11">
        <f t="shared" si="3"/>
        <v>2052</v>
      </c>
      <c r="R16" s="11">
        <f>SUM($Q$5:Q16)</f>
        <v>18180</v>
      </c>
      <c r="S16" s="5"/>
      <c r="T16" s="9">
        <v>12</v>
      </c>
      <c r="U16" s="5">
        <v>0</v>
      </c>
      <c r="V16" s="5">
        <f>SUM($U$5:U16)</f>
        <v>14800</v>
      </c>
      <c r="W16" s="5">
        <v>0</v>
      </c>
      <c r="X16" s="5">
        <f>SUM($W$5:W16)</f>
        <v>14800</v>
      </c>
      <c r="Y16" s="5">
        <v>0</v>
      </c>
      <c r="Z16" s="5">
        <f>(SUM($Y$5:Y16))/2</f>
        <v>1800</v>
      </c>
      <c r="AA16" s="5">
        <v>0</v>
      </c>
      <c r="AB16" s="5">
        <f>SUM($AA$5:AA16)</f>
        <v>2400</v>
      </c>
      <c r="AC16" s="5"/>
      <c r="AD16" s="5" t="s">
        <v>77</v>
      </c>
      <c r="AE16" s="12">
        <v>120</v>
      </c>
      <c r="AF16" s="5">
        <f>AE16*$D$3</f>
        <v>600</v>
      </c>
      <c r="AG16" s="4"/>
      <c r="AH16" s="5">
        <v>12</v>
      </c>
      <c r="AI16" s="13">
        <f t="shared" si="4"/>
        <v>73456</v>
      </c>
      <c r="AJ16" s="4" cm="1">
        <f t="array" ref="AJ16">INDEX($B$5:$B$64,MATCH(AI16,$G$5:$G$64,1))+1</f>
        <v>42</v>
      </c>
      <c r="AL16" s="5">
        <v>12</v>
      </c>
      <c r="AM16" s="14">
        <f t="shared" si="5"/>
        <v>110980</v>
      </c>
      <c r="AN16" s="4" cm="1">
        <f t="array" ref="AN16">INDEX($B$5:$B$64,MATCH(AM16,$G$5:$G$64,1))+1</f>
        <v>47</v>
      </c>
      <c r="AO16" s="14">
        <f t="shared" si="6"/>
        <v>8352</v>
      </c>
    </row>
    <row r="17" ht="16.5" customHeight="1" spans="1:41">
      <c r="A17" s="4"/>
      <c r="B17" s="4">
        <v>13</v>
      </c>
      <c r="C17" s="4">
        <v>50</v>
      </c>
      <c r="D17" s="4">
        <f t="shared" si="1"/>
        <v>225</v>
      </c>
      <c r="E17" s="4">
        <v>10</v>
      </c>
      <c r="F17" s="4">
        <f>SUM($D$5:D17)</f>
        <v>1145</v>
      </c>
      <c r="G17" s="4">
        <f>F17-SUM($E$5:E17)*$D$3</f>
        <v>720</v>
      </c>
      <c r="H17" s="4"/>
      <c r="I17" s="4"/>
      <c r="J17" s="9">
        <v>13</v>
      </c>
      <c r="K17" s="10">
        <v>1080</v>
      </c>
      <c r="L17" s="10">
        <v>50.4</v>
      </c>
      <c r="M17" s="11">
        <f t="shared" si="2"/>
        <v>1332</v>
      </c>
      <c r="N17" s="11">
        <f>SUM($M$5:M17)</f>
        <v>14988</v>
      </c>
      <c r="O17" s="10">
        <v>1752</v>
      </c>
      <c r="P17" s="10">
        <v>60</v>
      </c>
      <c r="Q17" s="11">
        <f t="shared" si="3"/>
        <v>2052</v>
      </c>
      <c r="R17" s="11">
        <f>SUM($Q$5:Q17)</f>
        <v>20232</v>
      </c>
      <c r="S17" s="5"/>
      <c r="T17" s="9">
        <v>13</v>
      </c>
      <c r="U17" s="5">
        <v>0</v>
      </c>
      <c r="V17" s="5">
        <f>SUM($U$5:U17)</f>
        <v>14800</v>
      </c>
      <c r="W17" s="5">
        <v>0</v>
      </c>
      <c r="X17" s="5">
        <f>SUM($W$5:W17)</f>
        <v>14800</v>
      </c>
      <c r="Y17" s="5">
        <v>0</v>
      </c>
      <c r="Z17" s="5">
        <f>(SUM($Y$5:Y17))/2</f>
        <v>1800</v>
      </c>
      <c r="AA17" s="5">
        <v>0</v>
      </c>
      <c r="AB17" s="5">
        <f>SUM($AA$5:AA17)</f>
        <v>2400</v>
      </c>
      <c r="AC17" s="5"/>
      <c r="AD17" s="5" t="s">
        <v>19</v>
      </c>
      <c r="AH17" s="5">
        <v>13</v>
      </c>
      <c r="AI17" s="13">
        <f t="shared" si="4"/>
        <v>78388</v>
      </c>
      <c r="AJ17" s="4" cm="1">
        <f t="array" ref="AJ17">INDEX($B$5:$B$64,MATCH(AI17,$G$5:$G$64,1))+1</f>
        <v>43</v>
      </c>
      <c r="AL17" s="5">
        <v>13</v>
      </c>
      <c r="AM17" s="14">
        <f t="shared" si="5"/>
        <v>119332</v>
      </c>
      <c r="AN17" s="4" cm="1">
        <f t="array" ref="AN17">INDEX($B$5:$B$64,MATCH(AM17,$G$5:$G$64,1))+1</f>
        <v>48</v>
      </c>
      <c r="AO17" s="14">
        <f t="shared" si="6"/>
        <v>8352</v>
      </c>
    </row>
    <row r="18" ht="16.5" customHeight="1" spans="1:41">
      <c r="A18" s="4"/>
      <c r="B18" s="4">
        <v>14</v>
      </c>
      <c r="C18" s="4">
        <v>50</v>
      </c>
      <c r="D18" s="4">
        <f t="shared" si="1"/>
        <v>275</v>
      </c>
      <c r="E18" s="4">
        <v>10</v>
      </c>
      <c r="F18" s="4">
        <f>SUM($D$5:D18)</f>
        <v>1420</v>
      </c>
      <c r="G18" s="4">
        <f>F18-SUM($E$5:E18)*$D$3</f>
        <v>945</v>
      </c>
      <c r="H18" s="4"/>
      <c r="I18" s="4"/>
      <c r="J18" s="9">
        <v>14</v>
      </c>
      <c r="K18" s="10">
        <v>1392</v>
      </c>
      <c r="L18" s="10">
        <v>55.2</v>
      </c>
      <c r="M18" s="11">
        <f t="shared" si="2"/>
        <v>1668</v>
      </c>
      <c r="N18" s="11">
        <f>SUM($M$5:M18)</f>
        <v>16656</v>
      </c>
      <c r="O18" s="10">
        <v>2112</v>
      </c>
      <c r="P18" s="10">
        <v>64.8</v>
      </c>
      <c r="Q18" s="11">
        <f t="shared" si="3"/>
        <v>2436</v>
      </c>
      <c r="R18" s="11">
        <f>SUM($Q$5:Q18)</f>
        <v>22668</v>
      </c>
      <c r="S18" s="5"/>
      <c r="T18" s="9">
        <v>14</v>
      </c>
      <c r="U18" s="5">
        <v>0</v>
      </c>
      <c r="V18" s="5">
        <f>SUM($U$5:U18)</f>
        <v>14800</v>
      </c>
      <c r="W18" s="5">
        <v>0</v>
      </c>
      <c r="X18" s="5">
        <f>SUM($W$5:W18)</f>
        <v>14800</v>
      </c>
      <c r="Y18" s="5">
        <v>0</v>
      </c>
      <c r="Z18" s="5">
        <f>(SUM($Y$5:Y18))/2</f>
        <v>1800</v>
      </c>
      <c r="AA18" s="5">
        <v>0</v>
      </c>
      <c r="AB18" s="5">
        <f>SUM($AA$5:AA18)</f>
        <v>2400</v>
      </c>
      <c r="AC18" s="5"/>
      <c r="AD18" s="5"/>
      <c r="AG18" s="4"/>
      <c r="AH18" s="5">
        <v>14</v>
      </c>
      <c r="AI18" s="13">
        <f t="shared" si="4"/>
        <v>83656</v>
      </c>
      <c r="AJ18" s="4" cm="1">
        <f t="array" ref="AJ18">INDEX($B$5:$B$64,MATCH(AI18,$G$5:$G$64,1))+1</f>
        <v>44</v>
      </c>
      <c r="AL18" s="5">
        <v>14</v>
      </c>
      <c r="AM18" s="14">
        <f t="shared" si="5"/>
        <v>128068</v>
      </c>
      <c r="AN18" s="4" cm="1">
        <f t="array" ref="AN18">INDEX($B$5:$B$64,MATCH(AM18,$G$5:$G$64,1))+1</f>
        <v>49</v>
      </c>
      <c r="AO18" s="14">
        <f t="shared" si="6"/>
        <v>8736</v>
      </c>
    </row>
    <row r="19" ht="16.5" customHeight="1" spans="1:41">
      <c r="A19" s="4"/>
      <c r="B19" s="4">
        <v>15</v>
      </c>
      <c r="C19" s="4">
        <v>100</v>
      </c>
      <c r="D19" s="4">
        <f t="shared" si="1"/>
        <v>325</v>
      </c>
      <c r="E19" s="4">
        <v>10</v>
      </c>
      <c r="F19" s="4">
        <f>SUM($D$5:D19)</f>
        <v>1745</v>
      </c>
      <c r="G19" s="4">
        <f>F19-SUM($E$5:E19)*$D$3</f>
        <v>1220</v>
      </c>
      <c r="H19" s="4"/>
      <c r="I19" s="4"/>
      <c r="J19" s="9">
        <v>15</v>
      </c>
      <c r="K19" s="10">
        <v>1392</v>
      </c>
      <c r="L19" s="10">
        <v>55.2</v>
      </c>
      <c r="M19" s="11">
        <f t="shared" si="2"/>
        <v>1668</v>
      </c>
      <c r="N19" s="11">
        <f>SUM($M$5:M19)</f>
        <v>18324</v>
      </c>
      <c r="O19" s="10">
        <v>2112</v>
      </c>
      <c r="P19" s="10">
        <v>64.8</v>
      </c>
      <c r="Q19" s="11">
        <f t="shared" si="3"/>
        <v>2436</v>
      </c>
      <c r="R19" s="11">
        <f>SUM($Q$5:Q19)</f>
        <v>25104</v>
      </c>
      <c r="S19" s="5"/>
      <c r="T19" s="9">
        <v>15</v>
      </c>
      <c r="U19" s="5">
        <v>0</v>
      </c>
      <c r="V19" s="5">
        <f>SUM($U$5:U19)</f>
        <v>14800</v>
      </c>
      <c r="W19" s="5">
        <v>0</v>
      </c>
      <c r="X19" s="5">
        <f>SUM($W$5:W19)</f>
        <v>14800</v>
      </c>
      <c r="Y19" s="5">
        <v>600</v>
      </c>
      <c r="Z19" s="5">
        <f>(SUM($Y$5:Y19))/2</f>
        <v>2100</v>
      </c>
      <c r="AA19" s="5">
        <v>600</v>
      </c>
      <c r="AB19" s="5">
        <f>SUM($AA$5:AA19)</f>
        <v>3000</v>
      </c>
      <c r="AC19" s="5"/>
      <c r="AD19" s="5"/>
      <c r="AE19" s="5"/>
      <c r="AF19" s="5"/>
      <c r="AG19" s="5"/>
      <c r="AH19" s="5">
        <v>15</v>
      </c>
      <c r="AI19" s="13">
        <f t="shared" si="4"/>
        <v>89224</v>
      </c>
      <c r="AJ19" s="4" cm="1">
        <f t="array" ref="AJ19">INDEX($B$5:$B$64,MATCH(AI19,$G$5:$G$64,1))+1</f>
        <v>45</v>
      </c>
      <c r="AK19" s="5"/>
      <c r="AL19" s="5">
        <v>15</v>
      </c>
      <c r="AM19" s="14">
        <f t="shared" si="5"/>
        <v>137404</v>
      </c>
      <c r="AN19" s="4" cm="1">
        <f t="array" ref="AN19">INDEX($B$5:$B$64,MATCH(AM19,$G$5:$G$64,1))+1</f>
        <v>50</v>
      </c>
      <c r="AO19" s="14">
        <f t="shared" si="6"/>
        <v>9336</v>
      </c>
    </row>
    <row r="20" ht="16.5" customHeight="1" spans="1:41">
      <c r="A20" s="4"/>
      <c r="B20" s="4">
        <v>16</v>
      </c>
      <c r="C20" s="4">
        <v>100</v>
      </c>
      <c r="D20" s="4">
        <f t="shared" si="1"/>
        <v>425</v>
      </c>
      <c r="E20" s="4">
        <v>10</v>
      </c>
      <c r="F20" s="4">
        <f>SUM($D$5:D20)</f>
        <v>2170</v>
      </c>
      <c r="G20" s="4">
        <f>F20-SUM($E$5:E20)*$D$3</f>
        <v>1595</v>
      </c>
      <c r="H20" s="4"/>
      <c r="I20" s="4"/>
      <c r="J20" s="9">
        <v>16</v>
      </c>
      <c r="K20" s="10">
        <v>1392</v>
      </c>
      <c r="L20" s="10">
        <v>55.2</v>
      </c>
      <c r="M20" s="11">
        <f t="shared" si="2"/>
        <v>1668</v>
      </c>
      <c r="N20" s="11">
        <f>SUM($M$5:M20)</f>
        <v>19992</v>
      </c>
      <c r="O20" s="10">
        <v>2112</v>
      </c>
      <c r="P20" s="10">
        <v>64.8</v>
      </c>
      <c r="Q20" s="11">
        <f t="shared" si="3"/>
        <v>2436</v>
      </c>
      <c r="R20" s="11">
        <f>SUM($Q$5:Q20)</f>
        <v>27540</v>
      </c>
      <c r="S20" s="5"/>
      <c r="T20" s="9">
        <v>16</v>
      </c>
      <c r="U20" s="5">
        <v>0</v>
      </c>
      <c r="V20" s="5">
        <f>SUM($U$5:U20)</f>
        <v>14800</v>
      </c>
      <c r="W20" s="5">
        <v>0</v>
      </c>
      <c r="X20" s="5">
        <f>SUM($W$5:W20)</f>
        <v>14800</v>
      </c>
      <c r="Y20" s="5">
        <v>0</v>
      </c>
      <c r="Z20" s="5">
        <f>(SUM($Y$5:Y20))/2</f>
        <v>2100</v>
      </c>
      <c r="AA20" s="5">
        <v>600</v>
      </c>
      <c r="AB20" s="5">
        <f>SUM($AA$5:AA20)</f>
        <v>3600</v>
      </c>
      <c r="AC20" s="5"/>
      <c r="AD20" s="5"/>
      <c r="AE20" s="5"/>
      <c r="AF20" s="5"/>
      <c r="AG20" s="5"/>
      <c r="AH20" s="5">
        <v>16</v>
      </c>
      <c r="AI20" s="13">
        <f t="shared" si="4"/>
        <v>94492</v>
      </c>
      <c r="AJ20" s="4" cm="1">
        <f t="array" ref="AJ20">INDEX($B$5:$B$64,MATCH(AI20,$G$5:$G$64,1))+1</f>
        <v>45</v>
      </c>
      <c r="AK20" s="5"/>
      <c r="AL20" s="5">
        <v>16</v>
      </c>
      <c r="AM20" s="14">
        <f t="shared" si="5"/>
        <v>146740</v>
      </c>
      <c r="AN20" s="4" cm="1">
        <f t="array" ref="AN20">INDEX($B$5:$B$64,MATCH(AM20,$G$5:$G$64,1))+1</f>
        <v>50</v>
      </c>
      <c r="AO20" s="14">
        <f t="shared" si="6"/>
        <v>9336</v>
      </c>
    </row>
    <row r="21" ht="16.5" customHeight="1" spans="1:41">
      <c r="A21" s="4"/>
      <c r="B21" s="4">
        <v>17</v>
      </c>
      <c r="C21" s="4">
        <v>100</v>
      </c>
      <c r="D21" s="4">
        <f t="shared" si="1"/>
        <v>525</v>
      </c>
      <c r="E21" s="4">
        <v>10</v>
      </c>
      <c r="F21" s="4">
        <f>SUM($D$5:D21)</f>
        <v>2695</v>
      </c>
      <c r="G21" s="4">
        <f>F21-SUM($E$5:E21)*$D$3</f>
        <v>2070</v>
      </c>
      <c r="H21" s="4"/>
      <c r="I21" s="4"/>
      <c r="J21" s="9">
        <v>17</v>
      </c>
      <c r="K21" s="10">
        <v>1392</v>
      </c>
      <c r="L21" s="10">
        <v>55.2</v>
      </c>
      <c r="M21" s="11">
        <f t="shared" si="2"/>
        <v>1668</v>
      </c>
      <c r="N21" s="11">
        <f>SUM($M$5:M21)</f>
        <v>21660</v>
      </c>
      <c r="O21" s="10">
        <v>2112</v>
      </c>
      <c r="P21" s="10">
        <v>64.8</v>
      </c>
      <c r="Q21" s="11">
        <f t="shared" si="3"/>
        <v>2436</v>
      </c>
      <c r="R21" s="11">
        <f>SUM($Q$5:Q21)</f>
        <v>29976</v>
      </c>
      <c r="S21" s="5"/>
      <c r="T21" s="9">
        <v>17</v>
      </c>
      <c r="U21" s="5">
        <v>0</v>
      </c>
      <c r="V21" s="5">
        <f>SUM($U$5:U21)</f>
        <v>14800</v>
      </c>
      <c r="W21" s="5">
        <v>0</v>
      </c>
      <c r="X21" s="5">
        <f>SUM($W$5:W21)</f>
        <v>14800</v>
      </c>
      <c r="Y21" s="5">
        <v>600</v>
      </c>
      <c r="Z21" s="5">
        <f>(SUM($Y$5:Y21))/2</f>
        <v>2400</v>
      </c>
      <c r="AA21" s="5">
        <v>300</v>
      </c>
      <c r="AB21" s="5">
        <f>SUM($AA$5:AA21)</f>
        <v>3900</v>
      </c>
      <c r="AC21" s="5"/>
      <c r="AD21" s="5"/>
      <c r="AE21" s="5" t="s">
        <v>47</v>
      </c>
      <c r="AF21" s="5">
        <f>SUM(AF5:AF7)+AF16</f>
        <v>3600</v>
      </c>
      <c r="AG21" s="5"/>
      <c r="AH21" s="5">
        <v>17</v>
      </c>
      <c r="AI21" s="13">
        <f t="shared" si="4"/>
        <v>100060</v>
      </c>
      <c r="AJ21" s="4" cm="1">
        <f t="array" ref="AJ21">INDEX($B$5:$B$64,MATCH(AI21,$G$5:$G$64,1))+1</f>
        <v>46</v>
      </c>
      <c r="AK21" s="5"/>
      <c r="AL21" s="5">
        <v>17</v>
      </c>
      <c r="AM21" s="14">
        <f t="shared" si="5"/>
        <v>155776</v>
      </c>
      <c r="AN21" s="4" cm="1">
        <f t="array" ref="AN21">INDEX($B$5:$B$64,MATCH(AM21,$G$5:$G$64,1))+1</f>
        <v>51</v>
      </c>
      <c r="AO21" s="14">
        <f t="shared" si="6"/>
        <v>9036</v>
      </c>
    </row>
    <row r="22" ht="16.5" customHeight="1" spans="1:41">
      <c r="A22" s="4"/>
      <c r="B22" s="4">
        <v>18</v>
      </c>
      <c r="C22" s="4">
        <v>100</v>
      </c>
      <c r="D22" s="4">
        <f t="shared" si="1"/>
        <v>625</v>
      </c>
      <c r="E22" s="4">
        <v>10</v>
      </c>
      <c r="F22" s="4">
        <f>SUM($D$5:D22)</f>
        <v>3320</v>
      </c>
      <c r="G22" s="4">
        <f>F22-SUM($E$5:E22)*$D$3</f>
        <v>2645</v>
      </c>
      <c r="H22" s="4"/>
      <c r="I22" s="4"/>
      <c r="J22" s="9">
        <v>18</v>
      </c>
      <c r="K22" s="10">
        <v>1392</v>
      </c>
      <c r="L22" s="10">
        <v>55.2</v>
      </c>
      <c r="M22" s="11">
        <f t="shared" si="2"/>
        <v>1668</v>
      </c>
      <c r="N22" s="11">
        <f>SUM($M$5:M22)</f>
        <v>23328</v>
      </c>
      <c r="O22" s="10">
        <v>2112</v>
      </c>
      <c r="P22" s="10">
        <v>64.8</v>
      </c>
      <c r="Q22" s="11">
        <f t="shared" si="3"/>
        <v>2436</v>
      </c>
      <c r="R22" s="11">
        <f>SUM($Q$5:Q22)</f>
        <v>32412</v>
      </c>
      <c r="S22" s="5"/>
      <c r="T22" s="9">
        <v>18</v>
      </c>
      <c r="U22" s="5">
        <v>0</v>
      </c>
      <c r="V22" s="5">
        <f>SUM($U$5:U22)</f>
        <v>14800</v>
      </c>
      <c r="W22" s="5">
        <v>0</v>
      </c>
      <c r="X22" s="5">
        <f>SUM($W$5:W22)</f>
        <v>14800</v>
      </c>
      <c r="Y22" s="5">
        <v>600</v>
      </c>
      <c r="Z22" s="5">
        <f>(SUM($Y$5:Y22))/2</f>
        <v>2700</v>
      </c>
      <c r="AA22" s="5">
        <v>300</v>
      </c>
      <c r="AB22" s="5">
        <f>SUM($AA$5:AA22)</f>
        <v>4200</v>
      </c>
      <c r="AC22" s="5"/>
      <c r="AD22" s="5"/>
      <c r="AE22" s="5" t="s">
        <v>78</v>
      </c>
      <c r="AF22" s="5">
        <f>AF21+AF7+AF8</f>
        <v>4200</v>
      </c>
      <c r="AG22" s="5"/>
      <c r="AH22" s="5">
        <v>18</v>
      </c>
      <c r="AI22" s="13">
        <f t="shared" si="4"/>
        <v>105628</v>
      </c>
      <c r="AJ22" s="4" cm="1">
        <f t="array" ref="AJ22">INDEX($B$5:$B$64,MATCH(AI22,$G$5:$G$64,1))+1</f>
        <v>46</v>
      </c>
      <c r="AK22" s="5"/>
      <c r="AL22" s="5">
        <v>18</v>
      </c>
      <c r="AM22" s="14">
        <f t="shared" si="5"/>
        <v>164812</v>
      </c>
      <c r="AN22" s="4" cm="1">
        <f t="array" ref="AN22">INDEX($B$5:$B$64,MATCH(AM22,$G$5:$G$64,1))+1</f>
        <v>52</v>
      </c>
      <c r="AO22" s="14">
        <f t="shared" si="6"/>
        <v>9036</v>
      </c>
    </row>
    <row r="23" ht="16.5" customHeight="1" spans="1:41">
      <c r="A23" s="4"/>
      <c r="B23" s="4">
        <v>19</v>
      </c>
      <c r="C23" s="4">
        <v>100</v>
      </c>
      <c r="D23" s="4">
        <f t="shared" si="1"/>
        <v>725</v>
      </c>
      <c r="E23" s="4">
        <v>10</v>
      </c>
      <c r="F23" s="4">
        <f>SUM($D$5:D23)</f>
        <v>4045</v>
      </c>
      <c r="G23" s="4">
        <f>F23-SUM($E$5:E23)*$D$3</f>
        <v>3320</v>
      </c>
      <c r="H23" s="4"/>
      <c r="I23" s="4"/>
      <c r="J23" s="9">
        <v>19</v>
      </c>
      <c r="K23" s="10">
        <v>1392</v>
      </c>
      <c r="L23" s="10">
        <v>55.2</v>
      </c>
      <c r="M23" s="11">
        <f t="shared" si="2"/>
        <v>1668</v>
      </c>
      <c r="N23" s="11">
        <f>SUM($M$5:M23)</f>
        <v>24996</v>
      </c>
      <c r="O23" s="10">
        <v>2112</v>
      </c>
      <c r="P23" s="10">
        <v>64.8</v>
      </c>
      <c r="Q23" s="11">
        <f t="shared" si="3"/>
        <v>2436</v>
      </c>
      <c r="R23" s="11">
        <f>SUM($Q$5:Q23)</f>
        <v>34848</v>
      </c>
      <c r="S23" s="5"/>
      <c r="T23" s="9">
        <v>19</v>
      </c>
      <c r="U23" s="5">
        <v>0</v>
      </c>
      <c r="V23" s="5">
        <f>SUM($U$5:U23)</f>
        <v>14800</v>
      </c>
      <c r="W23" s="5">
        <v>0</v>
      </c>
      <c r="X23" s="5">
        <f>SUM($W$5:W23)</f>
        <v>14800</v>
      </c>
      <c r="Y23" s="5">
        <v>0</v>
      </c>
      <c r="Z23" s="5">
        <f>(SUM($Y$5:Y23))/2</f>
        <v>2700</v>
      </c>
      <c r="AA23" s="5">
        <v>0</v>
      </c>
      <c r="AB23" s="5">
        <f>SUM($AA$5:AA23)</f>
        <v>4200</v>
      </c>
      <c r="AC23" s="5"/>
      <c r="AD23" s="5"/>
      <c r="AE23" s="5" t="s">
        <v>48</v>
      </c>
      <c r="AF23" s="5">
        <f>AF22+SUM(AF8:AF14)</f>
        <v>6300</v>
      </c>
      <c r="AG23" s="5"/>
      <c r="AH23" s="5">
        <v>19</v>
      </c>
      <c r="AI23" s="13">
        <f t="shared" si="4"/>
        <v>110896</v>
      </c>
      <c r="AJ23" s="4" cm="1">
        <f t="array" ref="AJ23">INDEX($B$5:$B$64,MATCH(AI23,$G$5:$G$64,1))+1</f>
        <v>47</v>
      </c>
      <c r="AK23" s="5"/>
      <c r="AL23" s="5">
        <v>19</v>
      </c>
      <c r="AM23" s="14">
        <f t="shared" si="5"/>
        <v>173548</v>
      </c>
      <c r="AN23" s="4" cm="1">
        <f t="array" ref="AN23">INDEX($B$5:$B$64,MATCH(AM23,$G$5:$G$64,1))+1</f>
        <v>52</v>
      </c>
      <c r="AO23" s="14">
        <f t="shared" si="6"/>
        <v>8736</v>
      </c>
    </row>
    <row r="24" ht="16.5" customHeight="1" spans="1:41">
      <c r="A24" s="4"/>
      <c r="B24" s="4">
        <v>20</v>
      </c>
      <c r="C24" s="4">
        <v>1000</v>
      </c>
      <c r="D24" s="4">
        <f t="shared" si="1"/>
        <v>825</v>
      </c>
      <c r="E24" s="4">
        <v>20</v>
      </c>
      <c r="F24" s="4">
        <f>SUM($D$5:D24)</f>
        <v>4870</v>
      </c>
      <c r="G24" s="4">
        <f>F24-SUM($E$5:E24)*$D$3</f>
        <v>4045</v>
      </c>
      <c r="H24" s="4"/>
      <c r="I24" s="4"/>
      <c r="J24" s="9">
        <v>20</v>
      </c>
      <c r="K24" s="10">
        <v>1392</v>
      </c>
      <c r="L24" s="10">
        <v>55.2</v>
      </c>
      <c r="M24" s="11">
        <f t="shared" si="2"/>
        <v>1668</v>
      </c>
      <c r="N24" s="11">
        <f>SUM($M$5:M24)</f>
        <v>26664</v>
      </c>
      <c r="O24" s="10">
        <v>2112</v>
      </c>
      <c r="P24" s="10">
        <v>64.8</v>
      </c>
      <c r="Q24" s="11">
        <f t="shared" si="3"/>
        <v>2436</v>
      </c>
      <c r="R24" s="11">
        <f>SUM($Q$5:Q24)</f>
        <v>37284</v>
      </c>
      <c r="S24" s="5"/>
      <c r="T24" s="9">
        <v>20</v>
      </c>
      <c r="U24" s="5">
        <v>0</v>
      </c>
      <c r="V24" s="5">
        <f>SUM($U$5:U24)</f>
        <v>14800</v>
      </c>
      <c r="W24" s="5">
        <v>0</v>
      </c>
      <c r="X24" s="5">
        <f>SUM($W$5:W24)</f>
        <v>14800</v>
      </c>
      <c r="Y24" s="5">
        <v>0</v>
      </c>
      <c r="Z24" s="5">
        <f>(SUM($Y$5:Y24))/2</f>
        <v>2700</v>
      </c>
      <c r="AA24" s="5">
        <v>0</v>
      </c>
      <c r="AB24" s="5">
        <f>SUM($AA$5:AA24)</f>
        <v>4200</v>
      </c>
      <c r="AC24" s="5"/>
      <c r="AD24" s="5"/>
      <c r="AE24" s="5"/>
      <c r="AF24" s="5"/>
      <c r="AG24" s="5"/>
      <c r="AH24" s="5">
        <v>20</v>
      </c>
      <c r="AI24" s="13">
        <f t="shared" si="4"/>
        <v>116164</v>
      </c>
      <c r="AJ24" s="4" cm="1">
        <f t="array" ref="AJ24">INDEX($B$5:$B$64,MATCH(AI24,$G$5:$G$64,1))+1</f>
        <v>48</v>
      </c>
      <c r="AK24" s="5"/>
      <c r="AL24" s="5">
        <v>20</v>
      </c>
      <c r="AM24" s="14">
        <f t="shared" si="5"/>
        <v>182284</v>
      </c>
      <c r="AN24" s="4" cm="1">
        <f t="array" ref="AN24">INDEX($B$5:$B$64,MATCH(AM24,$G$5:$G$64,1))+1</f>
        <v>53</v>
      </c>
      <c r="AO24" s="14">
        <f t="shared" si="6"/>
        <v>8736</v>
      </c>
    </row>
    <row r="25" ht="16.5" customHeight="1" spans="1:41">
      <c r="A25" s="4"/>
      <c r="B25" s="4">
        <v>21</v>
      </c>
      <c r="C25" s="4">
        <v>100</v>
      </c>
      <c r="D25" s="4">
        <f t="shared" si="1"/>
        <v>1825</v>
      </c>
      <c r="E25" s="4">
        <v>20</v>
      </c>
      <c r="F25" s="4">
        <f>SUM($D$5:D25)</f>
        <v>6695</v>
      </c>
      <c r="G25" s="4">
        <f>F25-SUM($E$5:E25)*$D$3</f>
        <v>5770</v>
      </c>
      <c r="H25" s="4"/>
      <c r="I25" s="4"/>
      <c r="J25" s="9">
        <v>21</v>
      </c>
      <c r="K25" s="10">
        <v>1392</v>
      </c>
      <c r="L25" s="10">
        <v>55.2</v>
      </c>
      <c r="M25" s="11">
        <f t="shared" si="2"/>
        <v>1668</v>
      </c>
      <c r="N25" s="11">
        <f>SUM($M$5:M25)</f>
        <v>28332</v>
      </c>
      <c r="O25" s="10">
        <v>2448</v>
      </c>
      <c r="P25" s="10">
        <v>69.6</v>
      </c>
      <c r="Q25" s="11">
        <f t="shared" si="3"/>
        <v>2796</v>
      </c>
      <c r="R25" s="11">
        <f>SUM($Q$5:Q25)</f>
        <v>40080</v>
      </c>
      <c r="S25" s="5"/>
      <c r="T25" s="9">
        <v>21</v>
      </c>
      <c r="U25" s="5">
        <v>0</v>
      </c>
      <c r="V25" s="5">
        <f>SUM($U$5:U25)</f>
        <v>14800</v>
      </c>
      <c r="W25" s="5">
        <v>0</v>
      </c>
      <c r="X25" s="5">
        <f>SUM($W$5:W25)</f>
        <v>14800</v>
      </c>
      <c r="Y25" s="5">
        <v>600</v>
      </c>
      <c r="Z25" s="5">
        <f>(SUM($Y$5:Y25))/2</f>
        <v>3000</v>
      </c>
      <c r="AA25" s="5">
        <v>0</v>
      </c>
      <c r="AB25" s="5">
        <f>SUM($AA$5:AA25)</f>
        <v>4200</v>
      </c>
      <c r="AC25" s="5"/>
      <c r="AD25" s="5"/>
      <c r="AE25" s="5"/>
      <c r="AF25" s="5"/>
      <c r="AG25" s="5"/>
      <c r="AH25" s="5">
        <v>21</v>
      </c>
      <c r="AI25" s="13">
        <f t="shared" si="4"/>
        <v>121732</v>
      </c>
      <c r="AJ25" s="4" cm="1">
        <f t="array" ref="AJ25">INDEX($B$5:$B$64,MATCH(AI25,$G$5:$G$64,1))+1</f>
        <v>48</v>
      </c>
      <c r="AK25" s="5"/>
      <c r="AL25" s="5">
        <v>21</v>
      </c>
      <c r="AM25" s="14">
        <f t="shared" si="5"/>
        <v>191380</v>
      </c>
      <c r="AN25" s="4" cm="1">
        <f t="array" ref="AN25">INDEX($B$5:$B$64,MATCH(AM25,$G$5:$G$64,1))+1</f>
        <v>53</v>
      </c>
      <c r="AO25" s="14">
        <f t="shared" si="6"/>
        <v>9096</v>
      </c>
    </row>
    <row r="26" ht="16.5" customHeight="1" spans="1:41">
      <c r="A26" s="4"/>
      <c r="B26" s="4">
        <v>22</v>
      </c>
      <c r="C26" s="4">
        <v>100</v>
      </c>
      <c r="D26" s="4">
        <f t="shared" si="1"/>
        <v>1925</v>
      </c>
      <c r="E26" s="4">
        <v>20</v>
      </c>
      <c r="F26" s="4">
        <f>SUM($D$5:D26)</f>
        <v>8620</v>
      </c>
      <c r="G26" s="4">
        <f>F26-SUM($E$5:E26)*$D$3</f>
        <v>7595</v>
      </c>
      <c r="H26" s="4"/>
      <c r="I26" s="4"/>
      <c r="J26" s="9">
        <v>22</v>
      </c>
      <c r="K26" s="10">
        <v>1392</v>
      </c>
      <c r="L26" s="10">
        <v>55.2</v>
      </c>
      <c r="M26" s="11">
        <f t="shared" si="2"/>
        <v>1668</v>
      </c>
      <c r="N26" s="11">
        <f>SUM($M$5:M26)</f>
        <v>30000</v>
      </c>
      <c r="O26" s="10">
        <v>2448</v>
      </c>
      <c r="P26" s="10">
        <v>69.6</v>
      </c>
      <c r="Q26" s="11">
        <f t="shared" si="3"/>
        <v>2796</v>
      </c>
      <c r="R26" s="11">
        <f>SUM($Q$5:Q26)</f>
        <v>42876</v>
      </c>
      <c r="S26" s="5"/>
      <c r="T26" s="9">
        <v>22</v>
      </c>
      <c r="U26" s="5">
        <v>0</v>
      </c>
      <c r="V26" s="5">
        <f>SUM($U$5:U26)</f>
        <v>14800</v>
      </c>
      <c r="W26" s="5">
        <v>0</v>
      </c>
      <c r="X26" s="5">
        <f>SUM($W$5:W26)</f>
        <v>14800</v>
      </c>
      <c r="Y26" s="5">
        <v>600</v>
      </c>
      <c r="Z26" s="5">
        <f>(SUM($Y$5:Y26))/2</f>
        <v>3300</v>
      </c>
      <c r="AA26" s="5">
        <v>300</v>
      </c>
      <c r="AB26" s="5">
        <f>SUM($AA$5:AA26)</f>
        <v>4500</v>
      </c>
      <c r="AC26" s="5"/>
      <c r="AD26" s="5" t="s">
        <v>79</v>
      </c>
      <c r="AF26" s="5"/>
      <c r="AG26" s="5"/>
      <c r="AH26" s="5">
        <v>22</v>
      </c>
      <c r="AI26" s="13">
        <f t="shared" si="4"/>
        <v>127300</v>
      </c>
      <c r="AJ26" s="4" cm="1">
        <f t="array" ref="AJ26">INDEX($B$5:$B$64,MATCH(AI26,$G$5:$G$64,1))+1</f>
        <v>49</v>
      </c>
      <c r="AK26" s="5"/>
      <c r="AL26" s="5">
        <v>22</v>
      </c>
      <c r="AM26" s="14">
        <f t="shared" si="5"/>
        <v>200776</v>
      </c>
      <c r="AN26" s="4" cm="1">
        <f t="array" ref="AN26">INDEX($B$5:$B$64,MATCH(AM26,$G$5:$G$64,1))+1</f>
        <v>54</v>
      </c>
      <c r="AO26" s="14">
        <f t="shared" si="6"/>
        <v>9396</v>
      </c>
    </row>
    <row r="27" ht="16.5" customHeight="1" spans="1:41">
      <c r="A27" s="4"/>
      <c r="B27" s="4">
        <v>23</v>
      </c>
      <c r="C27" s="4">
        <v>100</v>
      </c>
      <c r="D27" s="4">
        <f t="shared" si="1"/>
        <v>2025</v>
      </c>
      <c r="E27" s="4">
        <v>20</v>
      </c>
      <c r="F27" s="4">
        <f>SUM($D$5:D27)</f>
        <v>10645</v>
      </c>
      <c r="G27" s="4">
        <f>F27-SUM($E$5:E27)*$D$3</f>
        <v>9520</v>
      </c>
      <c r="H27" s="4"/>
      <c r="I27" s="4"/>
      <c r="J27" s="9">
        <v>23</v>
      </c>
      <c r="K27" s="10">
        <v>1392</v>
      </c>
      <c r="L27" s="10">
        <v>55.2</v>
      </c>
      <c r="M27" s="11">
        <f t="shared" si="2"/>
        <v>1668</v>
      </c>
      <c r="N27" s="11">
        <f>SUM($M$5:M27)</f>
        <v>31668</v>
      </c>
      <c r="O27" s="10">
        <v>2448</v>
      </c>
      <c r="P27" s="10">
        <v>69.6</v>
      </c>
      <c r="Q27" s="11">
        <f t="shared" si="3"/>
        <v>2796</v>
      </c>
      <c r="R27" s="11">
        <f>SUM($Q$5:Q27)</f>
        <v>45672</v>
      </c>
      <c r="S27" s="5"/>
      <c r="T27" s="9">
        <v>23</v>
      </c>
      <c r="U27" s="5">
        <v>0</v>
      </c>
      <c r="V27" s="5">
        <f>SUM($U$5:U27)</f>
        <v>14800</v>
      </c>
      <c r="W27" s="5">
        <v>0</v>
      </c>
      <c r="X27" s="5">
        <f>SUM($W$5:W27)</f>
        <v>14800</v>
      </c>
      <c r="Y27" s="5">
        <v>600</v>
      </c>
      <c r="Z27" s="5">
        <f>(SUM($Y$5:Y27))/2</f>
        <v>3600</v>
      </c>
      <c r="AA27" s="5">
        <v>300</v>
      </c>
      <c r="AB27" s="5">
        <f>SUM($AA$5:AA27)</f>
        <v>4800</v>
      </c>
      <c r="AC27" s="5"/>
      <c r="AD27" s="8" t="s">
        <v>5</v>
      </c>
      <c r="AE27" s="8" t="s">
        <v>80</v>
      </c>
      <c r="AF27" s="5"/>
      <c r="AG27" s="5"/>
      <c r="AH27" s="5">
        <v>23</v>
      </c>
      <c r="AI27" s="13">
        <f t="shared" si="4"/>
        <v>132868</v>
      </c>
      <c r="AJ27" s="4" cm="1">
        <f t="array" ref="AJ27">INDEX($B$5:$B$64,MATCH(AI27,$G$5:$G$64,1))+1</f>
        <v>49</v>
      </c>
      <c r="AK27" s="5"/>
      <c r="AL27" s="5">
        <v>23</v>
      </c>
      <c r="AM27" s="14">
        <f t="shared" si="5"/>
        <v>210172</v>
      </c>
      <c r="AN27" s="4" cm="1">
        <f t="array" ref="AN27">INDEX($B$5:$B$64,MATCH(AM27,$G$5:$G$64,1))+1</f>
        <v>54</v>
      </c>
      <c r="AO27" s="14">
        <f t="shared" si="6"/>
        <v>9396</v>
      </c>
    </row>
    <row r="28" ht="16.5" customHeight="1" spans="1:41">
      <c r="A28" s="4"/>
      <c r="B28" s="4">
        <v>24</v>
      </c>
      <c r="C28" s="4">
        <v>100</v>
      </c>
      <c r="D28" s="4">
        <f t="shared" si="1"/>
        <v>2125</v>
      </c>
      <c r="E28" s="4">
        <v>20</v>
      </c>
      <c r="F28" s="4">
        <f>SUM($D$5:D28)</f>
        <v>12770</v>
      </c>
      <c r="G28" s="4">
        <f>F28-SUM($E$5:E28)*$D$3</f>
        <v>11545</v>
      </c>
      <c r="H28" s="4"/>
      <c r="I28" s="4"/>
      <c r="J28" s="9">
        <v>24</v>
      </c>
      <c r="K28" s="10">
        <v>1392</v>
      </c>
      <c r="L28" s="10">
        <v>55.2</v>
      </c>
      <c r="M28" s="11">
        <f t="shared" si="2"/>
        <v>1668</v>
      </c>
      <c r="N28" s="11">
        <f>SUM($M$5:M28)</f>
        <v>33336</v>
      </c>
      <c r="O28" s="10">
        <v>2448</v>
      </c>
      <c r="P28" s="10">
        <v>69.6</v>
      </c>
      <c r="Q28" s="11">
        <f t="shared" si="3"/>
        <v>2796</v>
      </c>
      <c r="R28" s="11">
        <f>SUM($Q$5:Q28)</f>
        <v>48468</v>
      </c>
      <c r="S28" s="5"/>
      <c r="T28" s="9">
        <v>24</v>
      </c>
      <c r="U28" s="5">
        <v>0</v>
      </c>
      <c r="V28" s="5">
        <f>SUM($U$5:U28)</f>
        <v>14800</v>
      </c>
      <c r="W28" s="5">
        <v>0</v>
      </c>
      <c r="X28" s="5">
        <f>SUM($W$5:W28)</f>
        <v>14800</v>
      </c>
      <c r="Y28" s="5">
        <v>0</v>
      </c>
      <c r="Z28" s="5">
        <f>(SUM($Y$5:Y28))/2</f>
        <v>3600</v>
      </c>
      <c r="AA28" s="5">
        <v>0</v>
      </c>
      <c r="AB28" s="5">
        <f>SUM($AA$5:AA28)</f>
        <v>4800</v>
      </c>
      <c r="AC28" s="5"/>
      <c r="AD28" s="4">
        <v>3</v>
      </c>
      <c r="AE28" s="4">
        <v>24</v>
      </c>
      <c r="AF28" s="5"/>
      <c r="AG28" s="5"/>
      <c r="AH28" s="5">
        <v>24</v>
      </c>
      <c r="AI28" s="13">
        <f t="shared" si="4"/>
        <v>138136</v>
      </c>
      <c r="AJ28" s="4" cm="1">
        <f t="array" ref="AJ28">INDEX($B$5:$B$64,MATCH(AI28,$G$5:$G$64,1))+1</f>
        <v>50</v>
      </c>
      <c r="AK28" s="5"/>
      <c r="AL28" s="5">
        <v>24</v>
      </c>
      <c r="AM28" s="14">
        <f t="shared" si="5"/>
        <v>219268</v>
      </c>
      <c r="AN28" s="4" cm="1">
        <f t="array" ref="AN28">INDEX($B$5:$B$64,MATCH(AM28,$G$5:$G$64,1))+1</f>
        <v>55</v>
      </c>
      <c r="AO28" s="14">
        <f t="shared" si="6"/>
        <v>9096</v>
      </c>
    </row>
    <row r="29" ht="16.5" customHeight="1" spans="1:41">
      <c r="A29" s="4"/>
      <c r="B29" s="4">
        <v>25</v>
      </c>
      <c r="C29" s="4">
        <v>100</v>
      </c>
      <c r="D29" s="4">
        <f t="shared" si="1"/>
        <v>2225</v>
      </c>
      <c r="E29" s="4">
        <v>20</v>
      </c>
      <c r="F29" s="4">
        <f>SUM($D$5:D29)</f>
        <v>14995</v>
      </c>
      <c r="G29" s="4">
        <f>F29-SUM($E$5:E29)*$D$3</f>
        <v>13670</v>
      </c>
      <c r="H29" s="4"/>
      <c r="I29" s="4"/>
      <c r="J29" s="9">
        <v>25</v>
      </c>
      <c r="K29" s="10">
        <v>1392</v>
      </c>
      <c r="L29" s="10">
        <v>55.2</v>
      </c>
      <c r="M29" s="11">
        <f t="shared" si="2"/>
        <v>1668</v>
      </c>
      <c r="N29" s="11">
        <f>SUM($M$5:M29)</f>
        <v>35004</v>
      </c>
      <c r="O29" s="10">
        <v>2448</v>
      </c>
      <c r="P29" s="10">
        <v>69.6</v>
      </c>
      <c r="Q29" s="11">
        <f t="shared" si="3"/>
        <v>2796</v>
      </c>
      <c r="R29" s="11">
        <f>SUM($Q$5:Q29)</f>
        <v>51264</v>
      </c>
      <c r="S29" s="5"/>
      <c r="T29" s="9">
        <v>25</v>
      </c>
      <c r="U29" s="5">
        <v>0</v>
      </c>
      <c r="V29" s="5">
        <f>SUM($U$5:U29)</f>
        <v>14800</v>
      </c>
      <c r="W29" s="5">
        <v>0</v>
      </c>
      <c r="X29" s="5">
        <f>SUM($W$5:W29)</f>
        <v>14800</v>
      </c>
      <c r="Y29" s="5">
        <v>0</v>
      </c>
      <c r="Z29" s="5">
        <f>(SUM($Y$5:Y29))/2</f>
        <v>3600</v>
      </c>
      <c r="AA29" s="5">
        <v>0</v>
      </c>
      <c r="AB29" s="5">
        <f>SUM($AA$5:AA29)</f>
        <v>4800</v>
      </c>
      <c r="AC29" s="5"/>
      <c r="AD29" s="4">
        <v>4</v>
      </c>
      <c r="AE29" s="4">
        <v>27</v>
      </c>
      <c r="AF29" s="5"/>
      <c r="AG29" s="5"/>
      <c r="AH29" s="5">
        <v>25</v>
      </c>
      <c r="AI29" s="13">
        <f t="shared" si="4"/>
        <v>143404</v>
      </c>
      <c r="AJ29" s="4" cm="1">
        <f t="array" ref="AJ29">INDEX($B$5:$B$64,MATCH(AI29,$G$5:$G$64,1))+1</f>
        <v>50</v>
      </c>
      <c r="AK29" s="5"/>
      <c r="AL29" s="5">
        <v>25</v>
      </c>
      <c r="AM29" s="14">
        <f t="shared" si="5"/>
        <v>228364</v>
      </c>
      <c r="AN29" s="4" cm="1">
        <f t="array" ref="AN29">INDEX($B$5:$B$64,MATCH(AM29,$G$5:$G$64,1))+1</f>
        <v>55</v>
      </c>
      <c r="AO29" s="14">
        <f t="shared" si="6"/>
        <v>9096</v>
      </c>
    </row>
    <row r="30" ht="16.5" customHeight="1" spans="1:41">
      <c r="A30" s="4"/>
      <c r="B30" s="4">
        <v>26</v>
      </c>
      <c r="C30" s="4">
        <v>100</v>
      </c>
      <c r="D30" s="4">
        <f t="shared" si="1"/>
        <v>2325</v>
      </c>
      <c r="E30" s="4">
        <v>20</v>
      </c>
      <c r="F30" s="4">
        <f>SUM($D$5:D30)</f>
        <v>17320</v>
      </c>
      <c r="G30" s="4">
        <f>F30-SUM($E$5:E30)*$D$3</f>
        <v>15895</v>
      </c>
      <c r="H30" s="4"/>
      <c r="I30" s="4"/>
      <c r="J30" s="9">
        <v>26</v>
      </c>
      <c r="K30" s="10">
        <v>1752</v>
      </c>
      <c r="L30" s="10">
        <v>60</v>
      </c>
      <c r="M30" s="11">
        <f t="shared" si="2"/>
        <v>2052</v>
      </c>
      <c r="N30" s="11">
        <f>SUM($M$5:M30)</f>
        <v>37056</v>
      </c>
      <c r="O30" s="10">
        <v>2448</v>
      </c>
      <c r="P30" s="10">
        <v>69.6</v>
      </c>
      <c r="Q30" s="11">
        <f t="shared" si="3"/>
        <v>2796</v>
      </c>
      <c r="R30" s="11">
        <f>SUM($Q$5:Q30)</f>
        <v>54060</v>
      </c>
      <c r="S30" s="5"/>
      <c r="T30" s="9">
        <v>26</v>
      </c>
      <c r="U30" s="5">
        <v>0</v>
      </c>
      <c r="V30" s="5">
        <f>SUM($U$5:U30)</f>
        <v>14800</v>
      </c>
      <c r="W30" s="5">
        <v>0</v>
      </c>
      <c r="X30" s="5">
        <f>SUM($W$5:W30)</f>
        <v>14800</v>
      </c>
      <c r="Y30" s="5">
        <v>0</v>
      </c>
      <c r="Z30" s="5">
        <f>(SUM($Y$5:Y30))/2</f>
        <v>3600</v>
      </c>
      <c r="AA30" s="5">
        <v>0</v>
      </c>
      <c r="AB30" s="5">
        <f>SUM($AA$5:AA30)</f>
        <v>4800</v>
      </c>
      <c r="AC30" s="5"/>
      <c r="AD30" s="4">
        <v>5</v>
      </c>
      <c r="AE30" s="4">
        <v>30</v>
      </c>
      <c r="AF30" s="5"/>
      <c r="AG30" s="5"/>
      <c r="AH30" s="5">
        <v>26</v>
      </c>
      <c r="AI30" s="13">
        <f t="shared" si="4"/>
        <v>149056</v>
      </c>
      <c r="AJ30" s="4" cm="1">
        <f t="array" ref="AJ30">INDEX($B$5:$B$64,MATCH(AI30,$G$5:$G$64,1))+1</f>
        <v>51</v>
      </c>
      <c r="AK30" s="5"/>
      <c r="AL30" s="5">
        <v>26</v>
      </c>
      <c r="AM30" s="14">
        <f t="shared" si="5"/>
        <v>237460</v>
      </c>
      <c r="AN30" s="4" cm="1">
        <f t="array" ref="AN30">INDEX($B$5:$B$64,MATCH(AM30,$G$5:$G$64,1))+1</f>
        <v>56</v>
      </c>
      <c r="AO30" s="14">
        <f t="shared" si="6"/>
        <v>9096</v>
      </c>
    </row>
    <row r="31" ht="16.5" customHeight="1" spans="1:41">
      <c r="A31" s="4"/>
      <c r="B31" s="4">
        <v>27</v>
      </c>
      <c r="C31" s="4">
        <v>100</v>
      </c>
      <c r="D31" s="4">
        <f t="shared" si="1"/>
        <v>2425</v>
      </c>
      <c r="E31" s="4">
        <v>20</v>
      </c>
      <c r="F31" s="4">
        <f>SUM($D$5:D31)</f>
        <v>19745</v>
      </c>
      <c r="G31" s="4">
        <f>F31-SUM($E$5:E31)*$D$3</f>
        <v>18220</v>
      </c>
      <c r="H31" s="4"/>
      <c r="I31" s="4"/>
      <c r="J31" s="9">
        <v>27</v>
      </c>
      <c r="K31" s="10">
        <v>1752</v>
      </c>
      <c r="L31" s="10">
        <v>60</v>
      </c>
      <c r="M31" s="11">
        <f t="shared" si="2"/>
        <v>2052</v>
      </c>
      <c r="N31" s="11">
        <f>SUM($M$5:M31)</f>
        <v>39108</v>
      </c>
      <c r="O31" s="10">
        <v>2448</v>
      </c>
      <c r="P31" s="10">
        <v>69.6</v>
      </c>
      <c r="Q31" s="11">
        <f t="shared" si="3"/>
        <v>2796</v>
      </c>
      <c r="R31" s="11">
        <f>SUM($Q$5:Q31)</f>
        <v>56856</v>
      </c>
      <c r="S31" s="5"/>
      <c r="T31" s="9">
        <v>27</v>
      </c>
      <c r="U31" s="5">
        <v>0</v>
      </c>
      <c r="V31" s="5">
        <f>SUM($U$5:U31)</f>
        <v>14800</v>
      </c>
      <c r="W31" s="5">
        <v>0</v>
      </c>
      <c r="X31" s="5">
        <f>SUM($W$5:W31)</f>
        <v>14800</v>
      </c>
      <c r="Y31" s="5">
        <v>0</v>
      </c>
      <c r="Z31" s="5">
        <f>(SUM($Y$5:Y31))/2</f>
        <v>3600</v>
      </c>
      <c r="AA31" s="5">
        <v>0</v>
      </c>
      <c r="AB31" s="5">
        <f>SUM($AA$5:AA31)</f>
        <v>4800</v>
      </c>
      <c r="AC31" s="5"/>
      <c r="AD31" s="4">
        <v>6</v>
      </c>
      <c r="AE31" s="4">
        <v>34</v>
      </c>
      <c r="AF31" s="5"/>
      <c r="AG31" s="5"/>
      <c r="AH31" s="5">
        <v>27</v>
      </c>
      <c r="AI31" s="13">
        <f t="shared" si="4"/>
        <v>154708</v>
      </c>
      <c r="AJ31" s="4" cm="1">
        <f t="array" ref="AJ31">INDEX($B$5:$B$64,MATCH(AI31,$G$5:$G$64,1))+1</f>
        <v>51</v>
      </c>
      <c r="AK31" s="5"/>
      <c r="AL31" s="5">
        <v>27</v>
      </c>
      <c r="AM31" s="14">
        <f t="shared" si="5"/>
        <v>246556</v>
      </c>
      <c r="AN31" s="4" cm="1">
        <f t="array" ref="AN31">INDEX($B$5:$B$64,MATCH(AM31,$G$5:$G$64,1))+1</f>
        <v>56</v>
      </c>
      <c r="AO31" s="14">
        <f t="shared" si="6"/>
        <v>9096</v>
      </c>
    </row>
    <row r="32" ht="16.5" customHeight="1" spans="1:41">
      <c r="A32" s="4"/>
      <c r="B32" s="4">
        <v>28</v>
      </c>
      <c r="C32" s="4">
        <v>100</v>
      </c>
      <c r="D32" s="4">
        <f t="shared" si="1"/>
        <v>2525</v>
      </c>
      <c r="E32" s="4">
        <v>20</v>
      </c>
      <c r="F32" s="4">
        <f>SUM($D$5:D32)</f>
        <v>22270</v>
      </c>
      <c r="G32" s="4">
        <f>F32-SUM($E$5:E32)*$D$3</f>
        <v>20645</v>
      </c>
      <c r="H32" s="4"/>
      <c r="I32" s="4"/>
      <c r="J32" s="9">
        <v>28</v>
      </c>
      <c r="K32" s="10">
        <v>1752</v>
      </c>
      <c r="L32" s="10">
        <v>60</v>
      </c>
      <c r="M32" s="11">
        <f t="shared" si="2"/>
        <v>2052</v>
      </c>
      <c r="N32" s="11">
        <f>SUM($M$5:M32)</f>
        <v>41160</v>
      </c>
      <c r="O32" s="10">
        <v>2760</v>
      </c>
      <c r="P32" s="10">
        <v>74.4</v>
      </c>
      <c r="Q32" s="11">
        <f t="shared" si="3"/>
        <v>3132</v>
      </c>
      <c r="R32" s="11">
        <f>SUM($Q$5:Q32)</f>
        <v>59988</v>
      </c>
      <c r="S32" s="5"/>
      <c r="T32" s="9">
        <v>28</v>
      </c>
      <c r="U32" s="5">
        <v>0</v>
      </c>
      <c r="V32" s="5">
        <f>SUM($U$5:U32)</f>
        <v>14800</v>
      </c>
      <c r="W32" s="5">
        <v>0</v>
      </c>
      <c r="X32" s="5">
        <f>SUM($W$5:W32)</f>
        <v>14800</v>
      </c>
      <c r="Y32" s="5">
        <v>0</v>
      </c>
      <c r="Z32" s="5">
        <f>(SUM($Y$5:Y32))/2</f>
        <v>3600</v>
      </c>
      <c r="AA32" s="5">
        <v>0</v>
      </c>
      <c r="AB32" s="5">
        <f>SUM($AA$5:AA32)</f>
        <v>4800</v>
      </c>
      <c r="AC32" s="5"/>
      <c r="AD32" s="4">
        <v>7</v>
      </c>
      <c r="AE32" s="4">
        <v>38</v>
      </c>
      <c r="AF32" s="5"/>
      <c r="AG32" s="5"/>
      <c r="AH32" s="5">
        <v>28</v>
      </c>
      <c r="AI32" s="13">
        <f t="shared" si="4"/>
        <v>160360</v>
      </c>
      <c r="AJ32" s="4" cm="1">
        <f t="array" ref="AJ32">INDEX($B$5:$B$64,MATCH(AI32,$G$5:$G$64,1))+1</f>
        <v>52</v>
      </c>
      <c r="AK32" s="5"/>
      <c r="AL32" s="5">
        <v>28</v>
      </c>
      <c r="AM32" s="14">
        <f t="shared" si="5"/>
        <v>255988</v>
      </c>
      <c r="AN32" s="4" cm="1">
        <f t="array" ref="AN32">INDEX($B$5:$B$64,MATCH(AM32,$G$5:$G$64,1))+1</f>
        <v>56</v>
      </c>
      <c r="AO32" s="14">
        <f t="shared" si="6"/>
        <v>9432</v>
      </c>
    </row>
    <row r="33" ht="16.5" customHeight="1" spans="1:41">
      <c r="A33" s="4"/>
      <c r="B33" s="4">
        <v>29</v>
      </c>
      <c r="C33" s="4">
        <v>100</v>
      </c>
      <c r="D33" s="4">
        <f t="shared" si="1"/>
        <v>2625</v>
      </c>
      <c r="E33" s="4">
        <v>20</v>
      </c>
      <c r="F33" s="4">
        <f>SUM($D$5:D33)</f>
        <v>24895</v>
      </c>
      <c r="G33" s="4">
        <f>F33-SUM($E$5:E33)*$D$3</f>
        <v>23170</v>
      </c>
      <c r="H33" s="4"/>
      <c r="I33" s="4"/>
      <c r="J33" s="9">
        <v>29</v>
      </c>
      <c r="K33" s="10">
        <v>1752</v>
      </c>
      <c r="L33" s="10">
        <v>60</v>
      </c>
      <c r="M33" s="11">
        <f t="shared" si="2"/>
        <v>2052</v>
      </c>
      <c r="N33" s="11">
        <f>SUM($M$5:M33)</f>
        <v>43212</v>
      </c>
      <c r="O33" s="10">
        <v>2760</v>
      </c>
      <c r="P33" s="10">
        <v>74.4</v>
      </c>
      <c r="Q33" s="11">
        <f t="shared" si="3"/>
        <v>3132</v>
      </c>
      <c r="R33" s="11">
        <f>SUM($Q$5:Q33)</f>
        <v>63120</v>
      </c>
      <c r="S33" s="5"/>
      <c r="T33" s="9">
        <v>29</v>
      </c>
      <c r="U33" s="5">
        <v>0</v>
      </c>
      <c r="V33" s="5">
        <f>SUM($U$5:U33)</f>
        <v>14800</v>
      </c>
      <c r="W33" s="5">
        <v>0</v>
      </c>
      <c r="X33" s="5">
        <f>SUM($W$5:W33)</f>
        <v>14800</v>
      </c>
      <c r="Y33" s="5">
        <v>600</v>
      </c>
      <c r="Z33" s="5">
        <f>(SUM($Y$5:Y33))/2</f>
        <v>3900</v>
      </c>
      <c r="AA33" s="5">
        <v>600</v>
      </c>
      <c r="AB33" s="5">
        <f>SUM($AA$5:AA33)</f>
        <v>5400</v>
      </c>
      <c r="AC33" s="5"/>
      <c r="AD33" s="5"/>
      <c r="AE33" s="5"/>
      <c r="AF33" s="5"/>
      <c r="AG33" s="5"/>
      <c r="AH33" s="5">
        <v>29</v>
      </c>
      <c r="AI33" s="13">
        <f t="shared" si="4"/>
        <v>166312</v>
      </c>
      <c r="AJ33" s="4" cm="1">
        <f t="array" ref="AJ33">INDEX($B$5:$B$64,MATCH(AI33,$G$5:$G$64,1))+1</f>
        <v>52</v>
      </c>
      <c r="AK33" s="5"/>
      <c r="AL33" s="5">
        <v>29</v>
      </c>
      <c r="AM33" s="14">
        <f t="shared" si="5"/>
        <v>266020</v>
      </c>
      <c r="AN33" s="4" cm="1">
        <f t="array" ref="AN33">INDEX($B$5:$B$64,MATCH(AM33,$G$5:$G$64,1))+1</f>
        <v>57</v>
      </c>
      <c r="AO33" s="14">
        <f t="shared" si="6"/>
        <v>10032</v>
      </c>
    </row>
    <row r="34" ht="16.5" customHeight="1" spans="1:41">
      <c r="A34" s="4"/>
      <c r="B34" s="4">
        <v>30</v>
      </c>
      <c r="C34" s="4">
        <v>100</v>
      </c>
      <c r="D34" s="4">
        <f t="shared" si="1"/>
        <v>2725</v>
      </c>
      <c r="E34" s="4">
        <v>20</v>
      </c>
      <c r="F34" s="4">
        <f>SUM($D$5:D34)</f>
        <v>27620</v>
      </c>
      <c r="G34" s="4">
        <f>F34-SUM($E$5:E34)*$D$3</f>
        <v>25795</v>
      </c>
      <c r="H34" s="4"/>
      <c r="I34" s="4"/>
      <c r="J34" s="9">
        <v>30</v>
      </c>
      <c r="K34" s="10">
        <v>1752</v>
      </c>
      <c r="L34" s="10">
        <v>60</v>
      </c>
      <c r="M34" s="11">
        <f t="shared" si="2"/>
        <v>2052</v>
      </c>
      <c r="N34" s="11">
        <f>SUM($M$5:M34)</f>
        <v>45264</v>
      </c>
      <c r="O34" s="10">
        <v>2760</v>
      </c>
      <c r="P34" s="10">
        <v>74.4</v>
      </c>
      <c r="Q34" s="11">
        <f t="shared" si="3"/>
        <v>3132</v>
      </c>
      <c r="R34" s="11">
        <f>SUM($Q$5:Q34)</f>
        <v>66252</v>
      </c>
      <c r="S34" s="5"/>
      <c r="T34" s="9">
        <v>30</v>
      </c>
      <c r="U34" s="5">
        <v>0</v>
      </c>
      <c r="V34" s="5">
        <f>SUM($U$5:U34)</f>
        <v>14800</v>
      </c>
      <c r="W34" s="5">
        <v>0</v>
      </c>
      <c r="X34" s="5">
        <f>SUM($W$5:W34)</f>
        <v>14800</v>
      </c>
      <c r="Y34" s="5">
        <v>0</v>
      </c>
      <c r="Z34" s="5">
        <f>(SUM($Y$5:Y34))/2</f>
        <v>3900</v>
      </c>
      <c r="AA34" s="5">
        <v>600</v>
      </c>
      <c r="AB34" s="5">
        <f>SUM($AA$5:AA34)</f>
        <v>6000</v>
      </c>
      <c r="AC34" s="5"/>
      <c r="AD34" s="5"/>
      <c r="AE34" s="5"/>
      <c r="AF34" s="5"/>
      <c r="AG34" s="5"/>
      <c r="AH34" s="5">
        <v>30</v>
      </c>
      <c r="AI34" s="13">
        <f t="shared" si="4"/>
        <v>171964</v>
      </c>
      <c r="AJ34" s="4" cm="1">
        <f t="array" ref="AJ34">INDEX($B$5:$B$64,MATCH(AI34,$G$5:$G$64,1))+1</f>
        <v>52</v>
      </c>
      <c r="AK34" s="5"/>
      <c r="AL34" s="5">
        <v>30</v>
      </c>
      <c r="AM34" s="14">
        <f t="shared" si="5"/>
        <v>276052</v>
      </c>
      <c r="AN34" s="4" cm="1">
        <f t="array" ref="AN34">INDEX($B$5:$B$64,MATCH(AM34,$G$5:$G$64,1))+1</f>
        <v>57</v>
      </c>
      <c r="AO34" s="14">
        <f t="shared" si="6"/>
        <v>10032</v>
      </c>
    </row>
    <row r="35" ht="16.5" customHeight="1" spans="1:41">
      <c r="A35" s="4"/>
      <c r="B35" s="4">
        <v>31</v>
      </c>
      <c r="C35" s="4">
        <v>100</v>
      </c>
      <c r="D35" s="4">
        <f t="shared" si="1"/>
        <v>2825</v>
      </c>
      <c r="E35" s="4">
        <v>20</v>
      </c>
      <c r="F35" s="4">
        <f>SUM($D$5:D35)</f>
        <v>30445</v>
      </c>
      <c r="G35" s="4">
        <f>F35-SUM($E$5:E35)*$D$3</f>
        <v>28520</v>
      </c>
      <c r="H35" s="4"/>
      <c r="I35" s="4"/>
      <c r="J35" s="9">
        <v>31</v>
      </c>
      <c r="K35" s="10">
        <v>1752</v>
      </c>
      <c r="L35" s="10">
        <v>60</v>
      </c>
      <c r="M35" s="11">
        <f t="shared" si="2"/>
        <v>2052</v>
      </c>
      <c r="N35" s="11">
        <f>SUM($M$5:M35)</f>
        <v>47316</v>
      </c>
      <c r="O35" s="10">
        <v>2760</v>
      </c>
      <c r="P35" s="10">
        <v>74.4</v>
      </c>
      <c r="Q35" s="11">
        <f t="shared" si="3"/>
        <v>3132</v>
      </c>
      <c r="R35" s="11">
        <f>SUM($Q$5:Q35)</f>
        <v>69384</v>
      </c>
      <c r="S35" s="5"/>
      <c r="T35" s="9">
        <v>31</v>
      </c>
      <c r="U35" s="5">
        <v>0</v>
      </c>
      <c r="V35" s="5">
        <f>SUM($U$5:U35)</f>
        <v>14800</v>
      </c>
      <c r="W35" s="5">
        <v>0</v>
      </c>
      <c r="X35" s="5">
        <f>SUM($W$5:W35)</f>
        <v>14800</v>
      </c>
      <c r="Y35" s="5">
        <v>600</v>
      </c>
      <c r="Z35" s="5">
        <f>(SUM($Y$5:Y35))/2</f>
        <v>4200</v>
      </c>
      <c r="AA35" s="5">
        <v>300</v>
      </c>
      <c r="AB35" s="5">
        <f>SUM($AA$5:AA35)</f>
        <v>6300</v>
      </c>
      <c r="AC35" s="5"/>
      <c r="AD35" s="5"/>
      <c r="AE35" s="5"/>
      <c r="AF35" s="5"/>
      <c r="AG35" s="5"/>
      <c r="AH35" s="5">
        <v>31</v>
      </c>
      <c r="AI35" s="13">
        <f t="shared" si="4"/>
        <v>177916</v>
      </c>
      <c r="AJ35" s="4" cm="1">
        <f t="array" ref="AJ35">INDEX($B$5:$B$64,MATCH(AI35,$G$5:$G$64,1))+1</f>
        <v>53</v>
      </c>
      <c r="AK35" s="5"/>
      <c r="AL35" s="5">
        <v>31</v>
      </c>
      <c r="AM35" s="14">
        <f t="shared" si="5"/>
        <v>285784</v>
      </c>
      <c r="AN35" s="4" cm="1">
        <f t="array" ref="AN35">INDEX($B$5:$B$64,MATCH(AM35,$G$5:$G$64,1))+1</f>
        <v>57</v>
      </c>
      <c r="AO35" s="14">
        <f t="shared" si="6"/>
        <v>9732</v>
      </c>
    </row>
    <row r="36" ht="16.5" customHeight="1" spans="1:41">
      <c r="A36" s="4"/>
      <c r="B36" s="4">
        <v>32</v>
      </c>
      <c r="C36" s="4">
        <v>200</v>
      </c>
      <c r="D36" s="4">
        <f t="shared" si="1"/>
        <v>2925</v>
      </c>
      <c r="E36" s="4">
        <v>20</v>
      </c>
      <c r="F36" s="4">
        <f>SUM($D$5:D36)</f>
        <v>33370</v>
      </c>
      <c r="G36" s="4">
        <f>F36-SUM($E$5:E36)*$D$3</f>
        <v>31345</v>
      </c>
      <c r="H36" s="4"/>
      <c r="I36" s="4"/>
      <c r="J36" s="9">
        <v>32</v>
      </c>
      <c r="K36" s="10">
        <v>1752</v>
      </c>
      <c r="L36" s="10">
        <v>60</v>
      </c>
      <c r="M36" s="11">
        <f t="shared" si="2"/>
        <v>2052</v>
      </c>
      <c r="N36" s="11">
        <f>SUM($M$5:M36)</f>
        <v>49368</v>
      </c>
      <c r="O36" s="10">
        <v>2760</v>
      </c>
      <c r="P36" s="10">
        <v>74.4</v>
      </c>
      <c r="Q36" s="11">
        <f t="shared" si="3"/>
        <v>3132</v>
      </c>
      <c r="R36" s="11">
        <f>SUM($Q$5:Q36)</f>
        <v>72516</v>
      </c>
      <c r="S36" s="5"/>
      <c r="T36" s="9">
        <v>32</v>
      </c>
      <c r="U36" s="5">
        <v>0</v>
      </c>
      <c r="V36" s="5">
        <f>SUM($U$5:U36)</f>
        <v>14800</v>
      </c>
      <c r="W36" s="5">
        <v>0</v>
      </c>
      <c r="X36" s="5">
        <f>SUM($W$5:W36)</f>
        <v>14800</v>
      </c>
      <c r="Y36" s="5">
        <v>600</v>
      </c>
      <c r="Z36" s="5">
        <f>(SUM($Y$5:Y36))/2</f>
        <v>4500</v>
      </c>
      <c r="AA36" s="5">
        <v>300</v>
      </c>
      <c r="AB36" s="5">
        <f>SUM($AA$5:AA36)</f>
        <v>6600</v>
      </c>
      <c r="AC36" s="5"/>
      <c r="AD36" s="5"/>
      <c r="AE36" s="5"/>
      <c r="AF36" s="5"/>
      <c r="AG36" s="5"/>
      <c r="AH36" s="5">
        <v>32</v>
      </c>
      <c r="AI36" s="13">
        <f t="shared" si="4"/>
        <v>183868</v>
      </c>
      <c r="AJ36" s="4" cm="1">
        <f t="array" ref="AJ36">INDEX($B$5:$B$64,MATCH(AI36,$G$5:$G$64,1))+1</f>
        <v>53</v>
      </c>
      <c r="AK36" s="5"/>
      <c r="AL36" s="5">
        <v>32</v>
      </c>
      <c r="AM36" s="14">
        <f t="shared" si="5"/>
        <v>295516</v>
      </c>
      <c r="AN36" s="4" cm="1">
        <f t="array" ref="AN36">INDEX($B$5:$B$64,MATCH(AM36,$G$5:$G$64,1))+1</f>
        <v>57</v>
      </c>
      <c r="AO36" s="14">
        <f t="shared" si="6"/>
        <v>9732</v>
      </c>
    </row>
    <row r="37" ht="16.5" customHeight="1" spans="1:41">
      <c r="A37" s="4"/>
      <c r="B37" s="4">
        <v>33</v>
      </c>
      <c r="C37" s="4">
        <v>200</v>
      </c>
      <c r="D37" s="4">
        <f t="shared" si="1"/>
        <v>3125</v>
      </c>
      <c r="E37" s="4">
        <v>20</v>
      </c>
      <c r="F37" s="4">
        <f>SUM($D$5:D37)</f>
        <v>36495</v>
      </c>
      <c r="G37" s="4">
        <f>F37-SUM($E$5:E37)*$D$3</f>
        <v>34370</v>
      </c>
      <c r="H37" s="4"/>
      <c r="I37" s="4"/>
      <c r="J37" s="9">
        <v>33</v>
      </c>
      <c r="K37" s="10">
        <v>1752</v>
      </c>
      <c r="L37" s="10">
        <v>60</v>
      </c>
      <c r="M37" s="11">
        <f t="shared" si="2"/>
        <v>2052</v>
      </c>
      <c r="N37" s="11">
        <f>SUM($M$5:M37)</f>
        <v>51420</v>
      </c>
      <c r="O37" s="10">
        <v>2760</v>
      </c>
      <c r="P37" s="10">
        <v>74.4</v>
      </c>
      <c r="Q37" s="11">
        <f t="shared" si="3"/>
        <v>3132</v>
      </c>
      <c r="R37" s="11">
        <f>SUM($Q$5:Q37)</f>
        <v>75648</v>
      </c>
      <c r="S37" s="5"/>
      <c r="T37" s="9">
        <v>33</v>
      </c>
      <c r="U37" s="5">
        <v>0</v>
      </c>
      <c r="V37" s="5">
        <f>SUM($U$5:U37)</f>
        <v>14800</v>
      </c>
      <c r="W37" s="5">
        <v>0</v>
      </c>
      <c r="X37" s="5">
        <f>SUM($W$5:W37)</f>
        <v>14800</v>
      </c>
      <c r="Y37" s="5">
        <v>0</v>
      </c>
      <c r="Z37" s="5">
        <f>(SUM($Y$5:Y37))/2</f>
        <v>4500</v>
      </c>
      <c r="AA37" s="5">
        <v>0</v>
      </c>
      <c r="AB37" s="5">
        <f>SUM($AA$5:AA37)</f>
        <v>6600</v>
      </c>
      <c r="AC37" s="5"/>
      <c r="AD37" s="5"/>
      <c r="AE37" s="5"/>
      <c r="AF37" s="5"/>
      <c r="AG37" s="5"/>
      <c r="AH37" s="5">
        <v>33</v>
      </c>
      <c r="AI37" s="13">
        <f t="shared" si="4"/>
        <v>189520</v>
      </c>
      <c r="AJ37" s="4" cm="1">
        <f t="array" ref="AJ37">INDEX($B$5:$B$64,MATCH(AI37,$G$5:$G$64,1))+1</f>
        <v>53</v>
      </c>
      <c r="AK37" s="5"/>
      <c r="AL37" s="5">
        <v>33</v>
      </c>
      <c r="AM37" s="14">
        <f t="shared" si="5"/>
        <v>304948</v>
      </c>
      <c r="AN37" s="4" cm="1">
        <f t="array" ref="AN37">INDEX($B$5:$B$64,MATCH(AM37,$G$5:$G$64,1))+1</f>
        <v>58</v>
      </c>
      <c r="AO37" s="14">
        <f t="shared" si="6"/>
        <v>9432</v>
      </c>
    </row>
    <row r="38" ht="16.5" customHeight="1" spans="1:41">
      <c r="A38" s="4"/>
      <c r="B38" s="4">
        <v>34</v>
      </c>
      <c r="C38" s="4">
        <v>200</v>
      </c>
      <c r="D38" s="4">
        <f t="shared" si="1"/>
        <v>3325</v>
      </c>
      <c r="E38" s="4">
        <v>20</v>
      </c>
      <c r="F38" s="4">
        <f>SUM($D$5:D38)</f>
        <v>39820</v>
      </c>
      <c r="G38" s="4">
        <f>F38-SUM($E$5:E38)*$D$3</f>
        <v>37595</v>
      </c>
      <c r="H38" s="4"/>
      <c r="I38" s="4"/>
      <c r="J38" s="9">
        <v>34</v>
      </c>
      <c r="K38" s="10">
        <v>1752</v>
      </c>
      <c r="L38" s="10">
        <v>60</v>
      </c>
      <c r="M38" s="11">
        <f t="shared" ref="M38:M69" si="7">L38*$D$3+K38</f>
        <v>2052</v>
      </c>
      <c r="N38" s="11">
        <f>SUM($M$5:M38)</f>
        <v>53472</v>
      </c>
      <c r="O38" s="10">
        <v>2760</v>
      </c>
      <c r="P38" s="10">
        <v>74.4</v>
      </c>
      <c r="Q38" s="11">
        <f t="shared" ref="Q38:Q69" si="8">P38*$D$3+O38</f>
        <v>3132</v>
      </c>
      <c r="R38" s="11">
        <f>SUM($Q$5:Q38)</f>
        <v>78780</v>
      </c>
      <c r="S38" s="5"/>
      <c r="T38" s="9">
        <v>34</v>
      </c>
      <c r="U38" s="5">
        <v>0</v>
      </c>
      <c r="V38" s="5">
        <f>SUM($U$5:U38)</f>
        <v>14800</v>
      </c>
      <c r="W38" s="5">
        <v>0</v>
      </c>
      <c r="X38" s="5">
        <f>SUM($W$5:W38)</f>
        <v>14800</v>
      </c>
      <c r="Y38" s="5">
        <v>0</v>
      </c>
      <c r="Z38" s="5">
        <f>(SUM($Y$5:Y38))/2</f>
        <v>4500</v>
      </c>
      <c r="AA38" s="5">
        <v>0</v>
      </c>
      <c r="AB38" s="5">
        <f>SUM($AA$5:AA38)</f>
        <v>6600</v>
      </c>
      <c r="AC38" s="5"/>
      <c r="AD38" s="5"/>
      <c r="AE38" s="5"/>
      <c r="AF38" s="5"/>
      <c r="AG38" s="5"/>
      <c r="AH38" s="5">
        <v>34</v>
      </c>
      <c r="AI38" s="13">
        <f t="shared" ref="AI38:AI64" si="9">$AF$21*AH38+N38+V38+Z38</f>
        <v>195172</v>
      </c>
      <c r="AJ38" s="4" cm="1">
        <f t="array" ref="AJ38">INDEX($B$5:$B$64,MATCH(AI38,$G$5:$G$64,1))+1</f>
        <v>53</v>
      </c>
      <c r="AK38" s="5"/>
      <c r="AL38" s="5">
        <v>34</v>
      </c>
      <c r="AM38" s="14">
        <f t="shared" ref="AM38:AM64" si="10">$AF$23*AL38+R38+X38+AB38</f>
        <v>314380</v>
      </c>
      <c r="AN38" s="4" cm="1">
        <f t="array" ref="AN38">INDEX($B$5:$B$64,MATCH(AM38,$G$5:$G$64,1))+1</f>
        <v>58</v>
      </c>
      <c r="AO38" s="14">
        <f t="shared" si="6"/>
        <v>9432</v>
      </c>
    </row>
    <row r="39" ht="16.5" customHeight="1" spans="1:41">
      <c r="A39" s="4"/>
      <c r="B39" s="4">
        <v>35</v>
      </c>
      <c r="C39" s="4">
        <v>200</v>
      </c>
      <c r="D39" s="4">
        <f t="shared" si="1"/>
        <v>3525</v>
      </c>
      <c r="E39" s="4">
        <v>20</v>
      </c>
      <c r="F39" s="4">
        <f>SUM($D$5:D39)</f>
        <v>43345</v>
      </c>
      <c r="G39" s="4">
        <f>F39-SUM($E$5:E39)*$D$3</f>
        <v>41020</v>
      </c>
      <c r="H39" s="4"/>
      <c r="I39" s="4"/>
      <c r="J39" s="9">
        <v>35</v>
      </c>
      <c r="K39" s="10">
        <v>1752</v>
      </c>
      <c r="L39" s="10">
        <v>60</v>
      </c>
      <c r="M39" s="11">
        <f t="shared" si="7"/>
        <v>2052</v>
      </c>
      <c r="N39" s="11">
        <f>SUM($M$5:M39)</f>
        <v>55524</v>
      </c>
      <c r="O39" s="10">
        <v>2760</v>
      </c>
      <c r="P39" s="10">
        <v>74.4</v>
      </c>
      <c r="Q39" s="11">
        <f t="shared" si="8"/>
        <v>3132</v>
      </c>
      <c r="R39" s="11">
        <f>SUM($Q$5:Q39)</f>
        <v>81912</v>
      </c>
      <c r="S39" s="5"/>
      <c r="T39" s="9">
        <v>35</v>
      </c>
      <c r="U39" s="5">
        <v>0</v>
      </c>
      <c r="V39" s="5">
        <f>SUM($U$5:U39)</f>
        <v>14800</v>
      </c>
      <c r="W39" s="5">
        <v>0</v>
      </c>
      <c r="X39" s="5">
        <f>SUM($W$5:W39)</f>
        <v>14800</v>
      </c>
      <c r="Y39" s="5">
        <v>600</v>
      </c>
      <c r="Z39" s="5">
        <f>(SUM($Y$5:Y39))/2</f>
        <v>4800</v>
      </c>
      <c r="AA39" s="5">
        <v>0</v>
      </c>
      <c r="AB39" s="5">
        <f>SUM($AA$5:AA39)</f>
        <v>6600</v>
      </c>
      <c r="AC39" s="5"/>
      <c r="AD39" s="5"/>
      <c r="AE39" s="5"/>
      <c r="AF39" s="5"/>
      <c r="AG39" s="5"/>
      <c r="AH39" s="5">
        <v>35</v>
      </c>
      <c r="AI39" s="13">
        <f t="shared" si="9"/>
        <v>201124</v>
      </c>
      <c r="AJ39" s="4" cm="1">
        <f t="array" ref="AJ39">INDEX($B$5:$B$64,MATCH(AI39,$G$5:$G$64,1))+1</f>
        <v>54</v>
      </c>
      <c r="AK39" s="5"/>
      <c r="AL39" s="5">
        <v>35</v>
      </c>
      <c r="AM39" s="14">
        <f t="shared" si="10"/>
        <v>323812</v>
      </c>
      <c r="AN39" s="4" cm="1">
        <f t="array" ref="AN39">INDEX($B$5:$B$64,MATCH(AM39,$G$5:$G$64,1))+1</f>
        <v>58</v>
      </c>
      <c r="AO39" s="14">
        <f t="shared" ref="AO39:AO64" si="11">AM39-AM38</f>
        <v>9432</v>
      </c>
    </row>
    <row r="40" ht="16.5" customHeight="1" spans="1:41">
      <c r="A40" s="4"/>
      <c r="B40" s="4">
        <v>36</v>
      </c>
      <c r="C40" s="4">
        <v>200</v>
      </c>
      <c r="D40" s="4">
        <f t="shared" si="1"/>
        <v>3725</v>
      </c>
      <c r="E40" s="4">
        <v>20</v>
      </c>
      <c r="F40" s="4">
        <f>SUM($D$5:D40)</f>
        <v>47070</v>
      </c>
      <c r="G40" s="4">
        <f>F40-SUM($E$5:E40)*$D$3</f>
        <v>44645</v>
      </c>
      <c r="H40" s="4"/>
      <c r="I40" s="4"/>
      <c r="J40" s="9">
        <v>36</v>
      </c>
      <c r="K40" s="10">
        <v>1752</v>
      </c>
      <c r="L40" s="10">
        <v>60</v>
      </c>
      <c r="M40" s="11">
        <f t="shared" si="7"/>
        <v>2052</v>
      </c>
      <c r="N40" s="11">
        <f>SUM($M$5:M40)</f>
        <v>57576</v>
      </c>
      <c r="O40" s="10">
        <v>2760</v>
      </c>
      <c r="P40" s="10">
        <v>74.4</v>
      </c>
      <c r="Q40" s="11">
        <f t="shared" si="8"/>
        <v>3132</v>
      </c>
      <c r="R40" s="11">
        <f>SUM($Q$5:Q40)</f>
        <v>85044</v>
      </c>
      <c r="S40" s="5"/>
      <c r="T40" s="9">
        <v>36</v>
      </c>
      <c r="U40" s="5">
        <v>0</v>
      </c>
      <c r="V40" s="5">
        <f>SUM($U$5:U40)</f>
        <v>14800</v>
      </c>
      <c r="W40" s="5">
        <v>0</v>
      </c>
      <c r="X40" s="5">
        <f>SUM($W$5:W40)</f>
        <v>14800</v>
      </c>
      <c r="Y40" s="5">
        <v>600</v>
      </c>
      <c r="Z40" s="5">
        <f>(SUM($Y$5:Y40))/2</f>
        <v>5100</v>
      </c>
      <c r="AA40" s="5">
        <v>300</v>
      </c>
      <c r="AB40" s="5">
        <f>SUM($AA$5:AA40)</f>
        <v>6900</v>
      </c>
      <c r="AC40" s="5"/>
      <c r="AD40" s="5"/>
      <c r="AE40" s="5"/>
      <c r="AF40" s="5"/>
      <c r="AG40" s="5"/>
      <c r="AH40" s="5">
        <v>36</v>
      </c>
      <c r="AI40" s="13">
        <f t="shared" si="9"/>
        <v>207076</v>
      </c>
      <c r="AJ40" s="4" cm="1">
        <f t="array" ref="AJ40">INDEX($B$5:$B$64,MATCH(AI40,$G$5:$G$64,1))+1</f>
        <v>54</v>
      </c>
      <c r="AK40" s="5"/>
      <c r="AL40" s="5">
        <v>36</v>
      </c>
      <c r="AM40" s="14">
        <f t="shared" si="10"/>
        <v>333544</v>
      </c>
      <c r="AN40" s="4" cm="1">
        <f t="array" ref="AN40">INDEX($B$5:$B$64,MATCH(AM40,$G$5:$G$64,1))+1</f>
        <v>58</v>
      </c>
      <c r="AO40" s="14">
        <f t="shared" si="11"/>
        <v>9732</v>
      </c>
    </row>
    <row r="41" ht="16.5" customHeight="1" spans="1:41">
      <c r="A41" s="4"/>
      <c r="B41" s="4">
        <v>37</v>
      </c>
      <c r="C41" s="4">
        <v>300</v>
      </c>
      <c r="D41" s="4">
        <f t="shared" si="1"/>
        <v>3925</v>
      </c>
      <c r="E41" s="4">
        <v>20</v>
      </c>
      <c r="F41" s="4">
        <f>SUM($D$5:D41)</f>
        <v>50995</v>
      </c>
      <c r="G41" s="4">
        <f>F41-SUM($E$5:E41)*$D$3</f>
        <v>48470</v>
      </c>
      <c r="H41" s="4"/>
      <c r="I41" s="4"/>
      <c r="J41" s="9">
        <v>37</v>
      </c>
      <c r="K41" s="10">
        <v>1752</v>
      </c>
      <c r="L41" s="10">
        <v>60</v>
      </c>
      <c r="M41" s="11">
        <f t="shared" si="7"/>
        <v>2052</v>
      </c>
      <c r="N41" s="11">
        <f>SUM($M$5:M41)</f>
        <v>59628</v>
      </c>
      <c r="O41" s="10">
        <v>2760</v>
      </c>
      <c r="P41" s="10">
        <v>74.4</v>
      </c>
      <c r="Q41" s="11">
        <f t="shared" si="8"/>
        <v>3132</v>
      </c>
      <c r="R41" s="11">
        <f>SUM($Q$5:Q41)</f>
        <v>88176</v>
      </c>
      <c r="T41" s="9">
        <v>37</v>
      </c>
      <c r="U41" s="5">
        <v>0</v>
      </c>
      <c r="V41" s="5">
        <f>SUM($U$5:U41)</f>
        <v>14800</v>
      </c>
      <c r="W41" s="5">
        <v>0</v>
      </c>
      <c r="X41" s="5">
        <f>SUM($W$5:W41)</f>
        <v>14800</v>
      </c>
      <c r="Y41" s="5">
        <v>600</v>
      </c>
      <c r="Z41" s="5">
        <f>(SUM($Y$5:Y41))/2</f>
        <v>5400</v>
      </c>
      <c r="AA41" s="5">
        <v>300</v>
      </c>
      <c r="AB41" s="5">
        <f>SUM($AA$5:AA41)</f>
        <v>7200</v>
      </c>
      <c r="AG41" s="4"/>
      <c r="AH41" s="5">
        <v>37</v>
      </c>
      <c r="AI41" s="13">
        <f t="shared" si="9"/>
        <v>213028</v>
      </c>
      <c r="AJ41" s="4" cm="1">
        <f t="array" ref="AJ41">INDEX($B$5:$B$64,MATCH(AI41,$G$5:$G$64,1))+1</f>
        <v>54</v>
      </c>
      <c r="AK41" s="5"/>
      <c r="AL41" s="5">
        <v>37</v>
      </c>
      <c r="AM41" s="14">
        <f t="shared" si="10"/>
        <v>343276</v>
      </c>
      <c r="AN41" s="4" cm="1">
        <f t="array" ref="AN41">INDEX($B$5:$B$64,MATCH(AM41,$G$5:$G$64,1))+1</f>
        <v>58</v>
      </c>
      <c r="AO41" s="14">
        <f t="shared" si="11"/>
        <v>9732</v>
      </c>
    </row>
    <row r="42" ht="16.5" customHeight="1" spans="1:41">
      <c r="A42" s="4"/>
      <c r="B42" s="4">
        <v>38</v>
      </c>
      <c r="C42" s="4">
        <v>300</v>
      </c>
      <c r="D42" s="4">
        <f t="shared" si="1"/>
        <v>4225</v>
      </c>
      <c r="E42" s="4">
        <v>20</v>
      </c>
      <c r="F42" s="4">
        <f>SUM($D$5:D42)</f>
        <v>55220</v>
      </c>
      <c r="G42" s="4">
        <f>F42-SUM($E$5:E42)*$D$3</f>
        <v>52595</v>
      </c>
      <c r="H42" s="4"/>
      <c r="I42" s="4"/>
      <c r="J42" s="9">
        <v>38</v>
      </c>
      <c r="K42" s="10">
        <v>1752</v>
      </c>
      <c r="L42" s="10">
        <v>60</v>
      </c>
      <c r="M42" s="11">
        <f t="shared" si="7"/>
        <v>2052</v>
      </c>
      <c r="N42" s="11">
        <f>SUM($M$5:M42)</f>
        <v>61680</v>
      </c>
      <c r="O42" s="10">
        <v>2760</v>
      </c>
      <c r="P42" s="10">
        <v>74.4</v>
      </c>
      <c r="Q42" s="11">
        <f t="shared" si="8"/>
        <v>3132</v>
      </c>
      <c r="R42" s="11">
        <f>SUM($Q$5:Q42)</f>
        <v>91308</v>
      </c>
      <c r="T42" s="9">
        <v>38</v>
      </c>
      <c r="U42" s="5">
        <v>0</v>
      </c>
      <c r="V42" s="5">
        <f>SUM($U$5:U42)</f>
        <v>14800</v>
      </c>
      <c r="W42" s="5">
        <v>0</v>
      </c>
      <c r="X42" s="5">
        <f>SUM($W$5:W42)</f>
        <v>14800</v>
      </c>
      <c r="Y42" s="5">
        <v>0</v>
      </c>
      <c r="Z42" s="5">
        <f>(SUM($Y$5:Y42))/2</f>
        <v>5400</v>
      </c>
      <c r="AA42" s="5">
        <v>0</v>
      </c>
      <c r="AB42" s="5">
        <f>SUM($AA$5:AA42)</f>
        <v>7200</v>
      </c>
      <c r="AG42" s="4"/>
      <c r="AH42" s="5">
        <v>38</v>
      </c>
      <c r="AI42" s="13">
        <f t="shared" si="9"/>
        <v>218680</v>
      </c>
      <c r="AJ42" s="4" cm="1">
        <f t="array" ref="AJ42">INDEX($B$5:$B$64,MATCH(AI42,$G$5:$G$64,1))+1</f>
        <v>55</v>
      </c>
      <c r="AK42" s="5"/>
      <c r="AL42" s="5">
        <v>38</v>
      </c>
      <c r="AM42" s="14">
        <f t="shared" si="10"/>
        <v>352708</v>
      </c>
      <c r="AN42" s="4" cm="1">
        <f t="array" ref="AN42">INDEX($B$5:$B$64,MATCH(AM42,$G$5:$G$64,1))+1</f>
        <v>59</v>
      </c>
      <c r="AO42" s="14">
        <f t="shared" si="11"/>
        <v>9432</v>
      </c>
    </row>
    <row r="43" ht="16.5" customHeight="1" spans="1:41">
      <c r="A43" s="4"/>
      <c r="B43" s="4">
        <v>39</v>
      </c>
      <c r="C43" s="4">
        <v>300</v>
      </c>
      <c r="D43" s="4">
        <f t="shared" si="1"/>
        <v>4525</v>
      </c>
      <c r="E43" s="4">
        <v>20</v>
      </c>
      <c r="F43" s="4">
        <f>SUM($D$5:D43)</f>
        <v>59745</v>
      </c>
      <c r="G43" s="4">
        <f>F43-SUM($E$5:E43)*$D$3</f>
        <v>57020</v>
      </c>
      <c r="H43" s="4"/>
      <c r="I43" s="4"/>
      <c r="J43" s="9">
        <v>39</v>
      </c>
      <c r="K43" s="10">
        <v>1752</v>
      </c>
      <c r="L43" s="10">
        <v>60</v>
      </c>
      <c r="M43" s="11">
        <f t="shared" si="7"/>
        <v>2052</v>
      </c>
      <c r="N43" s="11">
        <f>SUM($M$5:M43)</f>
        <v>63732</v>
      </c>
      <c r="O43" s="10">
        <v>2760</v>
      </c>
      <c r="P43" s="10">
        <v>74.4</v>
      </c>
      <c r="Q43" s="11">
        <f t="shared" si="8"/>
        <v>3132</v>
      </c>
      <c r="R43" s="11">
        <f>SUM($Q$5:Q43)</f>
        <v>94440</v>
      </c>
      <c r="T43" s="9">
        <v>39</v>
      </c>
      <c r="U43" s="5">
        <v>0</v>
      </c>
      <c r="V43" s="5">
        <f>SUM($U$5:U43)</f>
        <v>14800</v>
      </c>
      <c r="W43" s="5">
        <v>0</v>
      </c>
      <c r="X43" s="5">
        <f>SUM($W$5:W43)</f>
        <v>14800</v>
      </c>
      <c r="Y43" s="5">
        <v>0</v>
      </c>
      <c r="Z43" s="5">
        <f>(SUM($Y$5:Y43))/2</f>
        <v>5400</v>
      </c>
      <c r="AA43" s="5">
        <v>0</v>
      </c>
      <c r="AB43" s="5">
        <f>SUM($AA$5:AA43)</f>
        <v>7200</v>
      </c>
      <c r="AG43" s="4"/>
      <c r="AH43" s="5">
        <v>39</v>
      </c>
      <c r="AI43" s="13">
        <f t="shared" si="9"/>
        <v>224332</v>
      </c>
      <c r="AJ43" s="4" cm="1">
        <f t="array" ref="AJ43">INDEX($B$5:$B$64,MATCH(AI43,$G$5:$G$64,1))+1</f>
        <v>55</v>
      </c>
      <c r="AK43" s="5"/>
      <c r="AL43" s="5">
        <v>39</v>
      </c>
      <c r="AM43" s="14">
        <f t="shared" si="10"/>
        <v>362140</v>
      </c>
      <c r="AN43" s="4" cm="1">
        <f t="array" ref="AN43">INDEX($B$5:$B$64,MATCH(AM43,$G$5:$G$64,1))+1</f>
        <v>59</v>
      </c>
      <c r="AO43" s="14">
        <f t="shared" si="11"/>
        <v>9432</v>
      </c>
    </row>
    <row r="44" ht="16.5" customHeight="1" spans="1:41">
      <c r="A44" s="4"/>
      <c r="B44" s="4">
        <v>40</v>
      </c>
      <c r="C44" s="4">
        <v>300</v>
      </c>
      <c r="D44" s="4">
        <f t="shared" si="1"/>
        <v>4825</v>
      </c>
      <c r="E44" s="4">
        <v>30</v>
      </c>
      <c r="F44" s="4">
        <f>SUM($D$5:D44)</f>
        <v>64570</v>
      </c>
      <c r="G44" s="4">
        <f>F44-SUM($E$5:E44)*$D$3</f>
        <v>61695</v>
      </c>
      <c r="H44" s="4"/>
      <c r="I44" s="4"/>
      <c r="J44" s="9">
        <v>40</v>
      </c>
      <c r="K44" s="10">
        <v>1752</v>
      </c>
      <c r="L44" s="10">
        <v>60</v>
      </c>
      <c r="M44" s="11">
        <f t="shared" si="7"/>
        <v>2052</v>
      </c>
      <c r="N44" s="11">
        <f>SUM($M$5:M44)</f>
        <v>65784</v>
      </c>
      <c r="O44" s="10">
        <v>2760</v>
      </c>
      <c r="P44" s="10">
        <v>74.4</v>
      </c>
      <c r="Q44" s="11">
        <f t="shared" si="8"/>
        <v>3132</v>
      </c>
      <c r="R44" s="11">
        <f>SUM($Q$5:Q44)</f>
        <v>97572</v>
      </c>
      <c r="T44" s="9">
        <v>40</v>
      </c>
      <c r="U44" s="5">
        <v>0</v>
      </c>
      <c r="V44" s="5">
        <f>SUM($U$5:U44)</f>
        <v>14800</v>
      </c>
      <c r="W44" s="5">
        <v>0</v>
      </c>
      <c r="X44" s="5">
        <f>SUM($W$5:W44)</f>
        <v>14800</v>
      </c>
      <c r="Y44" s="5">
        <v>0</v>
      </c>
      <c r="Z44" s="5">
        <f>(SUM($Y$5:Y44))/2</f>
        <v>5400</v>
      </c>
      <c r="AA44" s="5">
        <v>0</v>
      </c>
      <c r="AB44" s="5">
        <f>SUM($AA$5:AA44)</f>
        <v>7200</v>
      </c>
      <c r="AG44" s="4"/>
      <c r="AH44" s="5">
        <v>40</v>
      </c>
      <c r="AI44" s="13">
        <f t="shared" si="9"/>
        <v>229984</v>
      </c>
      <c r="AJ44" s="4" cm="1">
        <f t="array" ref="AJ44">INDEX($B$5:$B$64,MATCH(AI44,$G$5:$G$64,1))+1</f>
        <v>55</v>
      </c>
      <c r="AK44" s="5"/>
      <c r="AL44" s="5">
        <v>40</v>
      </c>
      <c r="AM44" s="14">
        <f t="shared" si="10"/>
        <v>371572</v>
      </c>
      <c r="AN44" s="4" cm="1">
        <f t="array" ref="AN44">INDEX($B$5:$B$64,MATCH(AM44,$G$5:$G$64,1))+1</f>
        <v>59</v>
      </c>
      <c r="AO44" s="14">
        <f t="shared" si="11"/>
        <v>9432</v>
      </c>
    </row>
    <row r="45" ht="16.5" customHeight="1" spans="1:41">
      <c r="A45" s="4"/>
      <c r="B45" s="4">
        <v>41</v>
      </c>
      <c r="C45" s="4">
        <v>2000</v>
      </c>
      <c r="D45" s="4">
        <f t="shared" si="1"/>
        <v>5125</v>
      </c>
      <c r="E45" s="4">
        <v>30</v>
      </c>
      <c r="F45" s="4">
        <f>SUM($D$5:D45)</f>
        <v>69695</v>
      </c>
      <c r="G45" s="4">
        <f>F45-SUM($E$5:E45)*$D$3</f>
        <v>66670</v>
      </c>
      <c r="H45" s="4"/>
      <c r="I45" s="4"/>
      <c r="J45" s="9">
        <v>41</v>
      </c>
      <c r="K45" s="10">
        <v>1752</v>
      </c>
      <c r="L45" s="10">
        <v>60</v>
      </c>
      <c r="M45" s="11">
        <f t="shared" si="7"/>
        <v>2052</v>
      </c>
      <c r="N45" s="11">
        <f>SUM($M$5:M45)</f>
        <v>67836</v>
      </c>
      <c r="O45" s="10">
        <v>2760</v>
      </c>
      <c r="P45" s="10">
        <v>74.4</v>
      </c>
      <c r="Q45" s="11">
        <f t="shared" si="8"/>
        <v>3132</v>
      </c>
      <c r="R45" s="11">
        <f>SUM($Q$5:Q45)</f>
        <v>100704</v>
      </c>
      <c r="T45" s="9">
        <v>41</v>
      </c>
      <c r="U45" s="5">
        <v>0</v>
      </c>
      <c r="V45" s="5">
        <f>SUM($U$5:U45)</f>
        <v>14800</v>
      </c>
      <c r="W45" s="5">
        <v>0</v>
      </c>
      <c r="X45" s="5">
        <f>SUM($W$5:W45)</f>
        <v>14800</v>
      </c>
      <c r="Y45" s="5">
        <v>0</v>
      </c>
      <c r="Z45" s="5">
        <f>(SUM($Y$5:Y45))/2</f>
        <v>5400</v>
      </c>
      <c r="AA45" s="5">
        <v>0</v>
      </c>
      <c r="AB45" s="5">
        <f>SUM($AA$5:AA45)</f>
        <v>7200</v>
      </c>
      <c r="AG45" s="4"/>
      <c r="AH45" s="5">
        <v>41</v>
      </c>
      <c r="AI45" s="13">
        <f t="shared" si="9"/>
        <v>235636</v>
      </c>
      <c r="AJ45" s="4" cm="1">
        <f t="array" ref="AJ45">INDEX($B$5:$B$64,MATCH(AI45,$G$5:$G$64,1))+1</f>
        <v>55</v>
      </c>
      <c r="AK45" s="5"/>
      <c r="AL45" s="5">
        <v>41</v>
      </c>
      <c r="AM45" s="14">
        <f t="shared" si="10"/>
        <v>381004</v>
      </c>
      <c r="AN45" s="4" cm="1">
        <f t="array" ref="AN45">INDEX($B$5:$B$64,MATCH(AM45,$G$5:$G$64,1))+1</f>
        <v>59</v>
      </c>
      <c r="AO45" s="14">
        <f t="shared" si="11"/>
        <v>9432</v>
      </c>
    </row>
    <row r="46" ht="16.5" customHeight="1" spans="1:41">
      <c r="A46" s="4"/>
      <c r="B46" s="4">
        <v>42</v>
      </c>
      <c r="C46" s="4">
        <v>400</v>
      </c>
      <c r="D46" s="4">
        <f t="shared" si="1"/>
        <v>7125</v>
      </c>
      <c r="E46" s="4">
        <v>30</v>
      </c>
      <c r="F46" s="4">
        <f>SUM($D$5:D46)</f>
        <v>76820</v>
      </c>
      <c r="G46" s="4">
        <f>F46-SUM($E$5:E46)*$D$3</f>
        <v>73645</v>
      </c>
      <c r="H46" s="4"/>
      <c r="I46" s="4"/>
      <c r="J46" s="9">
        <v>42</v>
      </c>
      <c r="K46" s="10">
        <v>2112</v>
      </c>
      <c r="L46" s="10">
        <v>64.8</v>
      </c>
      <c r="M46" s="11">
        <f t="shared" si="7"/>
        <v>2436</v>
      </c>
      <c r="N46" s="11">
        <f>SUM($M$5:M46)</f>
        <v>70272</v>
      </c>
      <c r="O46" s="10">
        <v>2760</v>
      </c>
      <c r="P46" s="10">
        <v>74.4</v>
      </c>
      <c r="Q46" s="11">
        <f t="shared" si="8"/>
        <v>3132</v>
      </c>
      <c r="R46" s="11">
        <f>SUM($Q$5:Q46)</f>
        <v>103836</v>
      </c>
      <c r="T46" s="9">
        <v>42</v>
      </c>
      <c r="U46" s="5">
        <v>0</v>
      </c>
      <c r="V46" s="5">
        <f>SUM($U$5:U46)</f>
        <v>14800</v>
      </c>
      <c r="W46" s="5">
        <v>0</v>
      </c>
      <c r="X46" s="5">
        <f>SUM($W$5:W46)</f>
        <v>14800</v>
      </c>
      <c r="Y46" s="5">
        <v>0</v>
      </c>
      <c r="Z46" s="5">
        <f>(SUM($Y$5:Y46))/2</f>
        <v>5400</v>
      </c>
      <c r="AA46" s="5">
        <v>0</v>
      </c>
      <c r="AB46" s="5">
        <f>SUM($AA$5:AA46)</f>
        <v>7200</v>
      </c>
      <c r="AG46" s="4"/>
      <c r="AH46" s="5">
        <v>42</v>
      </c>
      <c r="AI46" s="13">
        <f t="shared" si="9"/>
        <v>241672</v>
      </c>
      <c r="AJ46" s="4" cm="1">
        <f t="array" ref="AJ46">INDEX($B$5:$B$64,MATCH(AI46,$G$5:$G$64,1))+1</f>
        <v>56</v>
      </c>
      <c r="AK46" s="5"/>
      <c r="AL46" s="5">
        <v>42</v>
      </c>
      <c r="AM46" s="14">
        <f t="shared" si="10"/>
        <v>390436</v>
      </c>
      <c r="AN46" s="4" cm="1">
        <f t="array" ref="AN46">INDEX($B$5:$B$64,MATCH(AM46,$G$5:$G$64,1))+1</f>
        <v>60</v>
      </c>
      <c r="AO46" s="14">
        <f t="shared" si="11"/>
        <v>9432</v>
      </c>
    </row>
    <row r="47" ht="16.5" customHeight="1" spans="1:41">
      <c r="A47" s="4"/>
      <c r="B47" s="4">
        <v>43</v>
      </c>
      <c r="C47" s="4">
        <v>450</v>
      </c>
      <c r="D47" s="4">
        <f t="shared" si="1"/>
        <v>7525</v>
      </c>
      <c r="E47" s="4">
        <v>30</v>
      </c>
      <c r="F47" s="4">
        <f>SUM($D$5:D47)</f>
        <v>84345</v>
      </c>
      <c r="G47" s="4">
        <f>F47-SUM($E$5:E47)*$D$3</f>
        <v>81020</v>
      </c>
      <c r="H47" s="4"/>
      <c r="I47" s="4"/>
      <c r="J47" s="9">
        <v>43</v>
      </c>
      <c r="K47" s="10">
        <v>2112</v>
      </c>
      <c r="L47" s="10">
        <v>64.8</v>
      </c>
      <c r="M47" s="11">
        <f t="shared" si="7"/>
        <v>2436</v>
      </c>
      <c r="N47" s="11">
        <f>SUM($M$5:M47)</f>
        <v>72708</v>
      </c>
      <c r="O47" s="10">
        <v>2760</v>
      </c>
      <c r="P47" s="10">
        <v>74.4</v>
      </c>
      <c r="Q47" s="11">
        <f t="shared" si="8"/>
        <v>3132</v>
      </c>
      <c r="R47" s="11">
        <f>SUM($Q$5:Q47)</f>
        <v>106968</v>
      </c>
      <c r="T47" s="9">
        <v>43</v>
      </c>
      <c r="U47" s="5">
        <v>0</v>
      </c>
      <c r="V47" s="5">
        <f>SUM($U$5:U47)</f>
        <v>14800</v>
      </c>
      <c r="W47" s="5">
        <v>0</v>
      </c>
      <c r="X47" s="5">
        <f>SUM($W$5:W47)</f>
        <v>14800</v>
      </c>
      <c r="Y47" s="5">
        <v>600</v>
      </c>
      <c r="Z47" s="5">
        <f>(SUM($Y$5:Y47))/2</f>
        <v>5700</v>
      </c>
      <c r="AA47" s="5">
        <v>600</v>
      </c>
      <c r="AB47" s="5">
        <f>SUM($AA$5:AA47)</f>
        <v>7800</v>
      </c>
      <c r="AG47" s="4"/>
      <c r="AH47" s="5">
        <v>43</v>
      </c>
      <c r="AI47" s="13">
        <f t="shared" si="9"/>
        <v>248008</v>
      </c>
      <c r="AJ47" s="4" cm="1">
        <f t="array" ref="AJ47">INDEX($B$5:$B$64,MATCH(AI47,$G$5:$G$64,1))+1</f>
        <v>56</v>
      </c>
      <c r="AK47" s="5"/>
      <c r="AL47" s="5">
        <v>43</v>
      </c>
      <c r="AM47" s="14">
        <f t="shared" si="10"/>
        <v>400468</v>
      </c>
      <c r="AN47" s="4" cm="1">
        <f t="array" ref="AN47">INDEX($B$5:$B$64,MATCH(AM47,$G$5:$G$64,1))+1</f>
        <v>60</v>
      </c>
      <c r="AO47" s="14">
        <f t="shared" si="11"/>
        <v>10032</v>
      </c>
    </row>
    <row r="48" ht="16.5" customHeight="1" spans="1:41">
      <c r="A48" s="4"/>
      <c r="B48" s="4">
        <v>44</v>
      </c>
      <c r="C48" s="4">
        <v>500</v>
      </c>
      <c r="D48" s="4">
        <f t="shared" si="1"/>
        <v>7975</v>
      </c>
      <c r="E48" s="4">
        <v>30</v>
      </c>
      <c r="F48" s="4">
        <f>SUM($D$5:D48)</f>
        <v>92320</v>
      </c>
      <c r="G48" s="4">
        <f>F48-SUM($E$5:E48)*$D$3</f>
        <v>88845</v>
      </c>
      <c r="H48" s="4"/>
      <c r="I48" s="4"/>
      <c r="J48" s="9">
        <v>44</v>
      </c>
      <c r="K48" s="10">
        <v>2112</v>
      </c>
      <c r="L48" s="10">
        <v>64.8</v>
      </c>
      <c r="M48" s="11">
        <f t="shared" si="7"/>
        <v>2436</v>
      </c>
      <c r="N48" s="11">
        <f>SUM($M$5:M48)</f>
        <v>75144</v>
      </c>
      <c r="O48" s="10">
        <v>2760</v>
      </c>
      <c r="P48" s="10">
        <v>74.4</v>
      </c>
      <c r="Q48" s="11">
        <f t="shared" si="8"/>
        <v>3132</v>
      </c>
      <c r="R48" s="11">
        <f>SUM($Q$5:Q48)</f>
        <v>110100</v>
      </c>
      <c r="T48" s="9">
        <v>44</v>
      </c>
      <c r="U48" s="5">
        <v>0</v>
      </c>
      <c r="V48" s="5">
        <f>SUM($U$5:U48)</f>
        <v>14800</v>
      </c>
      <c r="W48" s="5">
        <v>0</v>
      </c>
      <c r="X48" s="5">
        <f>SUM($W$5:W48)</f>
        <v>14800</v>
      </c>
      <c r="Y48" s="5">
        <v>0</v>
      </c>
      <c r="Z48" s="5">
        <f>(SUM($Y$5:Y48))/2</f>
        <v>5700</v>
      </c>
      <c r="AA48" s="5">
        <v>600</v>
      </c>
      <c r="AB48" s="5">
        <f>SUM($AA$5:AA48)</f>
        <v>8400</v>
      </c>
      <c r="AG48" s="4"/>
      <c r="AH48" s="5">
        <v>44</v>
      </c>
      <c r="AI48" s="13">
        <f t="shared" si="9"/>
        <v>254044</v>
      </c>
      <c r="AJ48" s="4" cm="1">
        <f t="array" ref="AJ48">INDEX($B$5:$B$64,MATCH(AI48,$G$5:$G$64,1))+1</f>
        <v>56</v>
      </c>
      <c r="AK48" s="5"/>
      <c r="AL48" s="5">
        <v>44</v>
      </c>
      <c r="AM48" s="14">
        <f t="shared" si="10"/>
        <v>410500</v>
      </c>
      <c r="AN48" s="4" cm="1">
        <f t="array" ref="AN48">INDEX($B$5:$B$64,MATCH(AM48,$G$5:$G$64,1))+1</f>
        <v>60</v>
      </c>
      <c r="AO48" s="14">
        <f t="shared" si="11"/>
        <v>10032</v>
      </c>
    </row>
    <row r="49" ht="16.5" customHeight="1" spans="1:41">
      <c r="A49" s="4"/>
      <c r="B49" s="4">
        <v>45</v>
      </c>
      <c r="C49" s="4">
        <v>550</v>
      </c>
      <c r="D49" s="4">
        <f t="shared" si="1"/>
        <v>8475</v>
      </c>
      <c r="E49" s="4">
        <v>30</v>
      </c>
      <c r="F49" s="4">
        <f>SUM($D$5:D49)</f>
        <v>100795</v>
      </c>
      <c r="G49" s="4">
        <f>F49-SUM($E$5:E49)*$D$3</f>
        <v>97170</v>
      </c>
      <c r="H49" s="4"/>
      <c r="I49" s="4"/>
      <c r="J49" s="9">
        <v>45</v>
      </c>
      <c r="K49" s="10">
        <v>2112</v>
      </c>
      <c r="L49" s="10">
        <v>64.8</v>
      </c>
      <c r="M49" s="11">
        <f t="shared" si="7"/>
        <v>2436</v>
      </c>
      <c r="N49" s="11">
        <f>SUM($M$5:M49)</f>
        <v>77580</v>
      </c>
      <c r="O49" s="10">
        <v>2760</v>
      </c>
      <c r="P49" s="10">
        <v>74.4</v>
      </c>
      <c r="Q49" s="11">
        <f t="shared" si="8"/>
        <v>3132</v>
      </c>
      <c r="R49" s="11">
        <f>SUM($Q$5:Q49)</f>
        <v>113232</v>
      </c>
      <c r="T49" s="9">
        <v>45</v>
      </c>
      <c r="U49" s="5">
        <v>0</v>
      </c>
      <c r="V49" s="5">
        <f>SUM($U$5:U49)</f>
        <v>14800</v>
      </c>
      <c r="W49" s="5">
        <v>0</v>
      </c>
      <c r="X49" s="5">
        <f>SUM($W$5:W49)</f>
        <v>14800</v>
      </c>
      <c r="Y49" s="5">
        <v>600</v>
      </c>
      <c r="Z49" s="5">
        <f>(SUM($Y$5:Y49))/2</f>
        <v>6000</v>
      </c>
      <c r="AA49" s="5">
        <v>300</v>
      </c>
      <c r="AB49" s="5">
        <f>SUM($AA$5:AA49)</f>
        <v>8700</v>
      </c>
      <c r="AG49" s="4"/>
      <c r="AH49" s="5">
        <v>45</v>
      </c>
      <c r="AI49" s="13">
        <f t="shared" si="9"/>
        <v>260380</v>
      </c>
      <c r="AJ49" s="4" cm="1">
        <f t="array" ref="AJ49">INDEX($B$5:$B$64,MATCH(AI49,$G$5:$G$64,1))+1</f>
        <v>57</v>
      </c>
      <c r="AK49" s="5"/>
      <c r="AL49" s="5">
        <v>45</v>
      </c>
      <c r="AM49" s="14">
        <f t="shared" si="10"/>
        <v>420232</v>
      </c>
      <c r="AN49" s="4" cm="1">
        <f t="array" ref="AN49">INDEX($B$5:$B$64,MATCH(AM49,$G$5:$G$64,1))+1</f>
        <v>60</v>
      </c>
      <c r="AO49" s="14">
        <f t="shared" si="11"/>
        <v>9732</v>
      </c>
    </row>
    <row r="50" ht="16.5" customHeight="1" spans="1:41">
      <c r="A50" s="4"/>
      <c r="B50" s="4">
        <v>46</v>
      </c>
      <c r="C50" s="4">
        <v>600</v>
      </c>
      <c r="D50" s="4">
        <f t="shared" si="1"/>
        <v>9025</v>
      </c>
      <c r="E50" s="4">
        <v>30</v>
      </c>
      <c r="F50" s="4">
        <f>SUM($D$5:D50)</f>
        <v>109820</v>
      </c>
      <c r="G50" s="4">
        <f>F50-SUM($E$5:E50)*$D$3</f>
        <v>106045</v>
      </c>
      <c r="H50" s="5"/>
      <c r="I50" s="5"/>
      <c r="J50" s="9">
        <v>46</v>
      </c>
      <c r="K50" s="10">
        <v>2112</v>
      </c>
      <c r="L50" s="10">
        <v>64.8</v>
      </c>
      <c r="M50" s="11">
        <f t="shared" si="7"/>
        <v>2436</v>
      </c>
      <c r="N50" s="11">
        <f>SUM($M$5:M50)</f>
        <v>80016</v>
      </c>
      <c r="O50" s="10">
        <v>2760</v>
      </c>
      <c r="P50" s="10">
        <v>74.4</v>
      </c>
      <c r="Q50" s="11">
        <f t="shared" si="8"/>
        <v>3132</v>
      </c>
      <c r="R50" s="11">
        <f>SUM($Q$5:Q50)</f>
        <v>116364</v>
      </c>
      <c r="T50" s="9">
        <v>46</v>
      </c>
      <c r="U50" s="5">
        <v>0</v>
      </c>
      <c r="V50" s="5">
        <f>SUM($U$5:U50)</f>
        <v>14800</v>
      </c>
      <c r="W50" s="5">
        <v>0</v>
      </c>
      <c r="X50" s="5">
        <f>SUM($W$5:W50)</f>
        <v>14800</v>
      </c>
      <c r="Y50" s="5">
        <v>600</v>
      </c>
      <c r="Z50" s="5">
        <f>(SUM($Y$5:Y50))/2</f>
        <v>6300</v>
      </c>
      <c r="AA50" s="5">
        <v>300</v>
      </c>
      <c r="AB50" s="5">
        <f>SUM($AA$5:AA50)</f>
        <v>9000</v>
      </c>
      <c r="AG50" s="4"/>
      <c r="AH50" s="5">
        <v>46</v>
      </c>
      <c r="AI50" s="13">
        <f t="shared" si="9"/>
        <v>266716</v>
      </c>
      <c r="AJ50" s="4" cm="1">
        <f t="array" ref="AJ50">INDEX($B$5:$B$64,MATCH(AI50,$G$5:$G$64,1))+1</f>
        <v>57</v>
      </c>
      <c r="AK50" s="5"/>
      <c r="AL50" s="5">
        <v>46</v>
      </c>
      <c r="AM50" s="14">
        <f t="shared" si="10"/>
        <v>429964</v>
      </c>
      <c r="AN50" s="4" cm="1">
        <f t="array" ref="AN50">INDEX($B$5:$B$64,MATCH(AM50,$G$5:$G$64,1))+1</f>
        <v>60</v>
      </c>
      <c r="AO50" s="14">
        <f t="shared" si="11"/>
        <v>9732</v>
      </c>
    </row>
    <row r="51" ht="16.5" customHeight="1" spans="1:41">
      <c r="A51" s="4"/>
      <c r="B51" s="4">
        <v>47</v>
      </c>
      <c r="C51" s="4">
        <v>650</v>
      </c>
      <c r="D51" s="4">
        <f t="shared" si="1"/>
        <v>9625</v>
      </c>
      <c r="E51" s="4">
        <v>30</v>
      </c>
      <c r="F51" s="4">
        <f>SUM($D$5:D51)</f>
        <v>119445</v>
      </c>
      <c r="G51" s="4">
        <f>F51-SUM($E$5:E51)*$D$3</f>
        <v>115520</v>
      </c>
      <c r="H51" s="4"/>
      <c r="I51" s="4"/>
      <c r="J51" s="9">
        <v>47</v>
      </c>
      <c r="K51" s="10">
        <v>2112</v>
      </c>
      <c r="L51" s="10">
        <v>64.8</v>
      </c>
      <c r="M51" s="11">
        <f t="shared" si="7"/>
        <v>2436</v>
      </c>
      <c r="N51" s="11">
        <f>SUM($M$5:M51)</f>
        <v>82452</v>
      </c>
      <c r="O51" s="10">
        <v>2760</v>
      </c>
      <c r="P51" s="10">
        <v>74.4</v>
      </c>
      <c r="Q51" s="11">
        <f t="shared" si="8"/>
        <v>3132</v>
      </c>
      <c r="R51" s="11">
        <f>SUM($Q$5:Q51)</f>
        <v>119496</v>
      </c>
      <c r="T51" s="9">
        <v>47</v>
      </c>
      <c r="U51" s="5">
        <v>0</v>
      </c>
      <c r="V51" s="5">
        <f>SUM($U$5:U51)</f>
        <v>14800</v>
      </c>
      <c r="W51" s="5">
        <v>0</v>
      </c>
      <c r="X51" s="5">
        <f>SUM($W$5:W51)</f>
        <v>14800</v>
      </c>
      <c r="Y51" s="5">
        <v>0</v>
      </c>
      <c r="Z51" s="5">
        <f>(SUM($Y$5:Y51))/2</f>
        <v>6300</v>
      </c>
      <c r="AA51" s="5">
        <v>0</v>
      </c>
      <c r="AB51" s="5">
        <f>SUM($AA$5:AA51)</f>
        <v>9000</v>
      </c>
      <c r="AG51" s="4"/>
      <c r="AH51" s="5">
        <v>47</v>
      </c>
      <c r="AI51" s="13">
        <f t="shared" si="9"/>
        <v>272752</v>
      </c>
      <c r="AJ51" s="4" cm="1">
        <f t="array" ref="AJ51">INDEX($B$5:$B$64,MATCH(AI51,$G$5:$G$64,1))+1</f>
        <v>57</v>
      </c>
      <c r="AK51" s="5"/>
      <c r="AL51" s="5">
        <v>47</v>
      </c>
      <c r="AM51" s="14">
        <f t="shared" si="10"/>
        <v>439396</v>
      </c>
      <c r="AN51" s="4" cm="1">
        <f t="array" ref="AN51">INDEX($B$5:$B$64,MATCH(AM51,$G$5:$G$64,1))+1</f>
        <v>60</v>
      </c>
      <c r="AO51" s="14">
        <f t="shared" si="11"/>
        <v>9432</v>
      </c>
    </row>
    <row r="52" ht="16.5" customHeight="1" spans="1:41">
      <c r="A52" s="4"/>
      <c r="B52" s="4">
        <v>48</v>
      </c>
      <c r="C52" s="4">
        <v>700</v>
      </c>
      <c r="D52" s="4">
        <f t="shared" si="1"/>
        <v>10275</v>
      </c>
      <c r="E52" s="4">
        <v>30</v>
      </c>
      <c r="F52" s="4">
        <f>SUM($D$5:D52)</f>
        <v>129720</v>
      </c>
      <c r="G52" s="4">
        <f>F52-SUM($E$5:E52)*$D$3</f>
        <v>125645</v>
      </c>
      <c r="H52" s="4"/>
      <c r="I52" s="4"/>
      <c r="J52" s="9">
        <v>48</v>
      </c>
      <c r="K52" s="10">
        <v>2112</v>
      </c>
      <c r="L52" s="10">
        <v>64.8</v>
      </c>
      <c r="M52" s="11">
        <f t="shared" si="7"/>
        <v>2436</v>
      </c>
      <c r="N52" s="11">
        <f>SUM($M$5:M52)</f>
        <v>84888</v>
      </c>
      <c r="O52" s="10">
        <v>2760</v>
      </c>
      <c r="P52" s="10">
        <v>74.4</v>
      </c>
      <c r="Q52" s="11">
        <f t="shared" si="8"/>
        <v>3132</v>
      </c>
      <c r="R52" s="11">
        <f>SUM($Q$5:Q52)</f>
        <v>122628</v>
      </c>
      <c r="T52" s="9">
        <v>48</v>
      </c>
      <c r="U52" s="5">
        <v>0</v>
      </c>
      <c r="V52" s="5">
        <f>SUM($U$5:U52)</f>
        <v>14800</v>
      </c>
      <c r="W52" s="5">
        <v>0</v>
      </c>
      <c r="X52" s="5">
        <f>SUM($W$5:W52)</f>
        <v>14800</v>
      </c>
      <c r="Y52" s="5">
        <v>0</v>
      </c>
      <c r="Z52" s="5">
        <f>(SUM($Y$5:Y52))/2</f>
        <v>6300</v>
      </c>
      <c r="AA52" s="5">
        <v>0</v>
      </c>
      <c r="AB52" s="5">
        <f>SUM($AA$5:AA52)</f>
        <v>9000</v>
      </c>
      <c r="AG52" s="4"/>
      <c r="AH52" s="5">
        <v>48</v>
      </c>
      <c r="AI52" s="13">
        <f t="shared" si="9"/>
        <v>278788</v>
      </c>
      <c r="AJ52" s="4" cm="1">
        <f t="array" ref="AJ52">INDEX($B$5:$B$64,MATCH(AI52,$G$5:$G$64,1))+1</f>
        <v>57</v>
      </c>
      <c r="AK52" s="5"/>
      <c r="AL52" s="5">
        <v>48</v>
      </c>
      <c r="AM52" s="14">
        <f t="shared" si="10"/>
        <v>448828</v>
      </c>
      <c r="AN52" s="4" cm="1">
        <f t="array" ref="AN52">INDEX($B$5:$B$64,MATCH(AM52,$G$5:$G$64,1))+1</f>
        <v>60</v>
      </c>
      <c r="AO52" s="14">
        <f t="shared" si="11"/>
        <v>9432</v>
      </c>
    </row>
    <row r="53" ht="16.5" customHeight="1" spans="1:41">
      <c r="A53" s="4"/>
      <c r="B53" s="4">
        <v>49</v>
      </c>
      <c r="C53" s="4">
        <v>750</v>
      </c>
      <c r="D53" s="4">
        <f t="shared" si="1"/>
        <v>10975</v>
      </c>
      <c r="E53" s="4">
        <v>30</v>
      </c>
      <c r="F53" s="4">
        <f>SUM($D$5:D53)</f>
        <v>140695</v>
      </c>
      <c r="G53" s="4">
        <f>F53-SUM($E$5:E53)*$D$3</f>
        <v>136470</v>
      </c>
      <c r="H53" s="4"/>
      <c r="I53" s="4"/>
      <c r="J53" s="9">
        <v>49</v>
      </c>
      <c r="K53" s="10">
        <v>2112</v>
      </c>
      <c r="L53" s="10">
        <v>64.8</v>
      </c>
      <c r="M53" s="11">
        <f t="shared" si="7"/>
        <v>2436</v>
      </c>
      <c r="N53" s="11">
        <f>SUM($M$5:M53)</f>
        <v>87324</v>
      </c>
      <c r="O53" s="10">
        <v>2760</v>
      </c>
      <c r="P53" s="10">
        <v>74.4</v>
      </c>
      <c r="Q53" s="11">
        <f t="shared" si="8"/>
        <v>3132</v>
      </c>
      <c r="R53" s="11">
        <f>SUM($Q$5:Q53)</f>
        <v>125760</v>
      </c>
      <c r="T53" s="9">
        <v>49</v>
      </c>
      <c r="U53" s="5">
        <v>0</v>
      </c>
      <c r="V53" s="5">
        <f>SUM($U$5:U53)</f>
        <v>14800</v>
      </c>
      <c r="W53" s="5">
        <v>0</v>
      </c>
      <c r="X53" s="5">
        <f>SUM($W$5:W53)</f>
        <v>14800</v>
      </c>
      <c r="Y53" s="5">
        <v>600</v>
      </c>
      <c r="Z53" s="5">
        <f>(SUM($Y$5:Y53))/2</f>
        <v>6600</v>
      </c>
      <c r="AA53" s="5">
        <v>0</v>
      </c>
      <c r="AB53" s="5">
        <f>SUM($AA$5:AA53)</f>
        <v>9000</v>
      </c>
      <c r="AG53" s="4"/>
      <c r="AH53" s="5">
        <v>49</v>
      </c>
      <c r="AI53" s="13">
        <f t="shared" si="9"/>
        <v>285124</v>
      </c>
      <c r="AJ53" s="4" cm="1">
        <f t="array" ref="AJ53">INDEX($B$5:$B$64,MATCH(AI53,$G$5:$G$64,1))+1</f>
        <v>57</v>
      </c>
      <c r="AK53" s="5"/>
      <c r="AL53" s="5">
        <v>49</v>
      </c>
      <c r="AM53" s="14">
        <f t="shared" si="10"/>
        <v>458260</v>
      </c>
      <c r="AN53" s="4" cm="1">
        <f t="array" ref="AN53">INDEX($B$5:$B$64,MATCH(AM53,$G$5:$G$64,1))+1</f>
        <v>61</v>
      </c>
      <c r="AO53" s="14">
        <f t="shared" si="11"/>
        <v>9432</v>
      </c>
    </row>
    <row r="54" ht="16.5" customHeight="1" spans="1:41">
      <c r="A54" s="4"/>
      <c r="B54" s="4">
        <v>50</v>
      </c>
      <c r="C54" s="4">
        <v>800</v>
      </c>
      <c r="D54" s="4">
        <f t="shared" si="1"/>
        <v>11725</v>
      </c>
      <c r="E54" s="4">
        <v>40</v>
      </c>
      <c r="F54" s="4">
        <f>SUM($D$5:D54)</f>
        <v>152420</v>
      </c>
      <c r="G54" s="4">
        <f>F54-SUM($E$5:E54)*$D$3</f>
        <v>147995</v>
      </c>
      <c r="H54" s="4"/>
      <c r="I54" s="4"/>
      <c r="J54" s="9">
        <v>50</v>
      </c>
      <c r="K54" s="10">
        <v>2112</v>
      </c>
      <c r="L54" s="10">
        <v>64.8</v>
      </c>
      <c r="M54" s="11">
        <f t="shared" si="7"/>
        <v>2436</v>
      </c>
      <c r="N54" s="11">
        <f>SUM($M$5:M54)</f>
        <v>89760</v>
      </c>
      <c r="O54" s="10">
        <v>2760</v>
      </c>
      <c r="P54" s="10">
        <v>74.4</v>
      </c>
      <c r="Q54" s="11">
        <f t="shared" si="8"/>
        <v>3132</v>
      </c>
      <c r="R54" s="11">
        <f>SUM($Q$5:Q54)</f>
        <v>128892</v>
      </c>
      <c r="T54" s="9">
        <v>50</v>
      </c>
      <c r="U54" s="5">
        <v>0</v>
      </c>
      <c r="V54" s="5">
        <f>SUM($U$5:U54)</f>
        <v>14800</v>
      </c>
      <c r="W54" s="5">
        <v>0</v>
      </c>
      <c r="X54" s="5">
        <f>SUM($W$5:W54)</f>
        <v>14800</v>
      </c>
      <c r="Y54" s="5">
        <v>600</v>
      </c>
      <c r="Z54" s="5">
        <f>(SUM($Y$5:Y54))/2</f>
        <v>6900</v>
      </c>
      <c r="AA54" s="5">
        <v>300</v>
      </c>
      <c r="AB54" s="5">
        <f>SUM($AA$5:AA54)</f>
        <v>9300</v>
      </c>
      <c r="AG54" s="4"/>
      <c r="AH54" s="5">
        <v>50</v>
      </c>
      <c r="AI54" s="13">
        <f t="shared" si="9"/>
        <v>291460</v>
      </c>
      <c r="AJ54" s="4" cm="1">
        <f t="array" ref="AJ54">INDEX($B$5:$B$64,MATCH(AI54,$G$5:$G$64,1))+1</f>
        <v>57</v>
      </c>
      <c r="AK54" s="5"/>
      <c r="AL54" s="5">
        <v>50</v>
      </c>
      <c r="AM54" s="14">
        <f t="shared" si="10"/>
        <v>467992</v>
      </c>
      <c r="AN54" s="4" cm="1">
        <f t="array" ref="AN54">INDEX($B$5:$B$64,MATCH(AM54,$G$5:$G$64,1))+1</f>
        <v>61</v>
      </c>
      <c r="AO54" s="14">
        <f t="shared" si="11"/>
        <v>9732</v>
      </c>
    </row>
    <row r="55" ht="16.5" customHeight="1" spans="1:41">
      <c r="A55" s="4"/>
      <c r="B55" s="4">
        <v>51</v>
      </c>
      <c r="C55" s="4">
        <v>5000</v>
      </c>
      <c r="D55" s="4">
        <f t="shared" si="1"/>
        <v>12525</v>
      </c>
      <c r="E55" s="4">
        <v>40</v>
      </c>
      <c r="F55" s="4">
        <f>SUM($D$5:D55)</f>
        <v>164945</v>
      </c>
      <c r="G55" s="4">
        <f>F55-SUM($E$5:E55)*$D$3</f>
        <v>160320</v>
      </c>
      <c r="H55" s="4"/>
      <c r="I55" s="4"/>
      <c r="J55" s="9">
        <v>51</v>
      </c>
      <c r="K55" s="10">
        <v>2112</v>
      </c>
      <c r="L55" s="10">
        <v>64.8</v>
      </c>
      <c r="M55" s="11">
        <f t="shared" si="7"/>
        <v>2436</v>
      </c>
      <c r="N55" s="11">
        <f>SUM($M$5:M55)</f>
        <v>92196</v>
      </c>
      <c r="O55" s="10">
        <v>2760</v>
      </c>
      <c r="P55" s="10">
        <v>74.4</v>
      </c>
      <c r="Q55" s="11">
        <f t="shared" si="8"/>
        <v>3132</v>
      </c>
      <c r="R55" s="11">
        <f>SUM($Q$5:Q55)</f>
        <v>132024</v>
      </c>
      <c r="T55" s="9">
        <v>51</v>
      </c>
      <c r="U55" s="5">
        <v>0</v>
      </c>
      <c r="V55" s="5">
        <f>SUM($U$5:U55)</f>
        <v>14800</v>
      </c>
      <c r="W55" s="5">
        <v>0</v>
      </c>
      <c r="X55" s="5">
        <f>SUM($W$5:W55)</f>
        <v>14800</v>
      </c>
      <c r="Y55" s="5">
        <v>600</v>
      </c>
      <c r="Z55" s="5">
        <f>(SUM($Y$5:Y55))/2</f>
        <v>7200</v>
      </c>
      <c r="AA55" s="5">
        <v>300</v>
      </c>
      <c r="AB55" s="5">
        <f>SUM($AA$5:AA55)</f>
        <v>9600</v>
      </c>
      <c r="AG55" s="4"/>
      <c r="AH55" s="5">
        <v>51</v>
      </c>
      <c r="AI55" s="13">
        <f t="shared" si="9"/>
        <v>297796</v>
      </c>
      <c r="AJ55" s="4" cm="1">
        <f t="array" ref="AJ55">INDEX($B$5:$B$64,MATCH(AI55,$G$5:$G$64,1))+1</f>
        <v>57</v>
      </c>
      <c r="AK55" s="5"/>
      <c r="AL55" s="5">
        <v>51</v>
      </c>
      <c r="AM55" s="14">
        <f t="shared" si="10"/>
        <v>477724</v>
      </c>
      <c r="AN55" s="4" cm="1">
        <f t="array" ref="AN55">INDEX($B$5:$B$64,MATCH(AM55,$G$5:$G$64,1))+1</f>
        <v>61</v>
      </c>
      <c r="AO55" s="14">
        <f t="shared" si="11"/>
        <v>9732</v>
      </c>
    </row>
    <row r="56" ht="16.5" customHeight="1" spans="1:41">
      <c r="A56" s="4"/>
      <c r="B56" s="4">
        <v>52</v>
      </c>
      <c r="C56" s="4">
        <v>1000</v>
      </c>
      <c r="D56" s="4">
        <f t="shared" si="1"/>
        <v>17525</v>
      </c>
      <c r="E56" s="4">
        <v>40</v>
      </c>
      <c r="F56" s="4">
        <f>SUM($D$5:D56)</f>
        <v>182470</v>
      </c>
      <c r="G56" s="4">
        <f>F56-SUM($E$5:E56)*$D$3</f>
        <v>177645</v>
      </c>
      <c r="H56" s="4"/>
      <c r="I56" s="4"/>
      <c r="J56" s="9">
        <v>52</v>
      </c>
      <c r="K56" s="10">
        <v>2112</v>
      </c>
      <c r="L56" s="10">
        <v>64.8</v>
      </c>
      <c r="M56" s="11">
        <f t="shared" si="7"/>
        <v>2436</v>
      </c>
      <c r="N56" s="11">
        <f>SUM($M$5:M56)</f>
        <v>94632</v>
      </c>
      <c r="O56" s="10">
        <v>2760</v>
      </c>
      <c r="P56" s="10">
        <v>74.4</v>
      </c>
      <c r="Q56" s="11">
        <f t="shared" si="8"/>
        <v>3132</v>
      </c>
      <c r="R56" s="11">
        <f>SUM($Q$5:Q56)</f>
        <v>135156</v>
      </c>
      <c r="T56" s="9">
        <v>52</v>
      </c>
      <c r="U56" s="5">
        <v>0</v>
      </c>
      <c r="V56" s="5">
        <f>SUM($U$5:U56)</f>
        <v>14800</v>
      </c>
      <c r="W56" s="5">
        <v>0</v>
      </c>
      <c r="X56" s="5">
        <f>SUM($W$5:W56)</f>
        <v>14800</v>
      </c>
      <c r="Y56" s="5">
        <v>0</v>
      </c>
      <c r="Z56" s="5">
        <f>(SUM($Y$5:Y56))/2</f>
        <v>7200</v>
      </c>
      <c r="AA56" s="5">
        <v>0</v>
      </c>
      <c r="AB56" s="5">
        <f>SUM($AA$5:AA56)</f>
        <v>9600</v>
      </c>
      <c r="AG56" s="4"/>
      <c r="AH56" s="5">
        <v>52</v>
      </c>
      <c r="AI56" s="13">
        <f t="shared" si="9"/>
        <v>303832</v>
      </c>
      <c r="AJ56" s="4" cm="1">
        <f t="array" ref="AJ56">INDEX($B$5:$B$64,MATCH(AI56,$G$5:$G$64,1))+1</f>
        <v>58</v>
      </c>
      <c r="AK56" s="5"/>
      <c r="AL56" s="5">
        <v>52</v>
      </c>
      <c r="AM56" s="14">
        <f t="shared" si="10"/>
        <v>487156</v>
      </c>
      <c r="AN56" s="4" cm="1">
        <f t="array" ref="AN56">INDEX($B$5:$B$64,MATCH(AM56,$G$5:$G$64,1))+1</f>
        <v>61</v>
      </c>
      <c r="AO56" s="14">
        <f t="shared" si="11"/>
        <v>9432</v>
      </c>
    </row>
    <row r="57" ht="16.5" customHeight="1" spans="1:41">
      <c r="A57" s="4"/>
      <c r="B57" s="4">
        <v>53</v>
      </c>
      <c r="C57" s="4">
        <v>1100</v>
      </c>
      <c r="D57" s="4">
        <f t="shared" si="1"/>
        <v>18525</v>
      </c>
      <c r="E57" s="4">
        <v>40</v>
      </c>
      <c r="F57" s="4">
        <f>SUM($D$5:D57)</f>
        <v>200995</v>
      </c>
      <c r="G57" s="4">
        <f>F57-SUM($E$5:E57)*$D$3</f>
        <v>195970</v>
      </c>
      <c r="H57" s="4"/>
      <c r="I57" s="4"/>
      <c r="J57" s="9">
        <v>53</v>
      </c>
      <c r="K57" s="10">
        <v>2112</v>
      </c>
      <c r="L57" s="10">
        <v>64.8</v>
      </c>
      <c r="M57" s="11">
        <f t="shared" si="7"/>
        <v>2436</v>
      </c>
      <c r="N57" s="11">
        <f>SUM($M$5:M57)</f>
        <v>97068</v>
      </c>
      <c r="O57" s="10">
        <v>2760</v>
      </c>
      <c r="P57" s="10">
        <v>74.4</v>
      </c>
      <c r="Q57" s="11">
        <f t="shared" si="8"/>
        <v>3132</v>
      </c>
      <c r="R57" s="11">
        <f>SUM($Q$5:Q57)</f>
        <v>138288</v>
      </c>
      <c r="T57" s="9">
        <v>53</v>
      </c>
      <c r="U57" s="5">
        <v>0</v>
      </c>
      <c r="V57" s="5">
        <f>SUM($U$5:U57)</f>
        <v>14800</v>
      </c>
      <c r="W57" s="5">
        <v>0</v>
      </c>
      <c r="X57" s="5">
        <f>SUM($W$5:W57)</f>
        <v>14800</v>
      </c>
      <c r="Y57" s="5">
        <v>0</v>
      </c>
      <c r="Z57" s="5">
        <f>(SUM($Y$5:Y57))/2</f>
        <v>7200</v>
      </c>
      <c r="AA57" s="5">
        <v>0</v>
      </c>
      <c r="AB57" s="5">
        <f>SUM($AA$5:AA57)</f>
        <v>9600</v>
      </c>
      <c r="AG57" s="4"/>
      <c r="AH57" s="5">
        <v>53</v>
      </c>
      <c r="AI57" s="13">
        <f t="shared" si="9"/>
        <v>309868</v>
      </c>
      <c r="AJ57" s="4" cm="1">
        <f t="array" ref="AJ57">INDEX($B$5:$B$64,MATCH(AI57,$G$5:$G$64,1))+1</f>
        <v>58</v>
      </c>
      <c r="AK57" s="5"/>
      <c r="AL57" s="5">
        <v>53</v>
      </c>
      <c r="AM57" s="14">
        <f t="shared" si="10"/>
        <v>496588</v>
      </c>
      <c r="AN57" s="4" cm="1">
        <f t="array" ref="AN57">INDEX($B$5:$B$64,MATCH(AM57,$G$5:$G$64,1))+1</f>
        <v>61</v>
      </c>
      <c r="AO57" s="14">
        <f t="shared" si="11"/>
        <v>9432</v>
      </c>
    </row>
    <row r="58" ht="16.5" customHeight="1" spans="1:41">
      <c r="A58" s="4"/>
      <c r="B58" s="4">
        <v>54</v>
      </c>
      <c r="C58" s="4">
        <v>1200</v>
      </c>
      <c r="D58" s="4">
        <f t="shared" si="1"/>
        <v>19625</v>
      </c>
      <c r="E58" s="4">
        <v>40</v>
      </c>
      <c r="F58" s="4">
        <f>SUM($D$5:D58)</f>
        <v>220620</v>
      </c>
      <c r="G58" s="4">
        <f>F58-SUM($E$5:E58)*$D$3</f>
        <v>215395</v>
      </c>
      <c r="H58" s="4"/>
      <c r="I58" s="4"/>
      <c r="J58" s="9">
        <v>54</v>
      </c>
      <c r="K58" s="10">
        <v>2112</v>
      </c>
      <c r="L58" s="10">
        <v>64.8</v>
      </c>
      <c r="M58" s="11">
        <f t="shared" si="7"/>
        <v>2436</v>
      </c>
      <c r="N58" s="11">
        <f>SUM($M$5:M58)</f>
        <v>99504</v>
      </c>
      <c r="O58" s="10">
        <v>2760</v>
      </c>
      <c r="P58" s="10">
        <v>74.4</v>
      </c>
      <c r="Q58" s="11">
        <f t="shared" si="8"/>
        <v>3132</v>
      </c>
      <c r="R58" s="11">
        <f>SUM($Q$5:Q58)</f>
        <v>141420</v>
      </c>
      <c r="T58" s="9">
        <v>54</v>
      </c>
      <c r="U58" s="5">
        <v>0</v>
      </c>
      <c r="V58" s="5">
        <f>SUM($U$5:U58)</f>
        <v>14800</v>
      </c>
      <c r="W58" s="5">
        <v>0</v>
      </c>
      <c r="X58" s="5">
        <f>SUM($W$5:W58)</f>
        <v>14800</v>
      </c>
      <c r="Y58" s="5">
        <v>0</v>
      </c>
      <c r="Z58" s="5">
        <f>(SUM($Y$5:Y58))/2</f>
        <v>7200</v>
      </c>
      <c r="AA58" s="5">
        <v>0</v>
      </c>
      <c r="AB58" s="5">
        <f>SUM($AA$5:AA58)</f>
        <v>9600</v>
      </c>
      <c r="AG58" s="4"/>
      <c r="AH58" s="5">
        <v>54</v>
      </c>
      <c r="AI58" s="13">
        <f t="shared" si="9"/>
        <v>315904</v>
      </c>
      <c r="AJ58" s="4" cm="1">
        <f t="array" ref="AJ58">INDEX($B$5:$B$64,MATCH(AI58,$G$5:$G$64,1))+1</f>
        <v>58</v>
      </c>
      <c r="AK58" s="5"/>
      <c r="AL58" s="5">
        <v>54</v>
      </c>
      <c r="AM58" s="14">
        <f t="shared" si="10"/>
        <v>506020</v>
      </c>
      <c r="AN58" s="4" cm="1">
        <f t="array" ref="AN58">INDEX($B$5:$B$64,MATCH(AM58,$G$5:$G$64,1))+1</f>
        <v>61</v>
      </c>
      <c r="AO58" s="14">
        <f t="shared" si="11"/>
        <v>9432</v>
      </c>
    </row>
    <row r="59" ht="16.5" customHeight="1" spans="1:41">
      <c r="A59" s="4"/>
      <c r="B59" s="4">
        <v>55</v>
      </c>
      <c r="C59" s="4">
        <v>1300</v>
      </c>
      <c r="D59" s="4">
        <f t="shared" si="1"/>
        <v>20825</v>
      </c>
      <c r="E59" s="4">
        <v>40</v>
      </c>
      <c r="F59" s="4">
        <f>SUM($D$5:D59)</f>
        <v>241445</v>
      </c>
      <c r="G59" s="4">
        <f>F59-SUM($E$5:E59)*$D$3</f>
        <v>236020</v>
      </c>
      <c r="H59" s="4"/>
      <c r="I59" s="4"/>
      <c r="J59" s="9">
        <v>55</v>
      </c>
      <c r="K59" s="10">
        <v>2112</v>
      </c>
      <c r="L59" s="10">
        <v>64.8</v>
      </c>
      <c r="M59" s="11">
        <f t="shared" si="7"/>
        <v>2436</v>
      </c>
      <c r="N59" s="11">
        <f>SUM($M$5:M59)</f>
        <v>101940</v>
      </c>
      <c r="O59" s="10">
        <v>2760</v>
      </c>
      <c r="P59" s="10">
        <v>74.4</v>
      </c>
      <c r="Q59" s="11">
        <f t="shared" si="8"/>
        <v>3132</v>
      </c>
      <c r="R59" s="11">
        <f>SUM($Q$5:Q59)</f>
        <v>144552</v>
      </c>
      <c r="T59" s="9">
        <v>55</v>
      </c>
      <c r="U59" s="5">
        <v>0</v>
      </c>
      <c r="V59" s="5">
        <f>SUM($U$5:U59)</f>
        <v>14800</v>
      </c>
      <c r="W59" s="5">
        <v>0</v>
      </c>
      <c r="X59" s="5">
        <f>SUM($W$5:W59)</f>
        <v>14800</v>
      </c>
      <c r="Y59" s="5">
        <v>0</v>
      </c>
      <c r="Z59" s="5">
        <f>(SUM($Y$5:Y59))/2</f>
        <v>7200</v>
      </c>
      <c r="AA59" s="5">
        <v>0</v>
      </c>
      <c r="AB59" s="5">
        <f>SUM($AA$5:AA59)</f>
        <v>9600</v>
      </c>
      <c r="AG59" s="4"/>
      <c r="AH59" s="5">
        <v>55</v>
      </c>
      <c r="AI59" s="13">
        <f t="shared" si="9"/>
        <v>321940</v>
      </c>
      <c r="AJ59" s="4" cm="1">
        <f t="array" ref="AJ59">INDEX($B$5:$B$64,MATCH(AI59,$G$5:$G$64,1))+1</f>
        <v>58</v>
      </c>
      <c r="AK59" s="5"/>
      <c r="AL59" s="5">
        <v>55</v>
      </c>
      <c r="AM59" s="14">
        <f t="shared" si="10"/>
        <v>515452</v>
      </c>
      <c r="AN59" s="4" cm="1">
        <f t="array" ref="AN59">INDEX($B$5:$B$64,MATCH(AM59,$G$5:$G$64,1))+1</f>
        <v>61</v>
      </c>
      <c r="AO59" s="14">
        <f t="shared" si="11"/>
        <v>9432</v>
      </c>
    </row>
    <row r="60" ht="16.5" customHeight="1" spans="1:41">
      <c r="A60" s="4"/>
      <c r="B60" s="4">
        <v>56</v>
      </c>
      <c r="C60" s="4">
        <v>20000</v>
      </c>
      <c r="D60" s="4">
        <f t="shared" si="1"/>
        <v>22125</v>
      </c>
      <c r="E60" s="4">
        <v>40</v>
      </c>
      <c r="F60" s="4">
        <f>SUM($D$5:D60)</f>
        <v>263570</v>
      </c>
      <c r="G60" s="4">
        <f>F60-SUM($E$5:E60)*$D$3</f>
        <v>257945</v>
      </c>
      <c r="H60" s="4"/>
      <c r="I60" s="4"/>
      <c r="J60" s="9">
        <v>56</v>
      </c>
      <c r="K60" s="10">
        <v>2112</v>
      </c>
      <c r="L60" s="10">
        <v>64.8</v>
      </c>
      <c r="M60" s="11">
        <f t="shared" si="7"/>
        <v>2436</v>
      </c>
      <c r="N60" s="11">
        <f>SUM($M$5:M60)</f>
        <v>104376</v>
      </c>
      <c r="O60" s="10">
        <v>2760</v>
      </c>
      <c r="P60" s="10">
        <v>74.4</v>
      </c>
      <c r="Q60" s="11">
        <f t="shared" si="8"/>
        <v>3132</v>
      </c>
      <c r="R60" s="11">
        <f>SUM($Q$5:Q60)</f>
        <v>147684</v>
      </c>
      <c r="T60" s="9">
        <v>56</v>
      </c>
      <c r="U60" s="5">
        <v>0</v>
      </c>
      <c r="V60" s="5">
        <f>SUM($U$5:U60)</f>
        <v>14800</v>
      </c>
      <c r="W60" s="5">
        <v>0</v>
      </c>
      <c r="X60" s="5">
        <f>SUM($W$5:W60)</f>
        <v>14800</v>
      </c>
      <c r="Y60" s="5">
        <v>0</v>
      </c>
      <c r="Z60" s="5">
        <f>(SUM($Y$5:Y60))/2</f>
        <v>7200</v>
      </c>
      <c r="AA60" s="5">
        <v>0</v>
      </c>
      <c r="AB60" s="5">
        <f>SUM($AA$5:AA60)</f>
        <v>9600</v>
      </c>
      <c r="AG60" s="4"/>
      <c r="AH60" s="5">
        <v>56</v>
      </c>
      <c r="AI60" s="13">
        <f t="shared" si="9"/>
        <v>327976</v>
      </c>
      <c r="AJ60" s="4" cm="1">
        <f t="array" ref="AJ60">INDEX($B$5:$B$64,MATCH(AI60,$G$5:$G$64,1))+1</f>
        <v>58</v>
      </c>
      <c r="AK60" s="5"/>
      <c r="AL60" s="5">
        <v>56</v>
      </c>
      <c r="AM60" s="14">
        <f t="shared" si="10"/>
        <v>524884</v>
      </c>
      <c r="AN60" s="4" cm="1">
        <f t="array" ref="AN60">INDEX($B$5:$B$64,MATCH(AM60,$G$5:$G$64,1))+1</f>
        <v>61</v>
      </c>
      <c r="AO60" s="14">
        <f t="shared" si="11"/>
        <v>9432</v>
      </c>
    </row>
    <row r="61" ht="16.5" customHeight="1" spans="1:41">
      <c r="A61" s="4"/>
      <c r="B61" s="4">
        <v>57</v>
      </c>
      <c r="C61" s="4">
        <v>1500</v>
      </c>
      <c r="D61" s="4">
        <f t="shared" si="1"/>
        <v>42125</v>
      </c>
      <c r="E61" s="4">
        <v>40</v>
      </c>
      <c r="F61" s="4">
        <f>SUM($D$5:D61)</f>
        <v>305695</v>
      </c>
      <c r="G61" s="4">
        <f>F61-SUM($E$5:E61)*$D$3</f>
        <v>299870</v>
      </c>
      <c r="H61" s="4"/>
      <c r="I61" s="4"/>
      <c r="J61" s="9">
        <v>57</v>
      </c>
      <c r="K61" s="10">
        <v>2112</v>
      </c>
      <c r="L61" s="10">
        <v>64.8</v>
      </c>
      <c r="M61" s="11">
        <f t="shared" si="7"/>
        <v>2436</v>
      </c>
      <c r="N61" s="11">
        <f>SUM($M$5:M61)</f>
        <v>106812</v>
      </c>
      <c r="O61" s="10">
        <v>2760</v>
      </c>
      <c r="P61" s="10">
        <v>74.4</v>
      </c>
      <c r="Q61" s="11">
        <f t="shared" si="8"/>
        <v>3132</v>
      </c>
      <c r="R61" s="11">
        <f>SUM($Q$5:Q61)</f>
        <v>150816</v>
      </c>
      <c r="T61" s="9">
        <v>57</v>
      </c>
      <c r="U61" s="5">
        <v>0</v>
      </c>
      <c r="V61" s="5">
        <f>SUM($U$5:U61)</f>
        <v>14800</v>
      </c>
      <c r="W61" s="5">
        <v>0</v>
      </c>
      <c r="X61" s="5">
        <f>SUM($W$5:W61)</f>
        <v>14800</v>
      </c>
      <c r="Y61" s="5">
        <v>600</v>
      </c>
      <c r="Z61" s="5">
        <f>(SUM($Y$5:Y61))/2</f>
        <v>7500</v>
      </c>
      <c r="AA61" s="5">
        <v>600</v>
      </c>
      <c r="AB61" s="5">
        <f>SUM($AA$5:AA61)</f>
        <v>10200</v>
      </c>
      <c r="AG61" s="4"/>
      <c r="AH61" s="5">
        <v>57</v>
      </c>
      <c r="AI61" s="13">
        <f t="shared" si="9"/>
        <v>334312</v>
      </c>
      <c r="AJ61" s="4" cm="1">
        <f t="array" ref="AJ61">INDEX($B$5:$B$64,MATCH(AI61,$G$5:$G$64,1))+1</f>
        <v>58</v>
      </c>
      <c r="AK61" s="5"/>
      <c r="AL61" s="5">
        <v>57</v>
      </c>
      <c r="AM61" s="14">
        <f t="shared" si="10"/>
        <v>534916</v>
      </c>
      <c r="AN61" s="4" cm="1">
        <f t="array" ref="AN61">INDEX($B$5:$B$64,MATCH(AM61,$G$5:$G$64,1))+1</f>
        <v>61</v>
      </c>
      <c r="AO61" s="14">
        <f t="shared" si="11"/>
        <v>10032</v>
      </c>
    </row>
    <row r="62" ht="16.5" customHeight="1" spans="1:41">
      <c r="A62" s="4"/>
      <c r="B62" s="4">
        <v>58</v>
      </c>
      <c r="C62" s="4">
        <v>2000</v>
      </c>
      <c r="D62" s="4">
        <f t="shared" si="1"/>
        <v>43625</v>
      </c>
      <c r="E62" s="4">
        <v>40</v>
      </c>
      <c r="F62" s="4">
        <f>SUM($D$5:D62)</f>
        <v>349320</v>
      </c>
      <c r="G62" s="4">
        <f>F62-SUM($E$5:E62)*$D$3</f>
        <v>343295</v>
      </c>
      <c r="H62" s="4"/>
      <c r="I62" s="4"/>
      <c r="J62" s="9">
        <v>58</v>
      </c>
      <c r="K62" s="10">
        <v>2112</v>
      </c>
      <c r="L62" s="10">
        <v>64.8</v>
      </c>
      <c r="M62" s="11">
        <f t="shared" si="7"/>
        <v>2436</v>
      </c>
      <c r="N62" s="11">
        <f>SUM($M$5:M62)</f>
        <v>109248</v>
      </c>
      <c r="O62" s="10">
        <v>2760</v>
      </c>
      <c r="P62" s="10">
        <v>74.4</v>
      </c>
      <c r="Q62" s="11">
        <f t="shared" si="8"/>
        <v>3132</v>
      </c>
      <c r="R62" s="11">
        <f>SUM($Q$5:Q62)</f>
        <v>153948</v>
      </c>
      <c r="T62" s="9">
        <v>58</v>
      </c>
      <c r="U62" s="5">
        <v>0</v>
      </c>
      <c r="V62" s="5">
        <f>SUM($U$5:U62)</f>
        <v>14800</v>
      </c>
      <c r="W62" s="5">
        <v>0</v>
      </c>
      <c r="X62" s="5">
        <f>SUM($W$5:W62)</f>
        <v>14800</v>
      </c>
      <c r="Y62" s="5">
        <v>0</v>
      </c>
      <c r="Z62" s="5">
        <f>(SUM($Y$5:Y62))/2</f>
        <v>7500</v>
      </c>
      <c r="AA62" s="5">
        <v>600</v>
      </c>
      <c r="AB62" s="5">
        <f>SUM($AA$5:AA62)</f>
        <v>10800</v>
      </c>
      <c r="AG62" s="4"/>
      <c r="AH62" s="5">
        <v>58</v>
      </c>
      <c r="AI62" s="13">
        <f t="shared" si="9"/>
        <v>340348</v>
      </c>
      <c r="AJ62" s="4" cm="1">
        <f t="array" ref="AJ62">INDEX($B$5:$B$64,MATCH(AI62,$G$5:$G$64,1))+1</f>
        <v>58</v>
      </c>
      <c r="AK62" s="5"/>
      <c r="AL62" s="5">
        <v>58</v>
      </c>
      <c r="AM62" s="14">
        <f t="shared" si="10"/>
        <v>544948</v>
      </c>
      <c r="AN62" s="4" cm="1">
        <f t="array" ref="AN62">INDEX($B$5:$B$64,MATCH(AM62,$G$5:$G$64,1))+1</f>
        <v>61</v>
      </c>
      <c r="AO62" s="14">
        <f t="shared" si="11"/>
        <v>10032</v>
      </c>
    </row>
    <row r="63" ht="16.5" customHeight="1" spans="1:41">
      <c r="A63" s="4"/>
      <c r="B63" s="4">
        <v>59</v>
      </c>
      <c r="C63" s="4">
        <v>20000</v>
      </c>
      <c r="D63" s="4">
        <f t="shared" si="1"/>
        <v>45625</v>
      </c>
      <c r="E63" s="4">
        <v>40</v>
      </c>
      <c r="F63" s="4">
        <f>SUM($D$5:D63)</f>
        <v>394945</v>
      </c>
      <c r="G63" s="4">
        <f>F63-SUM($E$5:E63)*$D$3</f>
        <v>388720</v>
      </c>
      <c r="H63" s="4"/>
      <c r="I63" s="4"/>
      <c r="J63" s="9">
        <v>59</v>
      </c>
      <c r="K63" s="10">
        <v>2112</v>
      </c>
      <c r="L63" s="10">
        <v>64.8</v>
      </c>
      <c r="M63" s="11">
        <f t="shared" si="7"/>
        <v>2436</v>
      </c>
      <c r="N63" s="11">
        <f>SUM($M$5:M63)</f>
        <v>111684</v>
      </c>
      <c r="O63" s="10">
        <v>2760</v>
      </c>
      <c r="P63" s="10">
        <v>74.4</v>
      </c>
      <c r="Q63" s="11">
        <f t="shared" si="8"/>
        <v>3132</v>
      </c>
      <c r="R63" s="11">
        <f>SUM($Q$5:Q63)</f>
        <v>157080</v>
      </c>
      <c r="T63" s="9">
        <v>59</v>
      </c>
      <c r="U63" s="5">
        <v>0</v>
      </c>
      <c r="V63" s="5">
        <f>SUM($U$5:U63)</f>
        <v>14800</v>
      </c>
      <c r="W63" s="5">
        <v>0</v>
      </c>
      <c r="X63" s="5">
        <f>SUM($W$5:W63)</f>
        <v>14800</v>
      </c>
      <c r="Y63" s="5">
        <v>600</v>
      </c>
      <c r="Z63" s="5">
        <f>(SUM($Y$5:Y63))/2</f>
        <v>7800</v>
      </c>
      <c r="AA63" s="5">
        <v>300</v>
      </c>
      <c r="AB63" s="5">
        <f>SUM($AA$5:AA63)</f>
        <v>11100</v>
      </c>
      <c r="AG63" s="4"/>
      <c r="AH63" s="5">
        <v>59</v>
      </c>
      <c r="AI63" s="13">
        <f t="shared" si="9"/>
        <v>346684</v>
      </c>
      <c r="AJ63" s="4" cm="1">
        <f t="array" ref="AJ63">INDEX($B$5:$B$64,MATCH(AI63,$G$5:$G$64,1))+1</f>
        <v>59</v>
      </c>
      <c r="AK63" s="5"/>
      <c r="AL63" s="5">
        <v>59</v>
      </c>
      <c r="AM63" s="14">
        <f t="shared" si="10"/>
        <v>554680</v>
      </c>
      <c r="AN63" s="4" cm="1">
        <f t="array" ref="AN63">INDEX($B$5:$B$64,MATCH(AM63,$G$5:$G$64,1))+1</f>
        <v>61</v>
      </c>
      <c r="AO63" s="14">
        <f t="shared" si="11"/>
        <v>9732</v>
      </c>
    </row>
    <row r="64" ht="16.5" customHeight="1" spans="1:41">
      <c r="A64" s="4"/>
      <c r="B64" s="4">
        <v>60</v>
      </c>
      <c r="C64" s="4">
        <v>4000</v>
      </c>
      <c r="D64" s="4">
        <f t="shared" si="1"/>
        <v>65625</v>
      </c>
      <c r="E64" s="4">
        <v>40</v>
      </c>
      <c r="F64" s="4">
        <f>SUM($D$5:D64)</f>
        <v>460570</v>
      </c>
      <c r="G64" s="4">
        <f>F64-SUM($E$5:E64)*$D$3</f>
        <v>454145</v>
      </c>
      <c r="H64" s="4"/>
      <c r="I64" s="4"/>
      <c r="J64" s="9">
        <v>60</v>
      </c>
      <c r="K64" s="10">
        <v>2112</v>
      </c>
      <c r="L64" s="10">
        <v>64.8</v>
      </c>
      <c r="M64" s="11">
        <f t="shared" si="7"/>
        <v>2436</v>
      </c>
      <c r="N64" s="11">
        <f>SUM($M$5:M64)</f>
        <v>114120</v>
      </c>
      <c r="O64" s="10">
        <v>2760</v>
      </c>
      <c r="P64" s="10">
        <v>74.4</v>
      </c>
      <c r="Q64" s="11">
        <f t="shared" si="8"/>
        <v>3132</v>
      </c>
      <c r="R64" s="11">
        <f>SUM($Q$5:Q64)</f>
        <v>160212</v>
      </c>
      <c r="T64" s="9">
        <v>60</v>
      </c>
      <c r="U64" s="5">
        <v>0</v>
      </c>
      <c r="V64" s="5">
        <f>SUM($U$5:U64)</f>
        <v>14800</v>
      </c>
      <c r="W64" s="5">
        <v>0</v>
      </c>
      <c r="X64" s="5">
        <f>SUM($W$5:W64)</f>
        <v>14800</v>
      </c>
      <c r="Y64" s="5">
        <v>600</v>
      </c>
      <c r="Z64" s="5">
        <f>(SUM($Y$5:Y64))/2</f>
        <v>8100</v>
      </c>
      <c r="AA64" s="5">
        <v>300</v>
      </c>
      <c r="AB64" s="5">
        <f>SUM($AA$5:AA64)</f>
        <v>11400</v>
      </c>
      <c r="AG64" s="4"/>
      <c r="AH64" s="5">
        <v>60</v>
      </c>
      <c r="AI64" s="13">
        <f t="shared" si="9"/>
        <v>353020</v>
      </c>
      <c r="AJ64" s="4" cm="1">
        <f t="array" ref="AJ64">INDEX($B$5:$B$64,MATCH(AI64,$G$5:$G$64,1))+1</f>
        <v>59</v>
      </c>
      <c r="AK64" s="5"/>
      <c r="AL64" s="5">
        <v>60</v>
      </c>
      <c r="AM64" s="14">
        <f t="shared" si="10"/>
        <v>564412</v>
      </c>
      <c r="AN64" s="4" cm="1">
        <f t="array" ref="AN64">INDEX($B$5:$B$64,MATCH(AM64,$G$5:$G$64,1))+1</f>
        <v>61</v>
      </c>
      <c r="AO64" s="14">
        <f t="shared" si="11"/>
        <v>9732</v>
      </c>
    </row>
    <row r="65" ht="16.5" customHeight="1" spans="1:38">
      <c r="A65" s="4"/>
      <c r="B65" s="4"/>
      <c r="C65" s="5"/>
      <c r="D65" s="5"/>
      <c r="E65" s="5"/>
      <c r="F65" s="5"/>
      <c r="G65" s="5"/>
      <c r="H65" s="4"/>
      <c r="I65" s="4"/>
      <c r="J65" s="9">
        <v>61</v>
      </c>
      <c r="K65" s="10">
        <v>2112</v>
      </c>
      <c r="L65" s="10">
        <v>64.8</v>
      </c>
      <c r="M65" s="11">
        <f t="shared" si="7"/>
        <v>2436</v>
      </c>
      <c r="N65" s="11">
        <f>SUM($M$5:M65)</f>
        <v>116556</v>
      </c>
      <c r="O65" s="10">
        <v>2760</v>
      </c>
      <c r="P65" s="10">
        <v>74.4</v>
      </c>
      <c r="Q65" s="11">
        <f t="shared" si="8"/>
        <v>3132</v>
      </c>
      <c r="R65" s="11">
        <f>SUM($Q$5:Q65)</f>
        <v>163344</v>
      </c>
      <c r="T65" s="9">
        <v>61</v>
      </c>
      <c r="U65" s="5">
        <v>0</v>
      </c>
      <c r="V65" s="5">
        <f>SUM($U$5:U65)</f>
        <v>14800</v>
      </c>
      <c r="W65" s="5">
        <v>0</v>
      </c>
      <c r="X65" s="5">
        <f>SUM($W$5:W65)</f>
        <v>14800</v>
      </c>
      <c r="Y65" s="5">
        <v>0</v>
      </c>
      <c r="Z65" s="5">
        <f>(SUM($Y$5:Y65))/2</f>
        <v>8100</v>
      </c>
      <c r="AA65" s="5">
        <v>0</v>
      </c>
      <c r="AB65" s="5">
        <f>SUM($AA$5:AA65)</f>
        <v>11400</v>
      </c>
      <c r="AG65" s="4"/>
      <c r="AH65" s="5">
        <v>61</v>
      </c>
      <c r="AI65" s="13">
        <f t="shared" ref="AI65:AI71" si="12">$AF$21*AH65+N65+V65+Z65</f>
        <v>359056</v>
      </c>
      <c r="AJ65" s="4" cm="1">
        <f t="array" ref="AJ65">INDEX($B$5:$B$64,MATCH(AI65,$G$5:$G$64,1))+1</f>
        <v>59</v>
      </c>
      <c r="AK65" s="5"/>
      <c r="AL65" s="4"/>
    </row>
    <row r="66" ht="16.5" customHeight="1" spans="1:38">
      <c r="A66" s="4"/>
      <c r="B66" s="4"/>
      <c r="C66" s="5"/>
      <c r="D66" s="5"/>
      <c r="E66" s="5"/>
      <c r="F66" s="5"/>
      <c r="G66" s="5"/>
      <c r="H66" s="4"/>
      <c r="I66" s="4"/>
      <c r="J66" s="9">
        <v>62</v>
      </c>
      <c r="K66" s="10">
        <v>2112</v>
      </c>
      <c r="L66" s="10">
        <v>64.8</v>
      </c>
      <c r="M66" s="11">
        <f t="shared" si="7"/>
        <v>2436</v>
      </c>
      <c r="N66" s="11">
        <f>SUM($M$5:M66)</f>
        <v>118992</v>
      </c>
      <c r="O66" s="10">
        <v>2760</v>
      </c>
      <c r="P66" s="10">
        <v>74.4</v>
      </c>
      <c r="Q66" s="11">
        <f t="shared" si="8"/>
        <v>3132</v>
      </c>
      <c r="R66" s="11">
        <f>SUM($Q$5:Q66)</f>
        <v>166476</v>
      </c>
      <c r="T66" s="9">
        <v>62</v>
      </c>
      <c r="U66" s="5">
        <v>0</v>
      </c>
      <c r="V66" s="5">
        <f>SUM($U$5:U66)</f>
        <v>14800</v>
      </c>
      <c r="W66" s="5">
        <v>0</v>
      </c>
      <c r="X66" s="5">
        <f>SUM($W$5:W66)</f>
        <v>14800</v>
      </c>
      <c r="Y66" s="5">
        <v>0</v>
      </c>
      <c r="Z66" s="5">
        <f>(SUM($Y$5:Y66))/2</f>
        <v>8100</v>
      </c>
      <c r="AA66" s="5">
        <v>0</v>
      </c>
      <c r="AB66" s="5">
        <f>SUM($AA$5:AA66)</f>
        <v>11400</v>
      </c>
      <c r="AG66" s="4"/>
      <c r="AH66" s="5">
        <v>62</v>
      </c>
      <c r="AI66" s="13">
        <f t="shared" si="12"/>
        <v>365092</v>
      </c>
      <c r="AJ66" s="4" cm="1">
        <f t="array" ref="AJ66">INDEX($B$5:$B$64,MATCH(AI66,$G$5:$G$64,1))+1</f>
        <v>59</v>
      </c>
      <c r="AK66" s="5"/>
      <c r="AL66" s="4"/>
    </row>
    <row r="67" ht="16.5" customHeight="1" spans="1:38">
      <c r="A67" s="4"/>
      <c r="B67" s="4"/>
      <c r="C67" s="5"/>
      <c r="D67" s="5"/>
      <c r="E67" s="5"/>
      <c r="F67" s="5"/>
      <c r="G67" s="5"/>
      <c r="H67" s="4"/>
      <c r="I67" s="4"/>
      <c r="J67" s="9">
        <v>63</v>
      </c>
      <c r="K67" s="10">
        <v>2112</v>
      </c>
      <c r="L67" s="10">
        <v>64.8</v>
      </c>
      <c r="M67" s="11">
        <f t="shared" si="7"/>
        <v>2436</v>
      </c>
      <c r="N67" s="11">
        <f>SUM($M$5:M67)</f>
        <v>121428</v>
      </c>
      <c r="O67" s="10">
        <v>2760</v>
      </c>
      <c r="P67" s="10">
        <v>74.4</v>
      </c>
      <c r="Q67" s="11">
        <f t="shared" si="8"/>
        <v>3132</v>
      </c>
      <c r="R67" s="11">
        <f>SUM($Q$5:Q67)</f>
        <v>169608</v>
      </c>
      <c r="T67" s="9">
        <v>63</v>
      </c>
      <c r="U67" s="5">
        <v>0</v>
      </c>
      <c r="V67" s="5">
        <f>SUM($U$5:U67)</f>
        <v>14800</v>
      </c>
      <c r="W67" s="5">
        <v>0</v>
      </c>
      <c r="X67" s="5">
        <f>SUM($W$5:W67)</f>
        <v>14800</v>
      </c>
      <c r="Y67" s="5">
        <v>600</v>
      </c>
      <c r="Z67" s="5">
        <f>(SUM($Y$5:Y67))/2</f>
        <v>8400</v>
      </c>
      <c r="AA67" s="5">
        <v>0</v>
      </c>
      <c r="AB67" s="5">
        <f>SUM($AA$5:AA67)</f>
        <v>11400</v>
      </c>
      <c r="AG67" s="4"/>
      <c r="AH67" s="5">
        <v>63</v>
      </c>
      <c r="AI67" s="13">
        <f t="shared" si="12"/>
        <v>371428</v>
      </c>
      <c r="AJ67" s="4" cm="1">
        <f t="array" ref="AJ67">INDEX($B$5:$B$64,MATCH(AI67,$G$5:$G$64,1))+1</f>
        <v>59</v>
      </c>
      <c r="AK67" s="5"/>
      <c r="AL67" s="4"/>
    </row>
    <row r="68" ht="16.5" customHeight="1" spans="1:38">
      <c r="A68" s="4"/>
      <c r="B68" s="4"/>
      <c r="C68" s="5"/>
      <c r="D68" s="5"/>
      <c r="E68" s="5"/>
      <c r="F68" s="5"/>
      <c r="G68" s="5"/>
      <c r="H68" s="4"/>
      <c r="I68" s="4"/>
      <c r="J68" s="9">
        <v>64</v>
      </c>
      <c r="K68" s="10">
        <v>2112</v>
      </c>
      <c r="L68" s="10">
        <v>64.8</v>
      </c>
      <c r="M68" s="11">
        <f t="shared" si="7"/>
        <v>2436</v>
      </c>
      <c r="N68" s="11">
        <f>SUM($M$5:M68)</f>
        <v>123864</v>
      </c>
      <c r="O68" s="10">
        <v>2760</v>
      </c>
      <c r="P68" s="10">
        <v>74.4</v>
      </c>
      <c r="Q68" s="11">
        <f t="shared" si="8"/>
        <v>3132</v>
      </c>
      <c r="R68" s="11">
        <f>SUM($Q$5:Q68)</f>
        <v>172740</v>
      </c>
      <c r="T68" s="9">
        <v>64</v>
      </c>
      <c r="U68" s="5">
        <v>0</v>
      </c>
      <c r="V68" s="5">
        <f>SUM($U$5:U68)</f>
        <v>14800</v>
      </c>
      <c r="W68" s="5">
        <v>0</v>
      </c>
      <c r="X68" s="5">
        <f>SUM($W$5:W68)</f>
        <v>14800</v>
      </c>
      <c r="Y68" s="5">
        <v>600</v>
      </c>
      <c r="Z68" s="5">
        <f>(SUM($Y$5:Y68))/2</f>
        <v>8700</v>
      </c>
      <c r="AA68" s="5">
        <v>300</v>
      </c>
      <c r="AB68" s="5">
        <f>SUM($AA$5:AA68)</f>
        <v>11700</v>
      </c>
      <c r="AG68" s="4"/>
      <c r="AH68" s="5">
        <v>64</v>
      </c>
      <c r="AI68" s="13">
        <f t="shared" si="12"/>
        <v>377764</v>
      </c>
      <c r="AJ68" s="4" cm="1">
        <f t="array" ref="AJ68">INDEX($B$5:$B$64,MATCH(AI68,$G$5:$G$64,1))+1</f>
        <v>59</v>
      </c>
      <c r="AK68" s="5"/>
      <c r="AL68" s="4"/>
    </row>
    <row r="69" ht="16.5" customHeight="1" spans="1:38">
      <c r="A69" s="4"/>
      <c r="B69" s="4"/>
      <c r="C69" s="5"/>
      <c r="D69" s="5"/>
      <c r="E69" s="5"/>
      <c r="F69" s="5"/>
      <c r="G69" s="5"/>
      <c r="H69" s="4"/>
      <c r="I69" s="4"/>
      <c r="J69" s="9">
        <v>65</v>
      </c>
      <c r="K69" s="10">
        <v>2112</v>
      </c>
      <c r="L69" s="10">
        <v>64.8</v>
      </c>
      <c r="M69" s="11">
        <f t="shared" si="7"/>
        <v>2436</v>
      </c>
      <c r="N69" s="11">
        <f>SUM($M$5:M69)</f>
        <v>126300</v>
      </c>
      <c r="O69" s="10">
        <v>2760</v>
      </c>
      <c r="P69" s="10">
        <v>74.4</v>
      </c>
      <c r="Q69" s="11">
        <f t="shared" si="8"/>
        <v>3132</v>
      </c>
      <c r="R69" s="11">
        <f>SUM($Q$5:Q69)</f>
        <v>175872</v>
      </c>
      <c r="T69" s="9">
        <v>65</v>
      </c>
      <c r="U69" s="5">
        <v>0</v>
      </c>
      <c r="V69" s="5">
        <f>SUM($U$5:U69)</f>
        <v>14800</v>
      </c>
      <c r="W69" s="5">
        <v>0</v>
      </c>
      <c r="X69" s="5">
        <f>SUM($W$5:W69)</f>
        <v>14800</v>
      </c>
      <c r="Y69" s="5">
        <v>600</v>
      </c>
      <c r="Z69" s="5">
        <f>(SUM($Y$5:Y69))/2</f>
        <v>9000</v>
      </c>
      <c r="AA69" s="5">
        <v>300</v>
      </c>
      <c r="AB69" s="5">
        <f>SUM($AA$5:AA69)</f>
        <v>12000</v>
      </c>
      <c r="AG69" s="4"/>
      <c r="AH69" s="5">
        <v>65</v>
      </c>
      <c r="AI69" s="13">
        <f t="shared" si="12"/>
        <v>384100</v>
      </c>
      <c r="AJ69" s="4" cm="1">
        <f t="array" ref="AJ69">INDEX($B$5:$B$64,MATCH(AI69,$G$5:$G$64,1))+1</f>
        <v>59</v>
      </c>
      <c r="AK69" s="5"/>
      <c r="AL69" s="4"/>
    </row>
    <row r="70" ht="16.5" customHeight="1" spans="1:38">
      <c r="A70" s="4"/>
      <c r="B70" s="4"/>
      <c r="C70" s="5"/>
      <c r="D70" s="5"/>
      <c r="E70" s="5"/>
      <c r="F70" s="5"/>
      <c r="G70" s="5"/>
      <c r="H70" s="4"/>
      <c r="I70" s="4"/>
      <c r="J70" s="9">
        <v>66</v>
      </c>
      <c r="K70" s="10">
        <v>2112</v>
      </c>
      <c r="L70" s="10">
        <v>64.8</v>
      </c>
      <c r="M70" s="11">
        <f t="shared" ref="M70:M94" si="13">L70*$D$3+K70</f>
        <v>2436</v>
      </c>
      <c r="N70" s="11">
        <f>SUM($M$5:M70)</f>
        <v>128736</v>
      </c>
      <c r="O70" s="10">
        <v>2760</v>
      </c>
      <c r="P70" s="10">
        <v>74.4</v>
      </c>
      <c r="Q70" s="11">
        <f t="shared" ref="Q70:Q94" si="14">P70*$D$3+O70</f>
        <v>3132</v>
      </c>
      <c r="R70" s="11">
        <f>SUM($Q$5:Q70)</f>
        <v>179004</v>
      </c>
      <c r="T70" s="9">
        <v>66</v>
      </c>
      <c r="U70" s="5">
        <v>0</v>
      </c>
      <c r="V70" s="5">
        <f>SUM($U$5:U70)</f>
        <v>14800</v>
      </c>
      <c r="W70" s="5">
        <v>0</v>
      </c>
      <c r="X70" s="5">
        <f>SUM($W$5:W70)</f>
        <v>14800</v>
      </c>
      <c r="Y70" s="5">
        <v>0</v>
      </c>
      <c r="Z70" s="5">
        <f>(SUM($Y$5:Y70))/2</f>
        <v>9000</v>
      </c>
      <c r="AA70" s="5">
        <v>0</v>
      </c>
      <c r="AB70" s="5">
        <f>SUM($AA$5:AA70)</f>
        <v>12000</v>
      </c>
      <c r="AG70" s="4"/>
      <c r="AH70" s="5">
        <v>66</v>
      </c>
      <c r="AI70" s="13">
        <f t="shared" si="12"/>
        <v>390136</v>
      </c>
      <c r="AJ70" s="4" cm="1">
        <f t="array" ref="AJ70">INDEX($B$5:$B$64,MATCH(AI70,$G$5:$G$64,1))+1</f>
        <v>60</v>
      </c>
      <c r="AK70" s="5"/>
      <c r="AL70" s="4"/>
    </row>
    <row r="71" ht="16.5" customHeight="1" spans="1:38">
      <c r="A71" s="4"/>
      <c r="B71" s="4"/>
      <c r="C71" s="5"/>
      <c r="D71" s="5"/>
      <c r="E71" s="5"/>
      <c r="F71" s="5"/>
      <c r="G71" s="5"/>
      <c r="H71" s="4"/>
      <c r="I71" s="4"/>
      <c r="J71" s="9">
        <v>67</v>
      </c>
      <c r="K71" s="10">
        <v>2112</v>
      </c>
      <c r="L71" s="10">
        <v>64.8</v>
      </c>
      <c r="M71" s="11">
        <f t="shared" si="13"/>
        <v>2436</v>
      </c>
      <c r="N71" s="11">
        <f>SUM($M$5:M71)</f>
        <v>131172</v>
      </c>
      <c r="O71" s="10">
        <v>2760</v>
      </c>
      <c r="P71" s="10">
        <v>74.4</v>
      </c>
      <c r="Q71" s="11">
        <f t="shared" si="14"/>
        <v>3132</v>
      </c>
      <c r="R71" s="11">
        <f>SUM($Q$5:Q71)</f>
        <v>182136</v>
      </c>
      <c r="T71" s="9">
        <v>67</v>
      </c>
      <c r="U71" s="5">
        <v>0</v>
      </c>
      <c r="V71" s="5">
        <f>SUM($U$5:U71)</f>
        <v>14800</v>
      </c>
      <c r="W71" s="5">
        <v>0</v>
      </c>
      <c r="X71" s="5">
        <f>SUM($W$5:W71)</f>
        <v>14800</v>
      </c>
      <c r="Y71" s="5">
        <v>0</v>
      </c>
      <c r="Z71" s="5">
        <f>(SUM($Y$5:Y71))/2</f>
        <v>9000</v>
      </c>
      <c r="AA71" s="5">
        <v>0</v>
      </c>
      <c r="AB71" s="5">
        <f>SUM($AA$5:AA71)</f>
        <v>12000</v>
      </c>
      <c r="AG71" s="4"/>
      <c r="AH71" s="5">
        <v>67</v>
      </c>
      <c r="AI71" s="13">
        <f t="shared" si="12"/>
        <v>396172</v>
      </c>
      <c r="AJ71" s="4" cm="1">
        <f t="array" ref="AJ71">INDEX($B$5:$B$64,MATCH(AI71,$G$5:$G$64,1))+1</f>
        <v>60</v>
      </c>
      <c r="AK71" s="5"/>
      <c r="AL71" s="4"/>
    </row>
    <row r="72" ht="16.5" customHeight="1" spans="1:38">
      <c r="A72" s="4"/>
      <c r="B72" s="4"/>
      <c r="C72" s="5"/>
      <c r="D72" s="5"/>
      <c r="E72" s="5"/>
      <c r="F72" s="5"/>
      <c r="G72" s="5"/>
      <c r="H72" s="4"/>
      <c r="I72" s="4"/>
      <c r="J72" s="9">
        <v>68</v>
      </c>
      <c r="K72" s="10">
        <v>2112</v>
      </c>
      <c r="L72" s="10">
        <v>64.8</v>
      </c>
      <c r="M72" s="11">
        <f t="shared" si="13"/>
        <v>2436</v>
      </c>
      <c r="N72" s="11">
        <f>SUM($M$5:M72)</f>
        <v>133608</v>
      </c>
      <c r="O72" s="10">
        <v>2760</v>
      </c>
      <c r="P72" s="10">
        <v>74.4</v>
      </c>
      <c r="Q72" s="11">
        <f t="shared" si="14"/>
        <v>3132</v>
      </c>
      <c r="R72" s="11">
        <f>SUM($Q$5:Q72)</f>
        <v>185268</v>
      </c>
      <c r="T72" s="9">
        <v>68</v>
      </c>
      <c r="U72" s="5">
        <v>0</v>
      </c>
      <c r="V72" s="5">
        <f>SUM($U$5:U72)</f>
        <v>14800</v>
      </c>
      <c r="W72" s="5">
        <v>0</v>
      </c>
      <c r="X72" s="5">
        <f>SUM($W$5:W72)</f>
        <v>14800</v>
      </c>
      <c r="Y72" s="5">
        <v>0</v>
      </c>
      <c r="Z72" s="5">
        <f>(SUM($Y$5:Y72))/2</f>
        <v>9000</v>
      </c>
      <c r="AA72" s="5">
        <v>0</v>
      </c>
      <c r="AB72" s="5">
        <f>SUM($AA$5:AA72)</f>
        <v>12000</v>
      </c>
      <c r="AG72" s="4"/>
      <c r="AH72" s="5"/>
      <c r="AI72" s="5"/>
      <c r="AJ72" s="4"/>
      <c r="AK72" s="5"/>
      <c r="AL72" s="4"/>
    </row>
    <row r="73" ht="16.5" customHeight="1" spans="1:38">
      <c r="A73" s="4"/>
      <c r="B73" s="4"/>
      <c r="C73" s="5"/>
      <c r="D73" s="5"/>
      <c r="E73" s="5"/>
      <c r="F73" s="5"/>
      <c r="G73" s="5"/>
      <c r="H73" s="4"/>
      <c r="I73" s="4"/>
      <c r="J73" s="9">
        <v>69</v>
      </c>
      <c r="K73" s="10">
        <v>2112</v>
      </c>
      <c r="L73" s="10">
        <v>64.8</v>
      </c>
      <c r="M73" s="11">
        <f t="shared" si="13"/>
        <v>2436</v>
      </c>
      <c r="N73" s="11">
        <f>SUM($M$5:M73)</f>
        <v>136044</v>
      </c>
      <c r="O73" s="10">
        <v>2760</v>
      </c>
      <c r="P73" s="10">
        <v>74.4</v>
      </c>
      <c r="Q73" s="11">
        <f t="shared" si="14"/>
        <v>3132</v>
      </c>
      <c r="R73" s="11">
        <f>SUM($Q$5:Q73)</f>
        <v>188400</v>
      </c>
      <c r="T73" s="9">
        <v>69</v>
      </c>
      <c r="U73" s="5">
        <v>0</v>
      </c>
      <c r="V73" s="5">
        <f>SUM($U$5:U73)</f>
        <v>14800</v>
      </c>
      <c r="W73" s="5">
        <v>0</v>
      </c>
      <c r="X73" s="5">
        <f>SUM($W$5:W73)</f>
        <v>14800</v>
      </c>
      <c r="Y73" s="5">
        <v>0</v>
      </c>
      <c r="Z73" s="5">
        <f>(SUM($Y$5:Y73))/2</f>
        <v>9000</v>
      </c>
      <c r="AA73" s="5">
        <v>0</v>
      </c>
      <c r="AB73" s="5">
        <f>SUM($AA$5:AA73)</f>
        <v>12000</v>
      </c>
      <c r="AG73" s="4"/>
      <c r="AH73" s="5"/>
      <c r="AI73" s="5"/>
      <c r="AJ73" s="4"/>
      <c r="AK73" s="5"/>
      <c r="AL73" s="4"/>
    </row>
    <row r="74" ht="16.5" customHeight="1" spans="1:38">
      <c r="A74" s="4"/>
      <c r="B74" s="4"/>
      <c r="C74" s="5"/>
      <c r="D74" s="5"/>
      <c r="E74" s="5"/>
      <c r="F74" s="5"/>
      <c r="G74" s="5"/>
      <c r="H74" s="4"/>
      <c r="I74" s="4"/>
      <c r="J74" s="9">
        <v>70</v>
      </c>
      <c r="K74" s="10">
        <v>2112</v>
      </c>
      <c r="L74" s="10">
        <v>64.8</v>
      </c>
      <c r="M74" s="11">
        <f t="shared" si="13"/>
        <v>2436</v>
      </c>
      <c r="N74" s="11">
        <f>SUM($M$5:M74)</f>
        <v>138480</v>
      </c>
      <c r="O74" s="10">
        <v>2760</v>
      </c>
      <c r="P74" s="10">
        <v>74.4</v>
      </c>
      <c r="Q74" s="11">
        <f t="shared" si="14"/>
        <v>3132</v>
      </c>
      <c r="R74" s="11">
        <f>SUM($Q$5:Q74)</f>
        <v>191532</v>
      </c>
      <c r="T74" s="9">
        <v>70</v>
      </c>
      <c r="U74" s="5">
        <v>0</v>
      </c>
      <c r="V74" s="5">
        <f>SUM($U$5:U74)</f>
        <v>14800</v>
      </c>
      <c r="W74" s="5">
        <v>0</v>
      </c>
      <c r="X74" s="5">
        <f>SUM($W$5:W74)</f>
        <v>14800</v>
      </c>
      <c r="Y74" s="5">
        <v>0</v>
      </c>
      <c r="Z74" s="5">
        <f>(SUM($Y$5:Y74))/2</f>
        <v>9000</v>
      </c>
      <c r="AA74" s="5">
        <v>0</v>
      </c>
      <c r="AB74" s="5">
        <f>SUM($AA$5:AA74)</f>
        <v>12000</v>
      </c>
      <c r="AG74" s="4"/>
      <c r="AH74" s="5"/>
      <c r="AI74" s="5"/>
      <c r="AJ74" s="4"/>
      <c r="AK74" s="5"/>
      <c r="AL74" s="4"/>
    </row>
    <row r="75" ht="16.5" customHeight="1" spans="1:38">
      <c r="A75" s="4"/>
      <c r="B75" s="4"/>
      <c r="C75" s="5"/>
      <c r="D75" s="5"/>
      <c r="E75" s="5"/>
      <c r="F75" s="5"/>
      <c r="G75" s="5"/>
      <c r="H75" s="4"/>
      <c r="I75" s="4"/>
      <c r="J75" s="9">
        <v>71</v>
      </c>
      <c r="K75" s="10">
        <v>2112</v>
      </c>
      <c r="L75" s="10">
        <v>64.8</v>
      </c>
      <c r="M75" s="11">
        <f t="shared" si="13"/>
        <v>2436</v>
      </c>
      <c r="N75" s="11">
        <f>SUM($M$5:M75)</f>
        <v>140916</v>
      </c>
      <c r="O75" s="10">
        <v>2760</v>
      </c>
      <c r="P75" s="10">
        <v>74.4</v>
      </c>
      <c r="Q75" s="11">
        <f t="shared" si="14"/>
        <v>3132</v>
      </c>
      <c r="R75" s="11">
        <f>SUM($Q$5:Q75)</f>
        <v>194664</v>
      </c>
      <c r="T75" s="9">
        <v>71</v>
      </c>
      <c r="U75" s="5">
        <v>0</v>
      </c>
      <c r="V75" s="5">
        <f>SUM($U$5:U75)</f>
        <v>14800</v>
      </c>
      <c r="W75" s="5">
        <v>0</v>
      </c>
      <c r="X75" s="5">
        <f>SUM($W$5:W75)</f>
        <v>14800</v>
      </c>
      <c r="Y75" s="5">
        <v>600</v>
      </c>
      <c r="Z75" s="5">
        <f>(SUM($Y$5:Y75))/2</f>
        <v>9300</v>
      </c>
      <c r="AA75" s="5">
        <v>600</v>
      </c>
      <c r="AB75" s="5">
        <f>SUM($AA$5:AA75)</f>
        <v>12600</v>
      </c>
      <c r="AG75" s="4"/>
      <c r="AH75" s="5"/>
      <c r="AI75" s="5"/>
      <c r="AJ75" s="4"/>
      <c r="AK75" s="5"/>
      <c r="AL75" s="4"/>
    </row>
    <row r="76" ht="16.5" customHeight="1" spans="1:38">
      <c r="A76" s="4"/>
      <c r="B76" s="4"/>
      <c r="C76" s="5"/>
      <c r="D76" s="5"/>
      <c r="E76" s="5"/>
      <c r="F76" s="5"/>
      <c r="G76" s="5"/>
      <c r="H76" s="4"/>
      <c r="I76" s="4"/>
      <c r="J76" s="9">
        <v>72</v>
      </c>
      <c r="K76" s="10">
        <v>2112</v>
      </c>
      <c r="L76" s="10">
        <v>64.8</v>
      </c>
      <c r="M76" s="11">
        <f t="shared" si="13"/>
        <v>2436</v>
      </c>
      <c r="N76" s="11">
        <f>SUM($M$5:M76)</f>
        <v>143352</v>
      </c>
      <c r="O76" s="10">
        <v>2760</v>
      </c>
      <c r="P76" s="10">
        <v>74.4</v>
      </c>
      <c r="Q76" s="11">
        <f t="shared" si="14"/>
        <v>3132</v>
      </c>
      <c r="R76" s="11">
        <f>SUM($Q$5:Q76)</f>
        <v>197796</v>
      </c>
      <c r="T76" s="9">
        <v>72</v>
      </c>
      <c r="U76" s="5">
        <v>0</v>
      </c>
      <c r="V76" s="5">
        <f>SUM($U$5:U76)</f>
        <v>14800</v>
      </c>
      <c r="W76" s="5">
        <v>0</v>
      </c>
      <c r="X76" s="5">
        <f>SUM($W$5:W76)</f>
        <v>14800</v>
      </c>
      <c r="Y76" s="5">
        <v>0</v>
      </c>
      <c r="Z76" s="5">
        <f>(SUM($Y$5:Y76))/2</f>
        <v>9300</v>
      </c>
      <c r="AA76" s="5">
        <v>600</v>
      </c>
      <c r="AB76" s="5">
        <f>SUM($AA$5:AA76)</f>
        <v>13200</v>
      </c>
      <c r="AG76" s="4"/>
      <c r="AH76" s="5"/>
      <c r="AI76" s="5"/>
      <c r="AJ76" s="4"/>
      <c r="AK76" s="5"/>
      <c r="AL76" s="4"/>
    </row>
    <row r="77" ht="16.5" customHeight="1" spans="1:38">
      <c r="A77" s="4"/>
      <c r="B77" s="4"/>
      <c r="C77" s="5"/>
      <c r="D77" s="5"/>
      <c r="E77" s="5"/>
      <c r="F77" s="5"/>
      <c r="G77" s="5"/>
      <c r="H77" s="4"/>
      <c r="I77" s="4"/>
      <c r="J77" s="9">
        <v>73</v>
      </c>
      <c r="K77" s="10">
        <v>2112</v>
      </c>
      <c r="L77" s="10">
        <v>64.8</v>
      </c>
      <c r="M77" s="11">
        <f t="shared" si="13"/>
        <v>2436</v>
      </c>
      <c r="N77" s="11">
        <f>SUM($M$5:M77)</f>
        <v>145788</v>
      </c>
      <c r="O77" s="10">
        <v>2760</v>
      </c>
      <c r="P77" s="10">
        <v>74.4</v>
      </c>
      <c r="Q77" s="11">
        <f t="shared" si="14"/>
        <v>3132</v>
      </c>
      <c r="R77" s="11">
        <f>SUM($Q$5:Q77)</f>
        <v>200928</v>
      </c>
      <c r="T77" s="9">
        <v>73</v>
      </c>
      <c r="U77" s="5">
        <v>0</v>
      </c>
      <c r="V77" s="5">
        <f>SUM($U$5:U77)</f>
        <v>14800</v>
      </c>
      <c r="W77" s="5">
        <v>0</v>
      </c>
      <c r="X77" s="5">
        <f>SUM($W$5:W77)</f>
        <v>14800</v>
      </c>
      <c r="Y77" s="5">
        <v>600</v>
      </c>
      <c r="Z77" s="5">
        <f>(SUM($Y$5:Y77))/2</f>
        <v>9600</v>
      </c>
      <c r="AA77" s="5">
        <v>300</v>
      </c>
      <c r="AB77" s="5">
        <f>SUM($AA$5:AA77)</f>
        <v>13500</v>
      </c>
      <c r="AG77" s="4"/>
      <c r="AH77" s="5"/>
      <c r="AI77" s="5"/>
      <c r="AJ77" s="4"/>
      <c r="AK77" s="5"/>
      <c r="AL77" s="4"/>
    </row>
    <row r="78" ht="16.5" customHeight="1" spans="1:38">
      <c r="A78" s="4"/>
      <c r="B78" s="4"/>
      <c r="C78" s="5"/>
      <c r="D78" s="5"/>
      <c r="E78" s="5"/>
      <c r="F78" s="5"/>
      <c r="G78" s="5"/>
      <c r="H78" s="4"/>
      <c r="I78" s="4"/>
      <c r="J78" s="9">
        <v>74</v>
      </c>
      <c r="K78" s="10">
        <v>2112</v>
      </c>
      <c r="L78" s="10">
        <v>64.8</v>
      </c>
      <c r="M78" s="11">
        <f t="shared" si="13"/>
        <v>2436</v>
      </c>
      <c r="N78" s="11">
        <f>SUM($M$5:M78)</f>
        <v>148224</v>
      </c>
      <c r="O78" s="10">
        <v>2760</v>
      </c>
      <c r="P78" s="10">
        <v>74.4</v>
      </c>
      <c r="Q78" s="11">
        <f t="shared" si="14"/>
        <v>3132</v>
      </c>
      <c r="R78" s="11">
        <f>SUM($Q$5:Q78)</f>
        <v>204060</v>
      </c>
      <c r="T78" s="9">
        <v>74</v>
      </c>
      <c r="U78" s="5">
        <v>0</v>
      </c>
      <c r="V78" s="5">
        <f>SUM($U$5:U78)</f>
        <v>14800</v>
      </c>
      <c r="W78" s="5">
        <v>0</v>
      </c>
      <c r="X78" s="5">
        <f>SUM($W$5:W78)</f>
        <v>14800</v>
      </c>
      <c r="Y78" s="5">
        <v>600</v>
      </c>
      <c r="Z78" s="5">
        <f>(SUM($Y$5:Y78))/2</f>
        <v>9900</v>
      </c>
      <c r="AA78" s="5">
        <v>300</v>
      </c>
      <c r="AB78" s="5">
        <f>SUM($AA$5:AA78)</f>
        <v>13800</v>
      </c>
      <c r="AG78" s="4"/>
      <c r="AH78" s="5"/>
      <c r="AI78" s="5"/>
      <c r="AJ78" s="4"/>
      <c r="AK78" s="5"/>
      <c r="AL78" s="4"/>
    </row>
    <row r="79" ht="16.5" customHeight="1" spans="1:38">
      <c r="A79" s="4"/>
      <c r="B79" s="4"/>
      <c r="C79" s="5"/>
      <c r="D79" s="5"/>
      <c r="E79" s="5"/>
      <c r="F79" s="5"/>
      <c r="G79" s="5"/>
      <c r="H79" s="4"/>
      <c r="I79" s="4"/>
      <c r="J79" s="9">
        <v>75</v>
      </c>
      <c r="K79" s="10">
        <v>2112</v>
      </c>
      <c r="L79" s="10">
        <v>64.8</v>
      </c>
      <c r="M79" s="11">
        <f t="shared" si="13"/>
        <v>2436</v>
      </c>
      <c r="N79" s="11">
        <f>SUM($M$5:M79)</f>
        <v>150660</v>
      </c>
      <c r="O79" s="10">
        <v>2760</v>
      </c>
      <c r="P79" s="10">
        <v>74.4</v>
      </c>
      <c r="Q79" s="11">
        <f t="shared" si="14"/>
        <v>3132</v>
      </c>
      <c r="R79" s="11">
        <f>SUM($Q$5:Q79)</f>
        <v>207192</v>
      </c>
      <c r="T79" s="9">
        <v>75</v>
      </c>
      <c r="U79" s="5">
        <v>0</v>
      </c>
      <c r="V79" s="5">
        <f>SUM($U$5:U79)</f>
        <v>14800</v>
      </c>
      <c r="W79" s="5">
        <v>0</v>
      </c>
      <c r="X79" s="5">
        <f>SUM($W$5:W79)</f>
        <v>14800</v>
      </c>
      <c r="Y79" s="5">
        <v>0</v>
      </c>
      <c r="Z79" s="5">
        <f>(SUM($Y$5:Y79))/2</f>
        <v>9900</v>
      </c>
      <c r="AA79" s="5">
        <v>0</v>
      </c>
      <c r="AB79" s="5">
        <f>SUM($AA$5:AA79)</f>
        <v>13800</v>
      </c>
      <c r="AG79" s="4"/>
      <c r="AH79" s="5"/>
      <c r="AI79" s="5"/>
      <c r="AJ79" s="4"/>
      <c r="AK79" s="5"/>
      <c r="AL79" s="4"/>
    </row>
    <row r="80" ht="16.5" customHeight="1" spans="1:38">
      <c r="A80" s="4"/>
      <c r="B80" s="4"/>
      <c r="C80" s="5"/>
      <c r="D80" s="5"/>
      <c r="E80" s="5"/>
      <c r="F80" s="5"/>
      <c r="G80" s="5"/>
      <c r="H80" s="4"/>
      <c r="I80" s="4"/>
      <c r="J80" s="9">
        <v>76</v>
      </c>
      <c r="K80" s="10">
        <v>2112</v>
      </c>
      <c r="L80" s="10">
        <v>64.8</v>
      </c>
      <c r="M80" s="11">
        <f t="shared" si="13"/>
        <v>2436</v>
      </c>
      <c r="N80" s="11">
        <f>SUM($M$5:M80)</f>
        <v>153096</v>
      </c>
      <c r="O80" s="10">
        <v>2760</v>
      </c>
      <c r="P80" s="10">
        <v>74.4</v>
      </c>
      <c r="Q80" s="11">
        <f t="shared" si="14"/>
        <v>3132</v>
      </c>
      <c r="R80" s="11">
        <f>SUM($Q$5:Q80)</f>
        <v>210324</v>
      </c>
      <c r="T80" s="9">
        <v>76</v>
      </c>
      <c r="U80" s="5">
        <v>0</v>
      </c>
      <c r="V80" s="5">
        <f>SUM($U$5:U80)</f>
        <v>14800</v>
      </c>
      <c r="W80" s="5">
        <v>0</v>
      </c>
      <c r="X80" s="5">
        <f>SUM($W$5:W80)</f>
        <v>14800</v>
      </c>
      <c r="Y80" s="5">
        <v>0</v>
      </c>
      <c r="Z80" s="5">
        <f>(SUM($Y$5:Y80))/2</f>
        <v>9900</v>
      </c>
      <c r="AA80" s="5">
        <v>0</v>
      </c>
      <c r="AB80" s="5">
        <f>SUM($AA$5:AA80)</f>
        <v>13800</v>
      </c>
      <c r="AG80" s="4"/>
      <c r="AH80" s="5"/>
      <c r="AI80" s="5"/>
      <c r="AJ80" s="4"/>
      <c r="AK80" s="5"/>
      <c r="AL80" s="4"/>
    </row>
    <row r="81" ht="16.5" customHeight="1" spans="1:38">
      <c r="A81" s="4"/>
      <c r="B81" s="4"/>
      <c r="C81" s="5"/>
      <c r="D81" s="5"/>
      <c r="E81" s="5"/>
      <c r="F81" s="5"/>
      <c r="G81" s="5"/>
      <c r="H81" s="4"/>
      <c r="I81" s="4"/>
      <c r="J81" s="9">
        <v>77</v>
      </c>
      <c r="K81" s="10">
        <v>2112</v>
      </c>
      <c r="L81" s="10">
        <v>64.8</v>
      </c>
      <c r="M81" s="11">
        <f t="shared" si="13"/>
        <v>2436</v>
      </c>
      <c r="N81" s="11">
        <f>SUM($M$5:M81)</f>
        <v>155532</v>
      </c>
      <c r="O81" s="10">
        <v>2760</v>
      </c>
      <c r="P81" s="10">
        <v>74.4</v>
      </c>
      <c r="Q81" s="11">
        <f t="shared" si="14"/>
        <v>3132</v>
      </c>
      <c r="R81" s="11">
        <f>SUM($Q$5:Q81)</f>
        <v>213456</v>
      </c>
      <c r="T81" s="9">
        <v>77</v>
      </c>
      <c r="U81" s="5">
        <v>0</v>
      </c>
      <c r="V81" s="5">
        <f>SUM($U$5:U81)</f>
        <v>14800</v>
      </c>
      <c r="W81" s="5">
        <v>0</v>
      </c>
      <c r="X81" s="5">
        <f>SUM($W$5:W81)</f>
        <v>14800</v>
      </c>
      <c r="Y81" s="5">
        <v>600</v>
      </c>
      <c r="Z81" s="5">
        <f>(SUM($Y$5:Y81))/2</f>
        <v>10200</v>
      </c>
      <c r="AA81" s="5">
        <v>0</v>
      </c>
      <c r="AB81" s="5">
        <f>SUM($AA$5:AA81)</f>
        <v>13800</v>
      </c>
      <c r="AG81" s="4"/>
      <c r="AH81" s="5"/>
      <c r="AI81" s="5"/>
      <c r="AJ81" s="4"/>
      <c r="AK81" s="5"/>
      <c r="AL81" s="4"/>
    </row>
    <row r="82" ht="16.5" customHeight="1" spans="1:38">
      <c r="A82" s="4"/>
      <c r="B82" s="4"/>
      <c r="C82" s="5"/>
      <c r="D82" s="5"/>
      <c r="E82" s="5"/>
      <c r="F82" s="5"/>
      <c r="G82" s="5"/>
      <c r="H82" s="4"/>
      <c r="I82" s="4"/>
      <c r="J82" s="9">
        <v>78</v>
      </c>
      <c r="K82" s="10">
        <v>2112</v>
      </c>
      <c r="L82" s="10">
        <v>64.8</v>
      </c>
      <c r="M82" s="11">
        <f t="shared" si="13"/>
        <v>2436</v>
      </c>
      <c r="N82" s="11">
        <f>SUM($M$5:M82)</f>
        <v>157968</v>
      </c>
      <c r="O82" s="10">
        <v>2760</v>
      </c>
      <c r="P82" s="10">
        <v>74.4</v>
      </c>
      <c r="Q82" s="11">
        <f t="shared" si="14"/>
        <v>3132</v>
      </c>
      <c r="R82" s="11">
        <f>SUM($Q$5:Q82)</f>
        <v>216588</v>
      </c>
      <c r="T82" s="9">
        <v>78</v>
      </c>
      <c r="U82" s="5">
        <v>0</v>
      </c>
      <c r="V82" s="5">
        <f>SUM($U$5:U82)</f>
        <v>14800</v>
      </c>
      <c r="W82" s="5">
        <v>0</v>
      </c>
      <c r="X82" s="5">
        <f>SUM($W$5:W82)</f>
        <v>14800</v>
      </c>
      <c r="Y82" s="5">
        <v>600</v>
      </c>
      <c r="Z82" s="5">
        <f>(SUM($Y$5:Y82))/2</f>
        <v>10500</v>
      </c>
      <c r="AA82" s="5">
        <v>300</v>
      </c>
      <c r="AB82" s="5">
        <f>SUM($AA$5:AA82)</f>
        <v>14100</v>
      </c>
      <c r="AG82" s="4"/>
      <c r="AH82" s="5"/>
      <c r="AI82" s="5"/>
      <c r="AJ82" s="4"/>
      <c r="AK82" s="5"/>
      <c r="AL82" s="4"/>
    </row>
    <row r="83" ht="16.5" customHeight="1" spans="1:38">
      <c r="A83" s="4"/>
      <c r="B83" s="4"/>
      <c r="C83" s="5"/>
      <c r="D83" s="5"/>
      <c r="E83" s="5"/>
      <c r="F83" s="5"/>
      <c r="G83" s="5"/>
      <c r="H83" s="4"/>
      <c r="I83" s="4"/>
      <c r="J83" s="9">
        <v>79</v>
      </c>
      <c r="K83" s="10">
        <v>2112</v>
      </c>
      <c r="L83" s="10">
        <v>64.8</v>
      </c>
      <c r="M83" s="11">
        <f t="shared" si="13"/>
        <v>2436</v>
      </c>
      <c r="N83" s="11">
        <f>SUM($M$5:M83)</f>
        <v>160404</v>
      </c>
      <c r="O83" s="10">
        <v>2760</v>
      </c>
      <c r="P83" s="10">
        <v>74.4</v>
      </c>
      <c r="Q83" s="11">
        <f t="shared" si="14"/>
        <v>3132</v>
      </c>
      <c r="R83" s="11">
        <f>SUM($Q$5:Q83)</f>
        <v>219720</v>
      </c>
      <c r="T83" s="9">
        <v>79</v>
      </c>
      <c r="U83" s="5">
        <v>0</v>
      </c>
      <c r="V83" s="5">
        <f>SUM($U$5:U83)</f>
        <v>14800</v>
      </c>
      <c r="W83" s="5">
        <v>0</v>
      </c>
      <c r="X83" s="5">
        <f>SUM($W$5:W83)</f>
        <v>14800</v>
      </c>
      <c r="Y83" s="5">
        <v>600</v>
      </c>
      <c r="Z83" s="5">
        <f>(SUM($Y$5:Y83))/2</f>
        <v>10800</v>
      </c>
      <c r="AA83" s="5">
        <v>300</v>
      </c>
      <c r="AB83" s="5">
        <f>SUM($AA$5:AA83)</f>
        <v>14400</v>
      </c>
      <c r="AG83" s="4"/>
      <c r="AH83" s="5"/>
      <c r="AI83" s="5"/>
      <c r="AJ83" s="4"/>
      <c r="AK83" s="5"/>
      <c r="AL83" s="4"/>
    </row>
    <row r="84" ht="16.5" customHeight="1" spans="1:38">
      <c r="A84" s="4"/>
      <c r="B84" s="4"/>
      <c r="C84" s="5"/>
      <c r="D84" s="5"/>
      <c r="E84" s="5"/>
      <c r="F84" s="5"/>
      <c r="G84" s="5"/>
      <c r="H84" s="4"/>
      <c r="I84" s="4"/>
      <c r="J84" s="9">
        <v>80</v>
      </c>
      <c r="K84" s="10">
        <v>2112</v>
      </c>
      <c r="L84" s="10">
        <v>64.8</v>
      </c>
      <c r="M84" s="11">
        <f t="shared" si="13"/>
        <v>2436</v>
      </c>
      <c r="N84" s="11">
        <f>SUM($M$5:M84)</f>
        <v>162840</v>
      </c>
      <c r="O84" s="10">
        <v>2760</v>
      </c>
      <c r="P84" s="10">
        <v>74.4</v>
      </c>
      <c r="Q84" s="11">
        <f t="shared" si="14"/>
        <v>3132</v>
      </c>
      <c r="R84" s="11">
        <f>SUM($Q$5:Q84)</f>
        <v>222852</v>
      </c>
      <c r="T84" s="9">
        <v>80</v>
      </c>
      <c r="U84" s="5">
        <v>0</v>
      </c>
      <c r="V84" s="5">
        <f>SUM($U$5:U84)</f>
        <v>14800</v>
      </c>
      <c r="W84" s="5">
        <v>0</v>
      </c>
      <c r="X84" s="5">
        <f>SUM($W$5:W84)</f>
        <v>14800</v>
      </c>
      <c r="Y84" s="5">
        <v>0</v>
      </c>
      <c r="Z84" s="5">
        <f>(SUM($Y$5:Y84))/2</f>
        <v>10800</v>
      </c>
      <c r="AA84" s="5">
        <v>0</v>
      </c>
      <c r="AB84" s="5">
        <f>SUM($AA$5:AA84)</f>
        <v>14400</v>
      </c>
      <c r="AG84" s="4"/>
      <c r="AH84" s="5"/>
      <c r="AI84" s="5"/>
      <c r="AJ84" s="4"/>
      <c r="AK84" s="5"/>
      <c r="AL84" s="4"/>
    </row>
    <row r="85" ht="16.5" customHeight="1" spans="1:38">
      <c r="A85" s="4"/>
      <c r="B85" s="4"/>
      <c r="C85" s="4"/>
      <c r="D85" s="4"/>
      <c r="E85" s="4"/>
      <c r="F85" s="4"/>
      <c r="G85" s="4"/>
      <c r="H85" s="4"/>
      <c r="I85" s="4"/>
      <c r="J85" s="9">
        <v>81</v>
      </c>
      <c r="K85" s="10">
        <v>2112</v>
      </c>
      <c r="L85" s="10">
        <v>64.8</v>
      </c>
      <c r="M85" s="11">
        <f t="shared" si="13"/>
        <v>2436</v>
      </c>
      <c r="N85" s="11">
        <f>SUM($M$5:M85)</f>
        <v>165276</v>
      </c>
      <c r="O85" s="10">
        <v>2760</v>
      </c>
      <c r="P85" s="10">
        <v>74.4</v>
      </c>
      <c r="Q85" s="11">
        <f t="shared" si="14"/>
        <v>3132</v>
      </c>
      <c r="R85" s="11">
        <f>SUM($Q$5:Q85)</f>
        <v>225984</v>
      </c>
      <c r="T85" s="9">
        <v>81</v>
      </c>
      <c r="U85" s="5">
        <v>0</v>
      </c>
      <c r="V85" s="5">
        <f>SUM($U$5:U85)</f>
        <v>14800</v>
      </c>
      <c r="W85" s="5">
        <v>0</v>
      </c>
      <c r="X85" s="5">
        <f>SUM($W$5:W85)</f>
        <v>14800</v>
      </c>
      <c r="Y85" s="5">
        <v>0</v>
      </c>
      <c r="Z85" s="5">
        <f>(SUM($Y$5:Y85))/2</f>
        <v>10800</v>
      </c>
      <c r="AA85" s="5">
        <v>0</v>
      </c>
      <c r="AB85" s="5">
        <f>SUM($AA$5:AA85)</f>
        <v>14400</v>
      </c>
      <c r="AG85" s="4"/>
      <c r="AH85" s="5"/>
      <c r="AI85" s="5"/>
      <c r="AJ85" s="4"/>
      <c r="AK85" s="5"/>
      <c r="AL85" s="4"/>
    </row>
    <row r="86" ht="16.5" customHeight="1" spans="1:38">
      <c r="A86" s="4"/>
      <c r="B86" s="4"/>
      <c r="C86" s="4"/>
      <c r="D86" s="4"/>
      <c r="E86" s="4"/>
      <c r="F86" s="4"/>
      <c r="G86" s="4"/>
      <c r="H86" s="4"/>
      <c r="I86" s="4"/>
      <c r="J86" s="9">
        <v>82</v>
      </c>
      <c r="K86" s="10">
        <v>2112</v>
      </c>
      <c r="L86" s="10">
        <v>64.8</v>
      </c>
      <c r="M86" s="11">
        <f t="shared" si="13"/>
        <v>2436</v>
      </c>
      <c r="N86" s="11">
        <f>SUM($M$5:M86)</f>
        <v>167712</v>
      </c>
      <c r="O86" s="10">
        <v>2760</v>
      </c>
      <c r="P86" s="10">
        <v>74.4</v>
      </c>
      <c r="Q86" s="11">
        <f t="shared" si="14"/>
        <v>3132</v>
      </c>
      <c r="R86" s="11">
        <f>SUM($Q$5:Q86)</f>
        <v>229116</v>
      </c>
      <c r="T86" s="9">
        <v>82</v>
      </c>
      <c r="U86" s="5">
        <v>0</v>
      </c>
      <c r="V86" s="5">
        <f>SUM($U$5:U86)</f>
        <v>14800</v>
      </c>
      <c r="W86" s="5">
        <v>0</v>
      </c>
      <c r="X86" s="5">
        <f>SUM($W$5:W86)</f>
        <v>14800</v>
      </c>
      <c r="Y86" s="5">
        <v>0</v>
      </c>
      <c r="Z86" s="5">
        <f>(SUM($Y$5:Y86))/2</f>
        <v>10800</v>
      </c>
      <c r="AA86" s="5">
        <v>0</v>
      </c>
      <c r="AB86" s="5">
        <f>SUM($AA$5:AA86)</f>
        <v>14400</v>
      </c>
      <c r="AG86" s="4"/>
      <c r="AH86" s="5"/>
      <c r="AI86" s="5"/>
      <c r="AJ86" s="4"/>
      <c r="AK86" s="5"/>
      <c r="AL86" s="4"/>
    </row>
    <row r="87" ht="16.5" customHeight="1" spans="1:38">
      <c r="A87" s="4"/>
      <c r="B87" s="4"/>
      <c r="C87" s="4"/>
      <c r="D87" s="4"/>
      <c r="E87" s="4"/>
      <c r="F87" s="4"/>
      <c r="G87" s="4"/>
      <c r="H87" s="4"/>
      <c r="I87" s="4"/>
      <c r="J87" s="9">
        <v>83</v>
      </c>
      <c r="K87" s="10">
        <v>2112</v>
      </c>
      <c r="L87" s="10">
        <v>64.8</v>
      </c>
      <c r="M87" s="11">
        <f t="shared" si="13"/>
        <v>2436</v>
      </c>
      <c r="N87" s="11">
        <f>SUM($M$5:M87)</f>
        <v>170148</v>
      </c>
      <c r="O87" s="10">
        <v>2760</v>
      </c>
      <c r="P87" s="10">
        <v>74.4</v>
      </c>
      <c r="Q87" s="11">
        <f t="shared" si="14"/>
        <v>3132</v>
      </c>
      <c r="R87" s="11">
        <f>SUM($Q$5:Q87)</f>
        <v>232248</v>
      </c>
      <c r="T87" s="9">
        <v>83</v>
      </c>
      <c r="U87" s="5">
        <v>0</v>
      </c>
      <c r="V87" s="5">
        <f>SUM($U$5:U87)</f>
        <v>14800</v>
      </c>
      <c r="W87" s="5">
        <v>0</v>
      </c>
      <c r="X87" s="5">
        <f>SUM($W$5:W87)</f>
        <v>14800</v>
      </c>
      <c r="Y87" s="5">
        <v>0</v>
      </c>
      <c r="Z87" s="5">
        <f>(SUM($Y$5:Y87))/2</f>
        <v>10800</v>
      </c>
      <c r="AA87" s="5">
        <v>0</v>
      </c>
      <c r="AB87" s="5">
        <f>SUM($AA$5:AA87)</f>
        <v>14400</v>
      </c>
      <c r="AG87" s="4"/>
      <c r="AH87" s="5"/>
      <c r="AI87" s="5"/>
      <c r="AJ87" s="4"/>
      <c r="AK87" s="5"/>
      <c r="AL87" s="4"/>
    </row>
    <row r="88" ht="16.5" customHeight="1" spans="1:38">
      <c r="A88" s="4"/>
      <c r="B88" s="4"/>
      <c r="C88" s="4"/>
      <c r="D88" s="4"/>
      <c r="E88" s="4"/>
      <c r="F88" s="4"/>
      <c r="G88" s="4"/>
      <c r="H88" s="4"/>
      <c r="I88" s="4"/>
      <c r="J88" s="9">
        <v>84</v>
      </c>
      <c r="K88" s="10">
        <v>2112</v>
      </c>
      <c r="L88" s="10">
        <v>64.8</v>
      </c>
      <c r="M88" s="11">
        <f t="shared" si="13"/>
        <v>2436</v>
      </c>
      <c r="N88" s="11">
        <f>SUM($M$5:M88)</f>
        <v>172584</v>
      </c>
      <c r="O88" s="10">
        <v>2760</v>
      </c>
      <c r="P88" s="10">
        <v>74.4</v>
      </c>
      <c r="Q88" s="11">
        <f t="shared" si="14"/>
        <v>3132</v>
      </c>
      <c r="R88" s="11">
        <f>SUM($Q$5:Q88)</f>
        <v>235380</v>
      </c>
      <c r="T88" s="9">
        <v>84</v>
      </c>
      <c r="U88" s="5">
        <v>0</v>
      </c>
      <c r="V88" s="5">
        <f>SUM($U$5:U88)</f>
        <v>14800</v>
      </c>
      <c r="W88" s="5">
        <v>0</v>
      </c>
      <c r="X88" s="5">
        <f>SUM($W$5:W88)</f>
        <v>14800</v>
      </c>
      <c r="Y88" s="5">
        <v>0</v>
      </c>
      <c r="Z88" s="5">
        <f>(SUM($Y$5:Y88))/2</f>
        <v>10800</v>
      </c>
      <c r="AA88" s="5">
        <v>0</v>
      </c>
      <c r="AB88" s="5">
        <f>SUM($AA$5:AA88)</f>
        <v>14400</v>
      </c>
      <c r="AG88" s="4"/>
      <c r="AH88" s="5"/>
      <c r="AI88" s="5"/>
      <c r="AJ88" s="4"/>
      <c r="AK88" s="5"/>
      <c r="AL88" s="4"/>
    </row>
    <row r="89" ht="16.5" customHeight="1" spans="1:38">
      <c r="A89" s="4"/>
      <c r="B89" s="4"/>
      <c r="C89" s="4"/>
      <c r="D89" s="4"/>
      <c r="E89" s="4"/>
      <c r="F89" s="4"/>
      <c r="G89" s="4"/>
      <c r="H89" s="4"/>
      <c r="I89" s="4"/>
      <c r="J89" s="9">
        <v>85</v>
      </c>
      <c r="K89" s="10">
        <v>2112</v>
      </c>
      <c r="L89" s="10">
        <v>64.8</v>
      </c>
      <c r="M89" s="11">
        <f t="shared" si="13"/>
        <v>2436</v>
      </c>
      <c r="N89" s="11">
        <f>SUM($M$5:M89)</f>
        <v>175020</v>
      </c>
      <c r="O89" s="10">
        <v>2760</v>
      </c>
      <c r="P89" s="10">
        <v>74.4</v>
      </c>
      <c r="Q89" s="11">
        <f t="shared" si="14"/>
        <v>3132</v>
      </c>
      <c r="R89" s="11">
        <f>SUM($Q$5:Q89)</f>
        <v>238512</v>
      </c>
      <c r="T89" s="9">
        <v>85</v>
      </c>
      <c r="U89" s="5">
        <v>0</v>
      </c>
      <c r="V89" s="5">
        <f>SUM($U$5:U89)</f>
        <v>14800</v>
      </c>
      <c r="W89" s="5">
        <v>0</v>
      </c>
      <c r="X89" s="5">
        <f>SUM($W$5:W89)</f>
        <v>14800</v>
      </c>
      <c r="Y89" s="5">
        <v>600</v>
      </c>
      <c r="Z89" s="5">
        <f>(SUM($Y$5:Y89))/2</f>
        <v>11100</v>
      </c>
      <c r="AA89" s="5">
        <v>600</v>
      </c>
      <c r="AB89" s="5">
        <f>SUM($AA$5:AA89)</f>
        <v>15000</v>
      </c>
      <c r="AG89" s="4"/>
      <c r="AH89" s="5"/>
      <c r="AI89" s="5"/>
      <c r="AJ89" s="4"/>
      <c r="AK89" s="5"/>
      <c r="AL89" s="4"/>
    </row>
    <row r="90" ht="16.5" customHeight="1" spans="1:38">
      <c r="A90" s="4"/>
      <c r="B90" s="4"/>
      <c r="C90" s="4"/>
      <c r="D90" s="4"/>
      <c r="E90" s="4"/>
      <c r="F90" s="4"/>
      <c r="G90" s="4"/>
      <c r="H90" s="4"/>
      <c r="I90" s="4"/>
      <c r="J90" s="9">
        <v>86</v>
      </c>
      <c r="K90" s="10">
        <v>2112</v>
      </c>
      <c r="L90" s="10">
        <v>64.8</v>
      </c>
      <c r="M90" s="11">
        <f t="shared" si="13"/>
        <v>2436</v>
      </c>
      <c r="N90" s="11">
        <f>SUM($M$5:M90)</f>
        <v>177456</v>
      </c>
      <c r="O90" s="10">
        <v>2760</v>
      </c>
      <c r="P90" s="10">
        <v>74.4</v>
      </c>
      <c r="Q90" s="11">
        <f t="shared" si="14"/>
        <v>3132</v>
      </c>
      <c r="R90" s="11">
        <f>SUM($Q$5:Q90)</f>
        <v>241644</v>
      </c>
      <c r="T90" s="9">
        <v>86</v>
      </c>
      <c r="U90" s="5">
        <v>0</v>
      </c>
      <c r="V90" s="5">
        <f>SUM($U$5:U90)</f>
        <v>14800</v>
      </c>
      <c r="W90" s="5">
        <v>0</v>
      </c>
      <c r="X90" s="5">
        <f>SUM($W$5:W90)</f>
        <v>14800</v>
      </c>
      <c r="Y90" s="5">
        <v>0</v>
      </c>
      <c r="Z90" s="5">
        <f>(SUM($Y$5:Y90))/2</f>
        <v>11100</v>
      </c>
      <c r="AA90" s="5">
        <v>600</v>
      </c>
      <c r="AB90" s="5">
        <f>SUM($AA$5:AA90)</f>
        <v>15600</v>
      </c>
      <c r="AG90" s="4"/>
      <c r="AH90" s="5"/>
      <c r="AI90" s="5"/>
      <c r="AJ90" s="4"/>
      <c r="AK90" s="5"/>
      <c r="AL90" s="4"/>
    </row>
    <row r="91" ht="16.5" customHeight="1" spans="1:38">
      <c r="A91" s="4"/>
      <c r="B91" s="4"/>
      <c r="C91" s="4"/>
      <c r="D91" s="4"/>
      <c r="E91" s="4"/>
      <c r="F91" s="4"/>
      <c r="G91" s="4"/>
      <c r="H91" s="4"/>
      <c r="I91" s="4"/>
      <c r="J91" s="9">
        <v>87</v>
      </c>
      <c r="K91" s="10">
        <v>2112</v>
      </c>
      <c r="L91" s="10">
        <v>64.8</v>
      </c>
      <c r="M91" s="11">
        <f t="shared" si="13"/>
        <v>2436</v>
      </c>
      <c r="N91" s="11">
        <f>SUM($M$5:M91)</f>
        <v>179892</v>
      </c>
      <c r="O91" s="10">
        <v>2760</v>
      </c>
      <c r="P91" s="10">
        <v>74.4</v>
      </c>
      <c r="Q91" s="11">
        <f t="shared" si="14"/>
        <v>3132</v>
      </c>
      <c r="R91" s="11">
        <f>SUM($Q$5:Q91)</f>
        <v>244776</v>
      </c>
      <c r="T91" s="9">
        <v>87</v>
      </c>
      <c r="U91" s="5">
        <v>0</v>
      </c>
      <c r="V91" s="5">
        <f>SUM($U$5:U91)</f>
        <v>14800</v>
      </c>
      <c r="W91" s="5">
        <v>0</v>
      </c>
      <c r="X91" s="5">
        <f>SUM($W$5:W91)</f>
        <v>14800</v>
      </c>
      <c r="Y91" s="5">
        <v>600</v>
      </c>
      <c r="Z91" s="5">
        <f>(SUM($Y$5:Y91))/2</f>
        <v>11400</v>
      </c>
      <c r="AA91" s="5">
        <v>300</v>
      </c>
      <c r="AB91" s="5">
        <f>SUM($AA$5:AA91)</f>
        <v>15900</v>
      </c>
      <c r="AG91" s="4"/>
      <c r="AH91" s="5"/>
      <c r="AI91" s="5"/>
      <c r="AJ91" s="4"/>
      <c r="AK91" s="5"/>
      <c r="AL91" s="4"/>
    </row>
    <row r="92" ht="16.5" customHeight="1" spans="1:38">
      <c r="A92" s="4"/>
      <c r="B92" s="4"/>
      <c r="C92" s="4"/>
      <c r="D92" s="4"/>
      <c r="E92" s="4"/>
      <c r="F92" s="4"/>
      <c r="G92" s="4"/>
      <c r="H92" s="4"/>
      <c r="I92" s="4"/>
      <c r="J92" s="9">
        <v>88</v>
      </c>
      <c r="K92" s="10">
        <v>2112</v>
      </c>
      <c r="L92" s="10">
        <v>64.8</v>
      </c>
      <c r="M92" s="11">
        <f t="shared" si="13"/>
        <v>2436</v>
      </c>
      <c r="N92" s="11">
        <f>SUM($M$5:M92)</f>
        <v>182328</v>
      </c>
      <c r="O92" s="10">
        <v>2760</v>
      </c>
      <c r="P92" s="10">
        <v>74.4</v>
      </c>
      <c r="Q92" s="11">
        <f t="shared" si="14"/>
        <v>3132</v>
      </c>
      <c r="R92" s="11">
        <f>SUM($Q$5:Q92)</f>
        <v>247908</v>
      </c>
      <c r="T92" s="9">
        <v>88</v>
      </c>
      <c r="U92" s="5">
        <v>0</v>
      </c>
      <c r="V92" s="5">
        <f>SUM($U$5:U92)</f>
        <v>14800</v>
      </c>
      <c r="W92" s="5">
        <v>0</v>
      </c>
      <c r="X92" s="5">
        <f>SUM($W$5:W92)</f>
        <v>14800</v>
      </c>
      <c r="Y92" s="5">
        <v>600</v>
      </c>
      <c r="Z92" s="5">
        <f>(SUM($Y$5:Y92))/2</f>
        <v>11700</v>
      </c>
      <c r="AA92" s="5">
        <v>300</v>
      </c>
      <c r="AB92" s="5">
        <f>SUM($AA$5:AA92)</f>
        <v>16200</v>
      </c>
      <c r="AG92" s="4"/>
      <c r="AH92" s="4"/>
      <c r="AI92" s="5"/>
      <c r="AJ92" s="5"/>
      <c r="AK92" s="5"/>
      <c r="AL92" s="4"/>
    </row>
    <row r="93" ht="16.5" customHeight="1" spans="1:38">
      <c r="A93" s="4"/>
      <c r="B93" s="4"/>
      <c r="C93" s="4"/>
      <c r="D93" s="4"/>
      <c r="E93" s="4"/>
      <c r="F93" s="4"/>
      <c r="G93" s="4"/>
      <c r="H93" s="4"/>
      <c r="I93" s="4"/>
      <c r="J93" s="9">
        <v>89</v>
      </c>
      <c r="K93" s="10">
        <v>2112</v>
      </c>
      <c r="L93" s="10">
        <v>64.8</v>
      </c>
      <c r="M93" s="11">
        <f t="shared" si="13"/>
        <v>2436</v>
      </c>
      <c r="N93" s="11">
        <f>SUM($M$5:M93)</f>
        <v>184764</v>
      </c>
      <c r="O93" s="10">
        <v>2760</v>
      </c>
      <c r="P93" s="10">
        <v>74.4</v>
      </c>
      <c r="Q93" s="11">
        <f t="shared" si="14"/>
        <v>3132</v>
      </c>
      <c r="R93" s="11">
        <f>SUM($Q$5:Q93)</f>
        <v>251040</v>
      </c>
      <c r="T93" s="9">
        <v>89</v>
      </c>
      <c r="U93" s="5">
        <v>0</v>
      </c>
      <c r="V93" s="5">
        <f>SUM($U$5:U93)</f>
        <v>14800</v>
      </c>
      <c r="W93" s="5">
        <v>0</v>
      </c>
      <c r="X93" s="5">
        <f>SUM($W$5:W93)</f>
        <v>14800</v>
      </c>
      <c r="Y93" s="5">
        <v>0</v>
      </c>
      <c r="Z93" s="5">
        <f>(SUM($Y$5:Y93))/2</f>
        <v>11700</v>
      </c>
      <c r="AA93" s="5">
        <v>0</v>
      </c>
      <c r="AB93" s="5">
        <f>SUM($AA$5:AA93)</f>
        <v>16200</v>
      </c>
      <c r="AG93" s="4"/>
      <c r="AH93" s="4"/>
      <c r="AI93" s="5"/>
      <c r="AJ93" s="5"/>
      <c r="AK93" s="5"/>
      <c r="AL93" s="4"/>
    </row>
    <row r="94" ht="16.5" customHeight="1" spans="1:38">
      <c r="A94" s="4"/>
      <c r="B94" s="4"/>
      <c r="C94" s="4"/>
      <c r="D94" s="4"/>
      <c r="E94" s="4"/>
      <c r="F94" s="4"/>
      <c r="G94" s="4"/>
      <c r="H94" s="4"/>
      <c r="I94" s="4"/>
      <c r="J94" s="9">
        <v>90</v>
      </c>
      <c r="K94" s="10">
        <v>2112</v>
      </c>
      <c r="L94" s="10">
        <v>64.8</v>
      </c>
      <c r="M94" s="11">
        <f t="shared" si="13"/>
        <v>2436</v>
      </c>
      <c r="N94" s="11">
        <f>SUM($M$5:M94)</f>
        <v>187200</v>
      </c>
      <c r="O94" s="10">
        <v>2760</v>
      </c>
      <c r="P94" s="10">
        <v>74.4</v>
      </c>
      <c r="Q94" s="11">
        <f t="shared" si="14"/>
        <v>3132</v>
      </c>
      <c r="R94" s="11">
        <f>SUM($Q$5:Q94)</f>
        <v>254172</v>
      </c>
      <c r="T94" s="9">
        <v>90</v>
      </c>
      <c r="U94" s="5">
        <v>0</v>
      </c>
      <c r="V94" s="5">
        <f>SUM($U$5:U94)</f>
        <v>14800</v>
      </c>
      <c r="W94" s="5">
        <v>0</v>
      </c>
      <c r="X94" s="5">
        <f>SUM($W$5:W94)</f>
        <v>14800</v>
      </c>
      <c r="Y94" s="5">
        <v>0</v>
      </c>
      <c r="Z94" s="5">
        <f>(SUM($Y$5:Y94))/2</f>
        <v>11700</v>
      </c>
      <c r="AA94" s="5">
        <v>0</v>
      </c>
      <c r="AB94" s="5">
        <f>SUM($AA$5:AA94)</f>
        <v>16200</v>
      </c>
      <c r="AG94" s="4"/>
      <c r="AH94" s="4"/>
      <c r="AI94" s="5"/>
      <c r="AJ94" s="5"/>
      <c r="AK94" s="5"/>
      <c r="AL94" s="4"/>
    </row>
    <row r="95" ht="16.5" customHeight="1" spans="1:38">
      <c r="A95" s="4"/>
      <c r="B95" s="4"/>
      <c r="C95" s="4"/>
      <c r="D95" s="4"/>
      <c r="E95" s="4"/>
      <c r="F95" s="4"/>
      <c r="G95" s="4"/>
      <c r="H95" s="4"/>
      <c r="I95" s="4"/>
      <c r="J95" s="5"/>
      <c r="K95" s="10"/>
      <c r="L95" s="10"/>
      <c r="AG95" s="4"/>
      <c r="AH95" s="4"/>
      <c r="AI95" s="5"/>
      <c r="AJ95" s="5"/>
      <c r="AK95" s="5"/>
      <c r="AL95" s="4"/>
    </row>
    <row r="96" ht="16.5" customHeight="1" spans="1:38">
      <c r="A96" s="4"/>
      <c r="B96" s="4"/>
      <c r="C96" s="4"/>
      <c r="D96" s="4"/>
      <c r="E96" s="4"/>
      <c r="F96" s="4"/>
      <c r="G96" s="4"/>
      <c r="H96" s="4"/>
      <c r="I96" s="4"/>
      <c r="J96" s="5"/>
      <c r="K96" s="10"/>
      <c r="L96" s="10"/>
      <c r="AG96" s="4"/>
      <c r="AH96" s="4"/>
      <c r="AI96" s="5"/>
      <c r="AJ96" s="5"/>
      <c r="AK96" s="5"/>
      <c r="AL96" s="4"/>
    </row>
    <row r="97" ht="16.5" customHeight="1" spans="1:38">
      <c r="A97" s="4"/>
      <c r="B97" s="4"/>
      <c r="C97" s="4"/>
      <c r="D97" s="4"/>
      <c r="E97" s="4"/>
      <c r="F97" s="4"/>
      <c r="G97" s="4"/>
      <c r="H97" s="4"/>
      <c r="I97" s="4"/>
      <c r="J97" s="5"/>
      <c r="K97" s="10"/>
      <c r="L97" s="10"/>
      <c r="AG97" s="4"/>
      <c r="AH97" s="4"/>
      <c r="AI97" s="5"/>
      <c r="AJ97" s="5"/>
      <c r="AK97" s="5"/>
      <c r="AL97" s="4"/>
    </row>
    <row r="98" ht="16.5" customHeight="1" spans="1:38">
      <c r="A98" s="4"/>
      <c r="B98" s="4"/>
      <c r="C98" s="4"/>
      <c r="D98" s="4"/>
      <c r="E98" s="4"/>
      <c r="F98" s="4"/>
      <c r="G98" s="4"/>
      <c r="H98" s="4"/>
      <c r="I98" s="4"/>
      <c r="J98" s="5"/>
      <c r="K98" s="10"/>
      <c r="L98" s="10"/>
      <c r="AG98" s="4"/>
      <c r="AH98" s="4"/>
      <c r="AI98" s="5"/>
      <c r="AJ98" s="5"/>
      <c r="AK98" s="5"/>
      <c r="AL98" s="4"/>
    </row>
    <row r="99" ht="16.5" customHeight="1" spans="1:38">
      <c r="A99" s="4"/>
      <c r="B99" s="4"/>
      <c r="C99" s="4"/>
      <c r="D99" s="4"/>
      <c r="E99" s="4"/>
      <c r="F99" s="4"/>
      <c r="G99" s="4"/>
      <c r="H99" s="4"/>
      <c r="I99" s="4"/>
      <c r="J99" s="5"/>
      <c r="K99" s="10"/>
      <c r="L99" s="10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AB99" s="5"/>
      <c r="AC99" s="5"/>
      <c r="AD99" s="5"/>
      <c r="AE99" s="4"/>
      <c r="AF99" s="4"/>
      <c r="AG99" s="4"/>
      <c r="AH99" s="4"/>
      <c r="AI99" s="5"/>
      <c r="AJ99" s="5"/>
      <c r="AK99" s="5"/>
      <c r="AL99" s="4"/>
    </row>
    <row r="100" ht="16.5" customHeight="1" spans="1:38">
      <c r="A100" s="4"/>
      <c r="B100" s="4"/>
      <c r="C100" s="4"/>
      <c r="D100" s="4"/>
      <c r="E100" s="4"/>
      <c r="F100" s="4"/>
      <c r="G100" s="4"/>
      <c r="H100" s="4"/>
      <c r="I100" s="4"/>
      <c r="J100" s="5"/>
      <c r="K100" s="10"/>
      <c r="L100" s="10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AB100" s="5"/>
      <c r="AC100" s="5"/>
      <c r="AD100" s="5"/>
      <c r="AE100" s="4"/>
      <c r="AF100" s="4"/>
      <c r="AG100" s="4"/>
      <c r="AH100" s="4"/>
      <c r="AI100" s="5"/>
      <c r="AJ100" s="5"/>
      <c r="AK100" s="5"/>
      <c r="AL100" s="4"/>
    </row>
    <row r="101" ht="16.5" customHeight="1" spans="1:38">
      <c r="A101" s="4"/>
      <c r="B101" s="4"/>
      <c r="C101" s="4"/>
      <c r="D101" s="4"/>
      <c r="E101" s="4"/>
      <c r="F101" s="4"/>
      <c r="G101" s="4"/>
      <c r="H101" s="4"/>
      <c r="I101" s="4"/>
      <c r="J101" s="5"/>
      <c r="K101" s="10"/>
      <c r="L101" s="10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AB101" s="5"/>
      <c r="AC101" s="5"/>
      <c r="AD101" s="5"/>
      <c r="AE101" s="4"/>
      <c r="AF101" s="4"/>
      <c r="AG101" s="4"/>
      <c r="AH101" s="4"/>
      <c r="AI101" s="5"/>
      <c r="AJ101" s="5"/>
      <c r="AK101" s="5"/>
      <c r="AL101" s="4"/>
    </row>
    <row r="102" ht="16.5" customHeight="1" spans="1:38">
      <c r="A102" s="4"/>
      <c r="B102" s="4"/>
      <c r="C102" s="4"/>
      <c r="D102" s="4"/>
      <c r="E102" s="4"/>
      <c r="F102" s="4"/>
      <c r="G102" s="4"/>
      <c r="H102" s="4"/>
      <c r="I102" s="4"/>
      <c r="J102" s="5"/>
      <c r="K102" s="10"/>
      <c r="L102" s="10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AB102" s="5"/>
      <c r="AC102" s="5"/>
      <c r="AD102" s="5"/>
      <c r="AE102" s="4"/>
      <c r="AF102" s="4"/>
      <c r="AG102" s="4"/>
      <c r="AH102" s="4"/>
      <c r="AI102" s="5"/>
      <c r="AJ102" s="5"/>
      <c r="AK102" s="5"/>
      <c r="AL102" s="4"/>
    </row>
    <row r="103" ht="16.5" customHeight="1" spans="1:38">
      <c r="A103" s="4"/>
      <c r="B103" s="4"/>
      <c r="C103" s="4"/>
      <c r="D103" s="4"/>
      <c r="E103" s="4"/>
      <c r="F103" s="4"/>
      <c r="G103" s="4"/>
      <c r="H103" s="4"/>
      <c r="I103" s="4"/>
      <c r="J103" s="5"/>
      <c r="K103" s="10"/>
      <c r="L103" s="10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4"/>
      <c r="AF103" s="4"/>
      <c r="AG103" s="4"/>
      <c r="AH103" s="4"/>
      <c r="AI103" s="5"/>
      <c r="AJ103" s="5"/>
      <c r="AK103" s="5"/>
      <c r="AL103" s="4"/>
    </row>
    <row r="104" ht="16.5" customHeight="1" spans="1:38">
      <c r="A104" s="4"/>
      <c r="B104" s="4"/>
      <c r="C104" s="4"/>
      <c r="D104" s="4"/>
      <c r="E104" s="4"/>
      <c r="F104" s="4"/>
      <c r="G104" s="4"/>
      <c r="H104" s="4"/>
      <c r="I104" s="4"/>
      <c r="J104" s="5"/>
      <c r="K104" s="10"/>
      <c r="L104" s="10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4"/>
      <c r="AF104" s="4"/>
      <c r="AG104" s="4"/>
      <c r="AH104" s="4"/>
      <c r="AI104" s="5"/>
      <c r="AJ104" s="5"/>
      <c r="AK104" s="5"/>
      <c r="AL104" s="4"/>
    </row>
    <row r="105" ht="16.5" customHeight="1" spans="1:38">
      <c r="A105" s="4"/>
      <c r="B105" s="4"/>
      <c r="C105" s="4"/>
      <c r="D105" s="4"/>
      <c r="E105" s="4"/>
      <c r="F105" s="4"/>
      <c r="G105" s="4"/>
      <c r="H105" s="4"/>
      <c r="I105" s="4"/>
      <c r="J105" s="5"/>
      <c r="K105" s="10"/>
      <c r="L105" s="10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4"/>
      <c r="AF105" s="4"/>
      <c r="AG105" s="4"/>
      <c r="AH105" s="4"/>
      <c r="AI105" s="5"/>
      <c r="AJ105" s="5"/>
      <c r="AK105" s="5"/>
      <c r="AL105" s="4"/>
    </row>
    <row r="106" spans="1:38">
      <c r="K106" s="10"/>
      <c r="L106" s="10"/>
    </row>
    <row r="107" spans="1:38">
      <c r="K107" s="10"/>
      <c r="L107" s="10"/>
    </row>
    <row r="108" spans="1:38">
      <c r="K108" s="10"/>
      <c r="L108" s="10"/>
    </row>
    <row r="109" spans="1:38">
      <c r="K109" s="10"/>
      <c r="L109" s="10"/>
    </row>
    <row r="110" spans="1:38">
      <c r="K110" s="10"/>
      <c r="L110" s="10"/>
    </row>
    <row r="111" spans="1:38">
      <c r="K111" s="10"/>
      <c r="L111" s="10"/>
    </row>
    <row r="112" spans="1:38">
      <c r="K112" s="10"/>
      <c r="L112" s="10"/>
    </row>
    <row r="113" spans="11:12">
      <c r="K113" s="10"/>
      <c r="L113" s="10"/>
    </row>
    <row r="114" spans="11:12">
      <c r="K114" s="10"/>
      <c r="L114" s="10"/>
    </row>
    <row r="115" spans="11:12">
      <c r="K115" s="10"/>
      <c r="L115" s="10"/>
    </row>
    <row r="116" spans="11:12">
      <c r="K116" s="10"/>
      <c r="L116" s="10"/>
    </row>
    <row r="117" spans="11:12">
      <c r="K117" s="10"/>
      <c r="L117" s="10"/>
    </row>
    <row r="118" spans="11:12">
      <c r="K118" s="10"/>
      <c r="L118" s="10"/>
    </row>
    <row r="119" spans="11:12">
      <c r="K119" s="10"/>
      <c r="L119" s="10"/>
    </row>
    <row r="120" spans="11:12">
      <c r="K120" s="10"/>
      <c r="L120" s="10"/>
    </row>
    <row r="121" spans="11:12">
      <c r="K121" s="10"/>
      <c r="L121" s="10"/>
    </row>
    <row r="122" spans="11:12">
      <c r="K122" s="10"/>
      <c r="L122" s="10"/>
    </row>
    <row r="123" spans="11:12">
      <c r="K123" s="10"/>
      <c r="L123" s="10"/>
    </row>
    <row r="124" spans="11:12">
      <c r="K124" s="10"/>
      <c r="L124" s="10"/>
    </row>
    <row r="125" spans="11:12">
      <c r="K125" s="10"/>
      <c r="L125" s="10"/>
    </row>
    <row r="126" spans="11:12">
      <c r="K126" s="10"/>
      <c r="L126" s="10"/>
    </row>
    <row r="127" spans="11:12">
      <c r="K127" s="10"/>
      <c r="L127" s="10"/>
    </row>
    <row r="128" spans="11:12">
      <c r="K128" s="10"/>
      <c r="L128" s="10"/>
    </row>
    <row r="129" spans="11:12">
      <c r="K129" s="10"/>
      <c r="L129" s="10"/>
    </row>
    <row r="130" spans="11:12">
      <c r="K130" s="10"/>
      <c r="L130" s="10"/>
    </row>
    <row r="131" spans="11:12">
      <c r="K131" s="10"/>
      <c r="L131" s="10"/>
    </row>
    <row r="132" spans="11:12">
      <c r="K132" s="10"/>
      <c r="L132" s="10"/>
    </row>
    <row r="133" spans="11:12">
      <c r="K133" s="10"/>
      <c r="L133" s="10"/>
    </row>
    <row r="134" spans="11:12">
      <c r="K134" s="10"/>
      <c r="L134" s="10"/>
    </row>
    <row r="135" spans="11:12">
      <c r="K135" s="10"/>
      <c r="L135" s="10"/>
    </row>
    <row r="136" spans="11:12">
      <c r="K136" s="10"/>
      <c r="L136" s="10"/>
    </row>
    <row r="137" spans="11:12">
      <c r="K137" s="10"/>
      <c r="L137" s="10"/>
    </row>
    <row r="138" spans="11:12">
      <c r="K138" s="10"/>
      <c r="L138" s="10"/>
    </row>
    <row r="139" spans="11:12">
      <c r="K139" s="10"/>
      <c r="L139" s="10"/>
    </row>
    <row r="140" spans="11:12">
      <c r="K140" s="10"/>
      <c r="L140" s="10"/>
    </row>
    <row r="141" spans="11:12">
      <c r="K141" s="10"/>
      <c r="L141" s="10"/>
    </row>
    <row r="142" spans="11:12">
      <c r="K142" s="10"/>
      <c r="L142" s="10"/>
    </row>
    <row r="143" spans="11:12">
      <c r="K143" s="10"/>
      <c r="L143" s="10"/>
    </row>
    <row r="144" spans="11:12">
      <c r="K144" s="10"/>
      <c r="L144" s="10"/>
    </row>
    <row r="145" spans="11:12">
      <c r="K145" s="10"/>
      <c r="L145" s="10"/>
    </row>
    <row r="146" spans="11:12">
      <c r="K146" s="10"/>
      <c r="L146" s="10"/>
    </row>
    <row r="147" spans="11:12">
      <c r="K147" s="10"/>
      <c r="L147" s="10"/>
    </row>
    <row r="148" spans="11:12">
      <c r="K148" s="10"/>
      <c r="L148" s="10"/>
    </row>
    <row r="149" spans="11:12">
      <c r="K149" s="10"/>
      <c r="L149" s="10"/>
    </row>
    <row r="150" spans="11:12">
      <c r="K150" s="10"/>
      <c r="L150" s="10"/>
    </row>
    <row r="151" spans="11:12">
      <c r="K151" s="10"/>
      <c r="L151" s="10"/>
    </row>
    <row r="152" spans="11:12">
      <c r="K152" s="10"/>
      <c r="L152" s="10"/>
    </row>
    <row r="153" spans="11:12">
      <c r="K153" s="10"/>
      <c r="L153" s="10"/>
    </row>
    <row r="154" spans="11:12">
      <c r="K154" s="10"/>
      <c r="L154" s="10"/>
    </row>
    <row r="155" spans="11:12">
      <c r="K155" s="10"/>
      <c r="L155" s="10"/>
    </row>
    <row r="156" spans="11:12">
      <c r="K156" s="10"/>
      <c r="L156" s="10"/>
    </row>
    <row r="157" spans="11:12">
      <c r="K157" s="10"/>
      <c r="L157" s="10"/>
    </row>
    <row r="158" spans="11:12">
      <c r="K158" s="10"/>
      <c r="L158" s="10"/>
    </row>
    <row r="159" spans="11:12">
      <c r="K159" s="10"/>
      <c r="L159" s="10"/>
    </row>
    <row r="160" spans="11:12">
      <c r="K160" s="10"/>
      <c r="L160" s="10"/>
    </row>
    <row r="161" spans="11:12">
      <c r="K161" s="10"/>
      <c r="L161" s="10"/>
    </row>
    <row r="162" spans="11:12">
      <c r="K162" s="10"/>
      <c r="L162" s="10"/>
    </row>
    <row r="163" spans="11:12">
      <c r="K163" s="10"/>
      <c r="L163" s="10"/>
    </row>
    <row r="164" spans="11:12">
      <c r="K164" s="10"/>
      <c r="L164" s="10"/>
    </row>
    <row r="165" spans="11:12">
      <c r="K165" s="10"/>
      <c r="L165" s="10"/>
    </row>
    <row r="166" spans="11:12">
      <c r="K166" s="10"/>
      <c r="L166" s="10"/>
    </row>
    <row r="167" spans="11:12">
      <c r="K167" s="10"/>
      <c r="L167" s="10"/>
    </row>
    <row r="168" spans="11:12">
      <c r="K168" s="10"/>
      <c r="L168" s="10"/>
    </row>
    <row r="169" spans="11:12">
      <c r="K169" s="10"/>
      <c r="L169" s="10"/>
    </row>
    <row r="170" spans="11:12">
      <c r="K170" s="10"/>
      <c r="L170" s="10"/>
    </row>
    <row r="171" spans="11:12">
      <c r="K171" s="10"/>
      <c r="L171" s="10"/>
    </row>
    <row r="172" spans="11:12">
      <c r="K172" s="10"/>
      <c r="L172" s="10"/>
    </row>
    <row r="173" spans="11:12">
      <c r="K173" s="10"/>
      <c r="L173" s="10"/>
    </row>
    <row r="174" spans="11:12">
      <c r="K174" s="10"/>
      <c r="L174" s="10"/>
    </row>
    <row r="175" spans="11:12">
      <c r="K175" s="10"/>
      <c r="L175" s="10"/>
    </row>
    <row r="176" spans="11:12">
      <c r="K176" s="10"/>
      <c r="L176" s="10"/>
    </row>
    <row r="177" spans="11:12">
      <c r="K177" s="10"/>
      <c r="L177" s="10"/>
    </row>
    <row r="178" spans="11:12">
      <c r="K178" s="10"/>
      <c r="L178" s="10"/>
    </row>
    <row r="179" spans="11:12">
      <c r="K179" s="10"/>
      <c r="L179" s="10"/>
    </row>
    <row r="180" spans="11:12">
      <c r="K180" s="10"/>
      <c r="L180" s="10"/>
    </row>
    <row r="181" spans="11:12">
      <c r="K181" s="10"/>
      <c r="L181" s="10"/>
    </row>
    <row r="182" spans="11:12">
      <c r="K182" s="10"/>
      <c r="L182" s="10"/>
    </row>
    <row r="183" spans="11:12">
      <c r="K183" s="10"/>
      <c r="L183" s="10"/>
    </row>
    <row r="184" spans="11:12">
      <c r="K184" s="10"/>
      <c r="L184" s="10"/>
    </row>
  </sheetData>
  <conditionalFormatting sqref="T5:T94">
    <cfRule type="expression" dxfId="0" priority="1">
      <formula>$G5&lt;&gt;""</formula>
    </cfRule>
  </conditionalFormatting>
  <conditionalFormatting sqref="J5:R94">
    <cfRule type="expression" dxfId="0" priority="2">
      <formula>$G5&lt;&gt;""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6:L22"/>
  <sheetViews>
    <sheetView workbookViewId="0">
      <selection activeCell="C41" sqref="C41"/>
    </sheetView>
  </sheetViews>
  <sheetFormatPr defaultColWidth="9" defaultRowHeight="13.5"/>
  <sheetData>
    <row r="16" ht="36" spans="6:12">
      <c r="F16" s="1" t="s">
        <v>81</v>
      </c>
      <c r="G16" s="1" t="s">
        <v>82</v>
      </c>
      <c r="H16" s="1" t="s">
        <v>83</v>
      </c>
      <c r="I16" s="1" t="s">
        <v>84</v>
      </c>
      <c r="J16" s="1" t="s">
        <v>85</v>
      </c>
      <c r="K16" s="1" t="s">
        <v>86</v>
      </c>
      <c r="L16" s="1" t="s">
        <v>87</v>
      </c>
    </row>
    <row r="17" ht="14.25" spans="6:12">
      <c r="F17" s="2" t="s">
        <v>88</v>
      </c>
      <c r="G17" s="2" t="s">
        <v>89</v>
      </c>
      <c r="H17" s="2">
        <v>1400</v>
      </c>
      <c r="I17" s="2">
        <v>45000</v>
      </c>
      <c r="J17" s="2">
        <v>150</v>
      </c>
      <c r="K17" s="2">
        <v>0</v>
      </c>
      <c r="L17" s="3">
        <v>208000</v>
      </c>
    </row>
    <row r="18" ht="14.25" spans="6:12">
      <c r="F18" s="2" t="s">
        <v>90</v>
      </c>
      <c r="G18" s="2" t="s">
        <v>91</v>
      </c>
      <c r="H18" s="2">
        <v>1800</v>
      </c>
      <c r="I18" s="2">
        <v>30000</v>
      </c>
      <c r="J18" s="2">
        <v>90</v>
      </c>
      <c r="K18" s="2">
        <v>0</v>
      </c>
      <c r="L18" s="3">
        <v>30000</v>
      </c>
    </row>
    <row r="19" ht="14.25" spans="6:12">
      <c r="F19" s="2" t="s">
        <v>92</v>
      </c>
      <c r="G19" s="2" t="s">
        <v>93</v>
      </c>
      <c r="H19" s="2">
        <v>2000</v>
      </c>
      <c r="I19" s="2">
        <v>35000</v>
      </c>
      <c r="J19" s="2">
        <v>90</v>
      </c>
      <c r="K19" s="2">
        <v>0</v>
      </c>
      <c r="L19" s="3">
        <v>40000</v>
      </c>
    </row>
    <row r="20" ht="14.25" spans="6:12">
      <c r="F20" s="2" t="s">
        <v>94</v>
      </c>
      <c r="G20" s="2" t="s">
        <v>95</v>
      </c>
      <c r="H20" s="2">
        <v>2400</v>
      </c>
      <c r="I20" s="2">
        <v>40000</v>
      </c>
      <c r="J20" s="2">
        <v>90</v>
      </c>
      <c r="K20" s="2">
        <v>0</v>
      </c>
      <c r="L20" s="3">
        <v>50000</v>
      </c>
    </row>
    <row r="21" ht="14.25" spans="6:12">
      <c r="F21" s="2" t="s">
        <v>96</v>
      </c>
      <c r="G21" s="2" t="s">
        <v>97</v>
      </c>
      <c r="H21" s="2">
        <v>3600</v>
      </c>
      <c r="I21" s="2">
        <v>45000</v>
      </c>
      <c r="J21" s="2">
        <v>90</v>
      </c>
      <c r="K21" s="2">
        <v>0</v>
      </c>
      <c r="L21" s="3">
        <v>60000</v>
      </c>
    </row>
    <row r="22" ht="14.25" spans="6:12">
      <c r="F22" s="2" t="s">
        <v>98</v>
      </c>
      <c r="G22" s="2" t="s">
        <v>99</v>
      </c>
      <c r="H22" s="2">
        <v>3600</v>
      </c>
      <c r="I22" s="2">
        <v>50000</v>
      </c>
      <c r="J22" s="2">
        <v>90</v>
      </c>
      <c r="K22" s="2">
        <v>0</v>
      </c>
      <c r="L22" s="3">
        <v>70000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开放节奏</vt:lpstr>
      <vt:lpstr>角色等级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企业用户_251728386</cp:lastModifiedBy>
  <dcterms:created xsi:type="dcterms:W3CDTF">2026-07-03T07:41:00Z</dcterms:created>
  <dcterms:modified xsi:type="dcterms:W3CDTF">2026-09-21T02:43:47Z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80AB6928E32E48EBA7AF657E33ED635F_12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