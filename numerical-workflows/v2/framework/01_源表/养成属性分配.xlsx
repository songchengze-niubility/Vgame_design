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数值文档\数值文档\框架v2\01_源表\"/>
    </mc:Choice>
  </mc:AlternateContent>
  <bookViews>
    <workbookView windowWidth="27945" windowHeight="12375"/>
  </bookViews>
  <sheets>
    <sheet name="模块规划" sheetId="1" r:id="rId1"/>
    <sheet name="角色属性分配" sheetId="2" r:id="rId2"/>
    <sheet name="收容物属性分配" sheetId="3" r:id="rId3"/>
    <sheet name="玩家战力曲线" sheetId="4" r:id="rId4"/>
    <sheet name="_曲线基线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songchengze</author>
  </authors>
  <commentList>
    <comment ref="F11" authorId="0">
      <text>
        <r>
          <rPr>
            <sz val="9"/>
            <rFont val="宋体"/>
            <charset val="134"/>
          </rPr>
          <t>新上阵位先按部分战力计入，再逐步补满：第3-6关 1.25→2.00；第7-9关 2.33→3.00；第10-14关 3.20→4.00；第20-29关 4.10→5.00。实际人数保留在隐藏AQ列。</t>
        </r>
      </text>
    </comment>
  </commentList>
</comments>
</file>

<file path=xl/sharedStrings.xml><?xml version="1.0" encoding="utf-8"?>
<sst xmlns="http://schemas.openxmlformats.org/spreadsheetml/2006/main" count="770" uniqueCount="276">
  <si>
    <t>初始标准人属性</t>
  </si>
  <si>
    <t>生命</t>
  </si>
  <si>
    <t>攻击</t>
  </si>
  <si>
    <t>防御</t>
  </si>
  <si>
    <t>养成模块数值分配</t>
  </si>
  <si>
    <t>这部分是每个角色不同的属性偏向，需要每个角色单独设计</t>
  </si>
  <si>
    <t>该表格决定属性数值分配值</t>
  </si>
  <si>
    <t>输出角色（攻击%+暴击爆伤）</t>
  </si>
  <si>
    <t>预计基础属性</t>
  </si>
  <si>
    <t>最终基础属性%</t>
  </si>
  <si>
    <t>预计全部基础属性%</t>
  </si>
  <si>
    <t>预计偏向全部二级属性</t>
  </si>
  <si>
    <t>预计偏向基础属性%+二级属性</t>
  </si>
  <si>
    <t>是否裸体属性</t>
  </si>
  <si>
    <t>养成模块</t>
  </si>
  <si>
    <t>基础属性投放系数</t>
  </si>
  <si>
    <t>偏向值</t>
  </si>
  <si>
    <t>二级属性占比</t>
  </si>
  <si>
    <t>是</t>
  </si>
  <si>
    <t>初始</t>
  </si>
  <si>
    <t>角色升级</t>
  </si>
  <si>
    <t>角色升阶</t>
  </si>
  <si>
    <t>角色星盘</t>
  </si>
  <si>
    <t>否</t>
  </si>
  <si>
    <t>角色升星</t>
  </si>
  <si>
    <t>收容物</t>
  </si>
  <si>
    <t>旅券</t>
  </si>
  <si>
    <t>映射装备</t>
  </si>
  <si>
    <t>房车升级</t>
  </si>
  <si>
    <t>房车天赋树</t>
  </si>
  <si>
    <t>公会天赋树</t>
  </si>
  <si>
    <t>总普通投放</t>
  </si>
  <si>
    <t>总稀有投放</t>
  </si>
  <si>
    <t>总二级投放</t>
  </si>
  <si>
    <t>（以攻击力%为基准）</t>
  </si>
  <si>
    <t>预计投放攻击、防御百分比</t>
  </si>
  <si>
    <t>属性解释</t>
  </si>
  <si>
    <t>基础属性</t>
  </si>
  <si>
    <t>攻击、防御、辅助</t>
  </si>
  <si>
    <t>裸体属性</t>
  </si>
  <si>
    <t>基础属性分为裸体属性和非裸体属性，裸体属性可以被基础属性百分比加成，非裸体属性则不行</t>
  </si>
  <si>
    <t>裸体属性的额外百分比属性，和基础属性百分比相比是另一个额外乘区，非裸体属性也不能被最终基础属性%加成</t>
  </si>
  <si>
    <t>全部基础属性%</t>
  </si>
  <si>
    <t>预计投放的固定的基础属性百分比</t>
  </si>
  <si>
    <t>偏向全部二级属性</t>
  </si>
  <si>
    <t>所有二级属性，不包括基础属性百分比</t>
  </si>
  <si>
    <t>偏向基础属性%+二级属性</t>
  </si>
  <si>
    <t>所有二级属性+基础属性%，具体见属性定价</t>
  </si>
  <si>
    <t>职业</t>
  </si>
  <si>
    <t>属性总和</t>
  </si>
  <si>
    <t>坦克（输出）</t>
  </si>
  <si>
    <t>坦克（生命）</t>
  </si>
  <si>
    <t>坦克（防御）</t>
  </si>
  <si>
    <t>输出（射手）</t>
  </si>
  <si>
    <t>输出（战士）</t>
  </si>
  <si>
    <t>输出（法师）</t>
  </si>
  <si>
    <t>辅助（均衡）</t>
  </si>
  <si>
    <t>辅助（攻击）</t>
  </si>
  <si>
    <t>辅助（生命）</t>
  </si>
  <si>
    <t>伤害类型</t>
  </si>
  <si>
    <t>品质属性比</t>
  </si>
  <si>
    <t>SSR</t>
  </si>
  <si>
    <t>SR</t>
  </si>
  <si>
    <t>R</t>
  </si>
  <si>
    <t>专武品质属性比</t>
  </si>
  <si>
    <t>裸体属性区</t>
  </si>
  <si>
    <t>只影响裸体属性：包括基础、升级、突破、星盘</t>
  </si>
  <si>
    <t>（用于微调角色的基础属性）</t>
  </si>
  <si>
    <t>星盘二级属性</t>
  </si>
  <si>
    <t>角色专武系数</t>
  </si>
  <si>
    <t>角色专武</t>
  </si>
  <si>
    <t>武将id</t>
  </si>
  <si>
    <t>武将名称</t>
  </si>
  <si>
    <t>稀有度</t>
  </si>
  <si>
    <t>武将职业</t>
  </si>
  <si>
    <t>职业生命比</t>
  </si>
  <si>
    <t>职业攻击比</t>
  </si>
  <si>
    <t>职业防御比</t>
  </si>
  <si>
    <t>调整生命比</t>
  </si>
  <si>
    <t>调整攻击比</t>
  </si>
  <si>
    <t>调整防御比</t>
  </si>
  <si>
    <t>调整比总和</t>
  </si>
  <si>
    <t>最终生命比</t>
  </si>
  <si>
    <t>最终攻击比</t>
  </si>
  <si>
    <t>最终防御比</t>
  </si>
  <si>
    <t>二级属性1</t>
  </si>
  <si>
    <t>二级属性2</t>
  </si>
  <si>
    <t>二级属性3</t>
  </si>
  <si>
    <t>专武生命比</t>
  </si>
  <si>
    <t>专武攻击比</t>
  </si>
  <si>
    <t>专武防御比</t>
  </si>
  <si>
    <t>品质系数</t>
  </si>
  <si>
    <t>专武最终生命比</t>
  </si>
  <si>
    <t>专武最终攻击比</t>
  </si>
  <si>
    <t>专武最终防御比</t>
  </si>
  <si>
    <t>专武二级属性</t>
  </si>
  <si>
    <t>角色升星属性1</t>
  </si>
  <si>
    <t>角色升星属性2</t>
  </si>
  <si>
    <t>塔拉夏</t>
  </si>
  <si>
    <t>生命值百分比</t>
  </si>
  <si>
    <t>攻击百分比</t>
  </si>
  <si>
    <t>技能冷却等级</t>
  </si>
  <si>
    <t>魔法伤害加成</t>
  </si>
  <si>
    <t>暴击等级</t>
  </si>
  <si>
    <t>陈单单</t>
  </si>
  <si>
    <t>暴击伤害等级</t>
  </si>
  <si>
    <t>技能伤害加成</t>
  </si>
  <si>
    <t>物理伤害加成</t>
  </si>
  <si>
    <t>必杀伤害加成</t>
  </si>
  <si>
    <t>莉莉娅</t>
  </si>
  <si>
    <t>萨萨莉安</t>
  </si>
  <si>
    <t>能量回复等级</t>
  </si>
  <si>
    <t>伊戈尔</t>
  </si>
  <si>
    <t>约瑟夫</t>
  </si>
  <si>
    <t>夏提拉</t>
  </si>
  <si>
    <t>雷诺</t>
  </si>
  <si>
    <t>防御百分比</t>
  </si>
  <si>
    <t>瞳</t>
  </si>
  <si>
    <t>美第奇</t>
  </si>
  <si>
    <t>治疗率</t>
  </si>
  <si>
    <t>零号</t>
  </si>
  <si>
    <t>主角</t>
  </si>
  <si>
    <t>普攻伤害加成</t>
  </si>
  <si>
    <t>大暑</t>
  </si>
  <si>
    <t>阿芭</t>
  </si>
  <si>
    <t>陈双双</t>
  </si>
  <si>
    <t>克莉丝汀</t>
  </si>
  <si>
    <t>阿莱克西娅</t>
  </si>
  <si>
    <t>艾德琳</t>
  </si>
  <si>
    <t>薇</t>
  </si>
  <si>
    <t>埃莉诺</t>
  </si>
  <si>
    <t>乔一</t>
  </si>
  <si>
    <t>塞拉菲娜</t>
  </si>
  <si>
    <t>桑塔</t>
  </si>
  <si>
    <t>卡斯帕</t>
  </si>
  <si>
    <t>梅梅</t>
  </si>
  <si>
    <t>马克</t>
  </si>
  <si>
    <t>卡薇</t>
  </si>
  <si>
    <t>凯兰</t>
  </si>
  <si>
    <t>莫莉</t>
  </si>
  <si>
    <t>桑尼</t>
  </si>
  <si>
    <t>梅林</t>
  </si>
  <si>
    <t>德洛丽丝</t>
  </si>
  <si>
    <t>小寒</t>
  </si>
  <si>
    <t>碎冰者</t>
  </si>
  <si>
    <t>霜狼法师</t>
  </si>
  <si>
    <t>霜狼战士</t>
  </si>
  <si>
    <t>桑尼商队战斗员</t>
  </si>
  <si>
    <t>桑尼商队枪手</t>
  </si>
  <si>
    <t>收容物专用</t>
  </si>
  <si>
    <t>收容物id</t>
  </si>
  <si>
    <t>虚妄之镜</t>
  </si>
  <si>
    <t>生命百分比</t>
  </si>
  <si>
    <t>玉液葫芦</t>
  </si>
  <si>
    <t>海妖</t>
  </si>
  <si>
    <t>回声</t>
  </si>
  <si>
    <t>亚瑟之手</t>
  </si>
  <si>
    <t>象</t>
  </si>
  <si>
    <t>狂乱之牙</t>
  </si>
  <si>
    <t>陈旧的烟匣</t>
  </si>
  <si>
    <t>断事官印章</t>
  </si>
  <si>
    <t>十字剑章</t>
  </si>
  <si>
    <t>紫罗兰王冠</t>
  </si>
  <si>
    <t>破烂玩偶</t>
  </si>
  <si>
    <t>六芒圣楔</t>
  </si>
  <si>
    <t>延爆手环</t>
  </si>
  <si>
    <t>紊乱透镜</t>
  </si>
  <si>
    <t>幸运故障环</t>
  </si>
  <si>
    <t>防御力百分比</t>
  </si>
  <si>
    <t>链式反应器</t>
  </si>
  <si>
    <t>狂欢之杯</t>
  </si>
  <si>
    <t>概率硬币</t>
  </si>
  <si>
    <t>非理性徽章</t>
  </si>
  <si>
    <t>专效适频器</t>
  </si>
  <si>
    <t>应激气泡球</t>
  </si>
  <si>
    <t>节能指环</t>
  </si>
  <si>
    <t>传音海螺</t>
  </si>
  <si>
    <t>百合勋章</t>
  </si>
  <si>
    <t>荒原护目镜</t>
  </si>
  <si>
    <t>能量水晶球</t>
  </si>
  <si>
    <t>魔法故事书</t>
  </si>
  <si>
    <t>防辐射贴纸</t>
  </si>
  <si>
    <t>折射手镜</t>
  </si>
  <si>
    <t>运动腕带</t>
  </si>
  <si>
    <t>流星吊坠</t>
  </si>
  <si>
    <t>随身充电宝</t>
  </si>
  <si>
    <t>事运符</t>
  </si>
  <si>
    <t>棉花拳套</t>
  </si>
  <si>
    <t>旧怀表</t>
  </si>
  <si>
    <t>捕梦网</t>
  </si>
  <si>
    <t>随身凸透镜</t>
  </si>
  <si>
    <t>脆巧能量棒</t>
  </si>
  <si>
    <t>技能效果</t>
  </si>
  <si>
    <t>角色使用持续性必杀时，则在必杀持续期间暴击率提升10%，暴击伤害提升15%</t>
  </si>
  <si>
    <t>攻击时，若目标携带至少2个【异常状态】，则对其造成伤害提升30%</t>
  </si>
  <si>
    <t>每次受击有50%概率减免伤害15%</t>
  </si>
  <si>
    <t>己方全体每释放一次必杀，则己方全体造成伤害提升3%，最多叠加8层</t>
  </si>
  <si>
    <t>角色释放必杀后，己方全体施加的【流血】伤害提高10%，自身施加的【流血】伤害额外提高20%</t>
  </si>
  <si>
    <t>释放必杀技后，有30%的概率使自身所有伤害提高10%。</t>
  </si>
  <si>
    <t>释放必杀技后，增强普攻伤害20%，持续10s。</t>
  </si>
  <si>
    <t>当敌方有dot效果时，自身攻击力提升20%。</t>
  </si>
  <si>
    <t>生命值低于15%时，生成相当于自身生命值30%的护盾。</t>
  </si>
  <si>
    <t>生命值低于30%时，回复25%必杀能量。</t>
  </si>
  <si>
    <t>处于护盾效果下时，受到的伤害降低10%</t>
  </si>
  <si>
    <t>处于护盾效果下时，额外获得10%技能伤害加成。</t>
  </si>
  <si>
    <t>释放必杀时，攻击力提升10%，持续10s。</t>
  </si>
  <si>
    <t>释放必杀后，回复必杀消耗能量的5%</t>
  </si>
  <si>
    <t>必杀技能伤害提升15%</t>
  </si>
  <si>
    <t>普攻伤害提升15%</t>
  </si>
  <si>
    <t>每过5秒，恢复自身3%/5%/6%/7%/9%/10%已损失的生命值。</t>
  </si>
  <si>
    <t>进行治疗时，自身额外获得8%/12%/14%/18%/21%/25%的暴击率。</t>
  </si>
  <si>
    <t>施加的护盾量提升8%/12%/14%/18%/21%/25%。</t>
  </si>
  <si>
    <t>最大生命值提升10%，当自身生命值高于60%时，受到的伤害降低3%/5%/6%/7%/9%/10%。</t>
  </si>
  <si>
    <t>进入战斗后，获得10%技能冷却，技能伤害提高6%/9%/11%/14%/17%/20%。</t>
  </si>
  <si>
    <t>以关卡进度做玩家战力预估</t>
  </si>
  <si>
    <t>基础进度</t>
  </si>
  <si>
    <t>角色等级进度</t>
  </si>
  <si>
    <t>星盘/升星进度</t>
  </si>
  <si>
    <t>收容物进度</t>
  </si>
  <si>
    <t>映射装备进度</t>
  </si>
  <si>
    <t>旅券进度</t>
  </si>
  <si>
    <t>房车进度</t>
  </si>
  <si>
    <t>预计bossTTK</t>
  </si>
  <si>
    <t>以主线作为标准</t>
  </si>
  <si>
    <t>起始进度</t>
  </si>
  <si>
    <t>预计达到上限的章节</t>
  </si>
  <si>
    <t>结束进度</t>
  </si>
  <si>
    <t>预计达到上限的关卡</t>
  </si>
  <si>
    <t>函数参数1</t>
  </si>
  <si>
    <t>单位时间伤害上限</t>
  </si>
  <si>
    <t>函数参数2</t>
  </si>
  <si>
    <t>函数参数3</t>
  </si>
  <si>
    <t>起始关卡</t>
  </si>
  <si>
    <t>裸体基础属性</t>
  </si>
  <si>
    <t>额外基础属性</t>
  </si>
  <si>
    <t>基础属性百分比</t>
  </si>
  <si>
    <t>算百分比后基础</t>
  </si>
  <si>
    <t>战斗内效果</t>
  </si>
  <si>
    <t>玩家等级</t>
  </si>
  <si>
    <t>关卡id</t>
  </si>
  <si>
    <t>章节</t>
  </si>
  <si>
    <t>关卡</t>
  </si>
  <si>
    <t>有效人数系数</t>
  </si>
  <si>
    <t>防御%</t>
  </si>
  <si>
    <t>减伤率</t>
  </si>
  <si>
    <t>攻击%</t>
  </si>
  <si>
    <t>普攻系数倍率</t>
  </si>
  <si>
    <t>技能系数倍率</t>
  </si>
  <si>
    <t>必杀系数倍率</t>
  </si>
  <si>
    <t>角色天赋倍率</t>
  </si>
  <si>
    <t>星盘/升星天赋倍率</t>
  </si>
  <si>
    <t>收容物天赋倍率</t>
  </si>
  <si>
    <t>映射装备天赋倍率</t>
  </si>
  <si>
    <t>旅券/房车天赋倍率</t>
  </si>
  <si>
    <t>战斗内总倍率</t>
  </si>
  <si>
    <t>攻速倍率</t>
  </si>
  <si>
    <t>技能倍率</t>
  </si>
  <si>
    <t>必杀倍率</t>
  </si>
  <si>
    <t>暴击</t>
  </si>
  <si>
    <t>暴击伤害</t>
  </si>
  <si>
    <t>增伤倍率</t>
  </si>
  <si>
    <t>养成总倍率</t>
  </si>
  <si>
    <t>标准玩家DPS</t>
  </si>
  <si>
    <t>玩家队伍EHP</t>
  </si>
  <si>
    <t>Boss目标EHP</t>
  </si>
  <si>
    <t>怪物等级</t>
  </si>
  <si>
    <t>实际上阵人数</t>
  </si>
  <si>
    <t>静态基线来源：01_源表/战斗公式.xlsx「怪物标准模型」页；等级=B，Boss生命=AZ，Boss防御=AO，减伤率=AD；Boss EHP=Boss生命/(1-减伤率)。关卡-玩家等级取自原玩家战力曲线缓存（原来源为节奏口径）</t>
  </si>
  <si>
    <t>Boss生命</t>
  </si>
  <si>
    <t>Boss防御</t>
  </si>
  <si>
    <t>Boss减伤率</t>
  </si>
  <si>
    <t>Boss EHP</t>
  </si>
  <si>
    <t>累计关卡</t>
  </si>
  <si>
    <t>防御常数</t>
  </si>
  <si>
    <t>基础暴击</t>
  </si>
  <si>
    <t>基础暴伤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</si>
</sst>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</numFmts>
  <fonts count="33">
    <font>
      <sz val="11"/>
      <color theme="1"/>
      <name val="宋体"/>
      <charset val="134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sz val="11"/>
      <color rgb="FF000000"/>
      <name val="微软雅黑"/>
      <charset val="134"/>
    </font>
    <font>
      <b/>
      <sz val="11"/>
      <color theme="1"/>
      <name val="宋体"/>
      <charset val="134"/>
    </font>
    <font>
      <sz val="11"/>
      <color rgb="FFFF0000"/>
      <name val="微软雅黑"/>
      <charset val="134"/>
    </font>
    <font>
      <sz val="12"/>
      <name val="微软雅黑"/>
      <charset val="134"/>
    </font>
    <font>
      <b/>
      <sz val="11"/>
      <color theme="1"/>
      <name val="微软雅黑"/>
      <charset val="134"/>
    </font>
    <font>
      <b/>
      <sz val="11"/>
      <color rgb="FFFF0000"/>
      <name val="微软雅黑"/>
      <charset val="134"/>
    </font>
    <font>
      <b/>
      <sz val="14"/>
      <color theme="0"/>
      <name val="微软雅黑"/>
      <charset val="134"/>
    </font>
    <font>
      <sz val="11"/>
      <name val="微软雅黑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rgb="FFFEFB54"/>
        <bgColor rgb="FFFFFF00"/>
      </patternFill>
    </fill>
    <fill>
      <patternFill patternType="solid">
        <fgColor rgb="FFD58EFF"/>
        <bgColor rgb="FFFF99CC"/>
      </patternFill>
    </fill>
    <fill>
      <patternFill patternType="solid">
        <fgColor rgb="FF8CDDFA"/>
        <bgColor rgb="FFC0C0C0"/>
      </patternFill>
    </fill>
    <fill>
      <patternFill patternType="solid">
        <fgColor rgb="FFDAE2F6"/>
        <bgColor rgb="FFDEE0E3"/>
      </patternFill>
    </fill>
    <fill>
      <patternFill patternType="solid">
        <fgColor theme="0" tint="-0.5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Border="0" applyAlignment="0" applyProtection="0"/>
    <xf numFmtId="44" fontId="11" fillId="0" borderId="0" applyBorder="0" applyAlignment="0" applyProtection="0"/>
    <xf numFmtId="9" fontId="0" fillId="0" borderId="0">
      <alignment vertical="center"/>
    </xf>
    <xf numFmtId="41" fontId="11" fillId="0" borderId="0" applyBorder="0" applyAlignment="0" applyProtection="0"/>
    <xf numFmtId="42" fontId="11" fillId="0" borderId="0" applyBorder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5" applyNumberFormat="0" applyAlignment="0" applyProtection="0">
      <alignment vertical="center"/>
    </xf>
    <xf numFmtId="0" fontId="22" fillId="13" borderId="6" applyNumberFormat="0" applyAlignment="0" applyProtection="0">
      <alignment vertical="center"/>
    </xf>
    <xf numFmtId="0" fontId="23" fillId="13" borderId="5" applyNumberFormat="0" applyAlignment="0" applyProtection="0">
      <alignment vertical="center"/>
    </xf>
    <xf numFmtId="0" fontId="24" fillId="14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4" borderId="0" xfId="0" applyFont="1" applyFill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76" fontId="1" fillId="0" borderId="0" xfId="3" applyNumberFormat="1" applyFont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0" borderId="0" xfId="3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 wrapText="1"/>
    </xf>
    <xf numFmtId="0" fontId="0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5" fillId="3" borderId="0" xfId="0" applyFont="1" applyFill="1" applyAlignment="1">
      <alignment vertical="center"/>
    </xf>
    <xf numFmtId="0" fontId="1" fillId="9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1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10" fontId="1" fillId="0" borderId="0" xfId="3" applyNumberFormat="1" applyFont="1" applyBorder="1" applyAlignment="1">
      <alignment horizontal="center" vertical="center"/>
    </xf>
    <xf numFmtId="9" fontId="1" fillId="10" borderId="0" xfId="3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9" fontId="1" fillId="0" borderId="0" xfId="0" applyNumberFormat="1" applyFont="1" applyAlignment="1">
      <alignment vertical="center"/>
    </xf>
    <xf numFmtId="9" fontId="1" fillId="0" borderId="0" xfId="0" applyNumberFormat="1" applyFont="1" applyBorder="1" applyAlignment="1">
      <alignment horizontal="center" vertical="center"/>
    </xf>
    <xf numFmtId="9" fontId="1" fillId="10" borderId="0" xfId="3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AE2F6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EE0E3"/>
      <rgbColor rgb="00FEFB54"/>
      <rgbColor rgb="008CDDFA"/>
      <rgbColor rgb="00FF99CC"/>
      <rgbColor rgb="00D58EFF"/>
      <rgbColor rgb="00FFCC99"/>
      <rgbColor rgb="003366FF"/>
      <rgbColor rgb="0033CCCC"/>
      <rgbColor rgb="0092D050"/>
      <rgbColor rgb="00FFC0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Y33"/>
  <sheetViews>
    <sheetView showGridLines="0" tabSelected="1" workbookViewId="0">
      <pane ySplit="1" topLeftCell="A2" activePane="bottomLeft" state="frozen"/>
      <selection/>
      <selection pane="bottomLeft" activeCell="F20" sqref="F20"/>
    </sheetView>
  </sheetViews>
  <sheetFormatPr defaultColWidth="9" defaultRowHeight="16.5" customHeight="1"/>
  <cols>
    <col min="1" max="1" width="12.8666666666667" style="28" customWidth="1"/>
    <col min="2" max="2" width="25.3666666666667" style="28" customWidth="1"/>
    <col min="3" max="3" width="17.1333333333333" style="28" customWidth="1"/>
    <col min="4" max="5" width="9" style="28"/>
    <col min="6" max="7" width="10.5" style="28" customWidth="1"/>
    <col min="8" max="8" width="9" style="28"/>
    <col min="9" max="9" width="10.8666666666667" style="28" customWidth="1"/>
    <col min="10" max="11" width="9" style="28"/>
    <col min="12" max="12" width="14" style="28" customWidth="1"/>
    <col min="13" max="16384" width="9" style="28"/>
  </cols>
  <sheetData>
    <row r="2" spans="1:24">
      <c r="B2" s="7" t="s">
        <v>0</v>
      </c>
      <c r="C2" s="3" t="s">
        <v>1</v>
      </c>
      <c r="D2" s="3" t="s">
        <v>2</v>
      </c>
      <c r="E2" s="3" t="s">
        <v>3</v>
      </c>
    </row>
    <row r="3" spans="1:24">
      <c r="B3" s="7"/>
      <c r="C3" s="1">
        <v>5000</v>
      </c>
      <c r="D3" s="1">
        <v>1500</v>
      </c>
      <c r="E3" s="1">
        <v>1000</v>
      </c>
    </row>
    <row r="5" s="7" customFormat="1" spans="1:24">
      <c r="B5" s="29" t="s">
        <v>4</v>
      </c>
      <c r="P5" s="29" t="s">
        <v>5</v>
      </c>
    </row>
    <row r="6" s="7" customFormat="1" spans="1:24">
      <c r="B6" s="7" t="s">
        <v>6</v>
      </c>
      <c r="P6" s="7" t="s">
        <v>7</v>
      </c>
    </row>
    <row r="7" s="7" customFormat="1" spans="1:24">
      <c r="D7" s="7" t="s">
        <v>8</v>
      </c>
      <c r="G7" s="30" t="s">
        <v>9</v>
      </c>
      <c r="J7" s="7" t="s">
        <v>10</v>
      </c>
      <c r="M7" s="7" t="s">
        <v>11</v>
      </c>
      <c r="P7" s="7" t="s">
        <v>12</v>
      </c>
    </row>
    <row r="8" s="7" customFormat="1" ht="21" customHeight="1" spans="1:24">
      <c r="A8" s="3" t="s">
        <v>13</v>
      </c>
      <c r="B8" s="31" t="s">
        <v>14</v>
      </c>
      <c r="C8" s="3" t="s">
        <v>15</v>
      </c>
      <c r="D8" s="23" t="s">
        <v>1</v>
      </c>
      <c r="E8" s="23" t="s">
        <v>2</v>
      </c>
      <c r="F8" s="23" t="s">
        <v>3</v>
      </c>
      <c r="G8" s="23" t="s">
        <v>1</v>
      </c>
      <c r="H8" s="23" t="s">
        <v>2</v>
      </c>
      <c r="I8" s="23" t="s">
        <v>3</v>
      </c>
      <c r="J8" s="23" t="s">
        <v>1</v>
      </c>
      <c r="K8" s="23" t="s">
        <v>2</v>
      </c>
      <c r="L8" s="23" t="s">
        <v>3</v>
      </c>
      <c r="M8" s="32" t="s">
        <v>16</v>
      </c>
      <c r="N8" s="32"/>
      <c r="O8" s="32"/>
      <c r="P8" s="32" t="s">
        <v>16</v>
      </c>
      <c r="Q8" s="32"/>
      <c r="R8" s="32"/>
      <c r="S8" s="32"/>
      <c r="T8" s="32"/>
      <c r="U8" s="32"/>
      <c r="V8" s="32" t="s">
        <v>17</v>
      </c>
      <c r="W8" s="32"/>
      <c r="X8" s="32"/>
    </row>
    <row r="9" s="7" customFormat="1" spans="1:24">
      <c r="M9" s="9"/>
      <c r="N9" s="9"/>
      <c r="O9" s="9"/>
      <c r="V9" s="33">
        <f t="shared" ref="V9:V20" si="0">SUM(L9:U9)/$P$22</f>
        <v>0</v>
      </c>
      <c r="W9" s="33"/>
      <c r="X9" s="33"/>
    </row>
    <row r="10" s="7" customFormat="1" spans="1:24">
      <c r="A10" s="34" t="s">
        <v>18</v>
      </c>
      <c r="B10" s="1" t="s">
        <v>19</v>
      </c>
      <c r="C10" s="1">
        <v>1</v>
      </c>
      <c r="D10" s="7">
        <f>$C10*C$3</f>
        <v>5000</v>
      </c>
      <c r="E10" s="7">
        <f>$C10*D$3</f>
        <v>1500</v>
      </c>
      <c r="F10" s="7">
        <f>$C10*E$3</f>
        <v>1000</v>
      </c>
      <c r="M10" s="9"/>
      <c r="N10" s="9"/>
      <c r="O10" s="9"/>
      <c r="P10" s="9"/>
      <c r="Q10" s="9"/>
      <c r="R10" s="9"/>
      <c r="V10" s="33">
        <f t="shared" si="0"/>
        <v>0</v>
      </c>
      <c r="W10" s="33"/>
      <c r="X10" s="33"/>
    </row>
    <row r="11" s="7" customFormat="1" spans="1:24">
      <c r="A11" s="34" t="s">
        <v>18</v>
      </c>
      <c r="B11" s="1" t="s">
        <v>20</v>
      </c>
      <c r="C11" s="1">
        <v>4.8</v>
      </c>
      <c r="D11" s="7">
        <f>$C11*C$3</f>
        <v>24000</v>
      </c>
      <c r="E11" s="7">
        <f>$C11*D$3</f>
        <v>7200</v>
      </c>
      <c r="F11" s="7">
        <f>$C11*E$3</f>
        <v>4800</v>
      </c>
      <c r="M11" s="9"/>
      <c r="N11" s="9"/>
      <c r="O11" s="9"/>
      <c r="P11" s="9"/>
      <c r="Q11" s="9"/>
      <c r="R11" s="9"/>
      <c r="V11" s="33">
        <f t="shared" si="0"/>
        <v>0</v>
      </c>
      <c r="W11" s="33"/>
      <c r="X11" s="33"/>
    </row>
    <row r="12" s="7" customFormat="1" spans="1:24">
      <c r="A12" s="34" t="s">
        <v>18</v>
      </c>
      <c r="B12" s="1" t="s">
        <v>21</v>
      </c>
      <c r="C12" s="1">
        <v>1.2</v>
      </c>
      <c r="D12" s="7">
        <f>$C12*C$3</f>
        <v>6000</v>
      </c>
      <c r="E12" s="7">
        <f>$C12*D$3</f>
        <v>1800</v>
      </c>
      <c r="F12" s="7">
        <f>$C12*E$3</f>
        <v>1200</v>
      </c>
      <c r="M12" s="9"/>
      <c r="N12" s="9"/>
      <c r="O12" s="9"/>
      <c r="P12" s="9"/>
      <c r="Q12" s="9"/>
      <c r="R12" s="9"/>
      <c r="V12" s="33">
        <f t="shared" si="0"/>
        <v>0</v>
      </c>
      <c r="W12" s="33"/>
      <c r="X12" s="33"/>
    </row>
    <row r="13" s="7" customFormat="1" spans="1:24">
      <c r="A13" s="34" t="s">
        <v>18</v>
      </c>
      <c r="B13" s="35" t="s">
        <v>22</v>
      </c>
      <c r="C13" s="1">
        <v>0</v>
      </c>
      <c r="D13" s="7">
        <f>$C13*C$3</f>
        <v>0</v>
      </c>
      <c r="E13" s="7">
        <f>$C13*D$3</f>
        <v>0</v>
      </c>
      <c r="F13" s="7">
        <f>$C13*E$3</f>
        <v>0</v>
      </c>
      <c r="G13" s="7">
        <v>0</v>
      </c>
      <c r="H13" s="7">
        <v>0</v>
      </c>
      <c r="I13" s="7">
        <v>0</v>
      </c>
      <c r="J13" s="36">
        <v>0</v>
      </c>
      <c r="K13" s="36">
        <v>0</v>
      </c>
      <c r="L13" s="36">
        <v>0</v>
      </c>
      <c r="M13" s="9">
        <v>0</v>
      </c>
      <c r="N13" s="9"/>
      <c r="O13" s="9"/>
      <c r="P13" s="37">
        <v>1.8</v>
      </c>
      <c r="Q13" s="37"/>
      <c r="R13" s="37"/>
      <c r="V13" s="33">
        <f t="shared" si="0"/>
        <v>0.09</v>
      </c>
      <c r="W13" s="33"/>
      <c r="X13" s="33"/>
    </row>
    <row r="14" s="7" customFormat="1" spans="1:24">
      <c r="A14" s="1" t="s">
        <v>23</v>
      </c>
      <c r="B14" s="1" t="s">
        <v>24</v>
      </c>
      <c r="G14" s="36">
        <v>0.9</v>
      </c>
      <c r="H14" s="36">
        <v>0.9</v>
      </c>
      <c r="I14" s="36">
        <v>0.9</v>
      </c>
      <c r="J14" s="36">
        <v>0</v>
      </c>
      <c r="K14" s="36">
        <v>0</v>
      </c>
      <c r="L14" s="36">
        <v>0</v>
      </c>
      <c r="M14" s="9">
        <v>0</v>
      </c>
      <c r="N14" s="9"/>
      <c r="O14" s="9"/>
      <c r="P14" s="37">
        <v>0.6</v>
      </c>
      <c r="Q14" s="37"/>
      <c r="R14" s="37"/>
      <c r="S14" s="37"/>
      <c r="T14" s="37"/>
      <c r="U14" s="37"/>
      <c r="V14" s="33">
        <f t="shared" si="0"/>
        <v>0.03</v>
      </c>
      <c r="W14" s="33"/>
      <c r="X14" s="33"/>
    </row>
    <row r="15" s="7" customFormat="1" spans="1:24">
      <c r="A15" s="1" t="s">
        <v>23</v>
      </c>
      <c r="B15" s="1" t="s">
        <v>25</v>
      </c>
      <c r="C15" s="1">
        <v>8</v>
      </c>
      <c r="D15" s="7">
        <f t="shared" ref="D15:D20" si="1">$C15*C$3</f>
        <v>40000</v>
      </c>
      <c r="E15" s="7">
        <f t="shared" ref="E15:E20" si="2">$C15*D$3</f>
        <v>12000</v>
      </c>
      <c r="F15" s="7">
        <f t="shared" ref="F15:F20" si="3">$C15*E$3</f>
        <v>8000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9">
        <v>0</v>
      </c>
      <c r="N15" s="9"/>
      <c r="O15" s="9"/>
      <c r="P15" s="37">
        <v>1.2</v>
      </c>
      <c r="Q15" s="37"/>
      <c r="R15" s="37"/>
      <c r="V15" s="33">
        <f t="shared" si="0"/>
        <v>0.06</v>
      </c>
      <c r="W15" s="33"/>
      <c r="X15" s="33"/>
    </row>
    <row r="16" s="7" customFormat="1" spans="1:24">
      <c r="A16" s="1" t="s">
        <v>23</v>
      </c>
      <c r="B16" s="1" t="s">
        <v>26</v>
      </c>
      <c r="C16" s="1">
        <v>6</v>
      </c>
      <c r="D16" s="7">
        <f t="shared" si="1"/>
        <v>30000</v>
      </c>
      <c r="E16" s="7">
        <f t="shared" si="2"/>
        <v>9000</v>
      </c>
      <c r="F16" s="7">
        <f t="shared" si="3"/>
        <v>6000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9">
        <v>0</v>
      </c>
      <c r="N16" s="9"/>
      <c r="O16" s="9"/>
      <c r="P16" s="37">
        <v>4.2</v>
      </c>
      <c r="Q16" s="37"/>
      <c r="R16" s="37"/>
      <c r="V16" s="33">
        <f t="shared" si="0"/>
        <v>0.21</v>
      </c>
      <c r="W16" s="33"/>
      <c r="X16" s="33"/>
    </row>
    <row r="17" s="7" customFormat="1" spans="1:25">
      <c r="A17" s="1" t="s">
        <v>23</v>
      </c>
      <c r="B17" s="1" t="s">
        <v>27</v>
      </c>
      <c r="C17" s="1">
        <v>10</v>
      </c>
      <c r="D17" s="7">
        <f t="shared" si="1"/>
        <v>50000</v>
      </c>
      <c r="E17" s="7">
        <f t="shared" si="2"/>
        <v>15000</v>
      </c>
      <c r="F17" s="7">
        <f t="shared" si="3"/>
        <v>10000</v>
      </c>
      <c r="G17" s="7">
        <v>0</v>
      </c>
      <c r="H17" s="7">
        <v>0</v>
      </c>
      <c r="I17" s="7">
        <v>0</v>
      </c>
      <c r="J17" s="36">
        <v>1.2</v>
      </c>
      <c r="K17" s="36">
        <v>1.2</v>
      </c>
      <c r="L17" s="36">
        <v>1.2</v>
      </c>
      <c r="M17" s="37">
        <v>1.6</v>
      </c>
      <c r="N17" s="37"/>
      <c r="O17" s="37"/>
      <c r="P17" s="37">
        <v>8.2</v>
      </c>
      <c r="Q17" s="37"/>
      <c r="R17" s="37"/>
      <c r="S17" s="37"/>
      <c r="T17" s="37"/>
      <c r="U17" s="37"/>
      <c r="V17" s="33">
        <f t="shared" si="0"/>
        <v>0.55</v>
      </c>
      <c r="W17" s="33"/>
      <c r="X17" s="33"/>
    </row>
    <row r="18" s="7" customFormat="1" spans="1:25">
      <c r="A18" s="1" t="s">
        <v>23</v>
      </c>
      <c r="B18" s="1" t="s">
        <v>28</v>
      </c>
      <c r="C18" s="1">
        <v>5</v>
      </c>
      <c r="D18" s="7">
        <f t="shared" si="1"/>
        <v>25000</v>
      </c>
      <c r="E18" s="7">
        <f t="shared" si="2"/>
        <v>7500</v>
      </c>
      <c r="F18" s="7">
        <f t="shared" si="3"/>
        <v>5000</v>
      </c>
      <c r="G18" s="7">
        <v>0</v>
      </c>
      <c r="H18" s="7">
        <v>0</v>
      </c>
      <c r="I18" s="7">
        <v>0</v>
      </c>
      <c r="J18" s="36">
        <v>0</v>
      </c>
      <c r="K18" s="36">
        <v>0</v>
      </c>
      <c r="L18" s="36">
        <v>0</v>
      </c>
      <c r="M18" s="37">
        <v>0</v>
      </c>
      <c r="N18" s="37"/>
      <c r="O18" s="37"/>
      <c r="P18" s="37">
        <v>0</v>
      </c>
      <c r="Q18" s="37"/>
      <c r="R18" s="37"/>
      <c r="S18" s="37"/>
      <c r="T18" s="37"/>
      <c r="U18" s="37"/>
      <c r="V18" s="33">
        <f t="shared" si="0"/>
        <v>0</v>
      </c>
      <c r="W18" s="33"/>
      <c r="X18" s="33"/>
    </row>
    <row r="19" s="7" customFormat="1" spans="1:25">
      <c r="A19" s="1" t="s">
        <v>23</v>
      </c>
      <c r="B19" s="1" t="s">
        <v>29</v>
      </c>
      <c r="C19" s="1">
        <v>2</v>
      </c>
      <c r="D19" s="7">
        <f t="shared" si="1"/>
        <v>10000</v>
      </c>
      <c r="E19" s="7">
        <f t="shared" si="2"/>
        <v>3000</v>
      </c>
      <c r="F19" s="7">
        <f t="shared" si="3"/>
        <v>2000</v>
      </c>
      <c r="G19" s="7">
        <v>0</v>
      </c>
      <c r="H19" s="7">
        <v>0</v>
      </c>
      <c r="I19" s="7">
        <v>0</v>
      </c>
      <c r="J19" s="36">
        <v>0</v>
      </c>
      <c r="K19" s="36">
        <v>0</v>
      </c>
      <c r="L19" s="36">
        <v>0</v>
      </c>
      <c r="M19" s="37">
        <v>0</v>
      </c>
      <c r="N19" s="37"/>
      <c r="O19" s="37"/>
      <c r="P19" s="37">
        <v>3</v>
      </c>
      <c r="Q19" s="37"/>
      <c r="R19" s="37"/>
      <c r="S19" s="37"/>
      <c r="T19" s="37"/>
      <c r="U19" s="37"/>
      <c r="V19" s="33">
        <f t="shared" si="0"/>
        <v>0.15</v>
      </c>
      <c r="W19" s="33"/>
      <c r="X19" s="33"/>
    </row>
    <row r="20" s="7" customFormat="1" spans="1:25">
      <c r="A20" s="1" t="s">
        <v>23</v>
      </c>
      <c r="B20" s="1" t="s">
        <v>30</v>
      </c>
      <c r="C20" s="1">
        <v>1</v>
      </c>
      <c r="D20" s="7">
        <f t="shared" si="1"/>
        <v>5000</v>
      </c>
      <c r="E20" s="7">
        <f t="shared" si="2"/>
        <v>1500</v>
      </c>
      <c r="F20" s="7">
        <f t="shared" si="3"/>
        <v>1000</v>
      </c>
      <c r="G20" s="7">
        <v>0</v>
      </c>
      <c r="H20" s="7">
        <v>0</v>
      </c>
      <c r="I20" s="7">
        <v>0</v>
      </c>
      <c r="J20" s="36">
        <v>0</v>
      </c>
      <c r="K20" s="36">
        <v>0</v>
      </c>
      <c r="L20" s="36">
        <v>0</v>
      </c>
      <c r="M20" s="37">
        <v>0</v>
      </c>
      <c r="N20" s="37"/>
      <c r="O20" s="37"/>
      <c r="P20" s="37">
        <v>1</v>
      </c>
      <c r="Q20" s="37"/>
      <c r="R20" s="37"/>
      <c r="S20" s="34"/>
      <c r="V20" s="33">
        <f t="shared" si="0"/>
        <v>0.05</v>
      </c>
      <c r="W20" s="33"/>
      <c r="X20" s="33"/>
      <c r="Y20" s="2"/>
    </row>
    <row r="21" s="7" customFormat="1" spans="1:25">
      <c r="J21" s="34"/>
      <c r="M21" s="34"/>
      <c r="P21" s="34"/>
      <c r="S21" s="34"/>
      <c r="V21" s="1"/>
    </row>
    <row r="22" s="7" customFormat="1" spans="1:25">
      <c r="J22" s="38">
        <f>SUM(J10:J20)</f>
        <v>1.2</v>
      </c>
      <c r="K22" s="38"/>
      <c r="L22" s="38"/>
      <c r="M22" s="38">
        <f>SUM(M10:O20)</f>
        <v>1.6</v>
      </c>
      <c r="N22" s="38"/>
      <c r="O22" s="38"/>
      <c r="P22" s="38">
        <f>SUM(P10:R20)</f>
        <v>20</v>
      </c>
      <c r="Q22" s="38"/>
      <c r="R22" s="38"/>
      <c r="S22" s="38"/>
      <c r="T22" s="38"/>
      <c r="U22" s="38"/>
      <c r="V22" s="9"/>
      <c r="W22" s="9"/>
      <c r="X22" s="9"/>
    </row>
    <row r="23" s="7" customFormat="1"/>
    <row r="24" s="7" customFormat="1" spans="1:25">
      <c r="F24" s="7" t="s">
        <v>31</v>
      </c>
      <c r="G24" s="39">
        <f>J22+M22+P22</f>
        <v>22.8</v>
      </c>
      <c r="I24" s="7" t="s">
        <v>32</v>
      </c>
      <c r="J24" s="39">
        <f>S22</f>
        <v>0</v>
      </c>
      <c r="L24" s="7" t="s">
        <v>33</v>
      </c>
      <c r="M24" s="39">
        <f>J24+G24</f>
        <v>22.8</v>
      </c>
    </row>
    <row r="25" s="7" customFormat="1" spans="1:25">
      <c r="F25" s="7" t="s">
        <v>34</v>
      </c>
      <c r="K25" s="7" t="s">
        <v>35</v>
      </c>
      <c r="M25" s="7">
        <f>M24/6</f>
        <v>3.8</v>
      </c>
    </row>
    <row r="27" ht="21" customHeight="1" spans="1:25">
      <c r="B27" s="31" t="s">
        <v>36</v>
      </c>
    </row>
    <row r="28" spans="1:25">
      <c r="B28" s="7" t="s">
        <v>37</v>
      </c>
      <c r="C28" s="28" t="s">
        <v>38</v>
      </c>
    </row>
    <row r="29" spans="1:25">
      <c r="B29" s="28" t="s">
        <v>39</v>
      </c>
      <c r="C29" s="28" t="s">
        <v>40</v>
      </c>
    </row>
    <row r="30" spans="1:25">
      <c r="B30" s="28" t="s">
        <v>9</v>
      </c>
      <c r="C30" s="28" t="s">
        <v>41</v>
      </c>
    </row>
    <row r="31" spans="1:25">
      <c r="B31" s="28" t="s">
        <v>42</v>
      </c>
      <c r="C31" s="28" t="s">
        <v>43</v>
      </c>
    </row>
    <row r="32" spans="1:25">
      <c r="B32" s="28" t="s">
        <v>44</v>
      </c>
      <c r="C32" s="28" t="s">
        <v>45</v>
      </c>
    </row>
    <row r="33" spans="2:3">
      <c r="B33" s="28" t="s">
        <v>46</v>
      </c>
      <c r="C33" s="28" t="s">
        <v>47</v>
      </c>
    </row>
  </sheetData>
  <mergeCells count="48">
    <mergeCell ref="M8:O8"/>
    <mergeCell ref="P8:R8"/>
    <mergeCell ref="S8:U8"/>
    <mergeCell ref="V8:X8"/>
    <mergeCell ref="M9:O9"/>
    <mergeCell ref="V9:X9"/>
    <mergeCell ref="M10:O10"/>
    <mergeCell ref="P10:R10"/>
    <mergeCell ref="V10:X10"/>
    <mergeCell ref="M11:O11"/>
    <mergeCell ref="P11:R11"/>
    <mergeCell ref="V11:X11"/>
    <mergeCell ref="M12:O12"/>
    <mergeCell ref="P12:R12"/>
    <mergeCell ref="V12:X12"/>
    <mergeCell ref="M13:O13"/>
    <mergeCell ref="P13:R13"/>
    <mergeCell ref="V13:X13"/>
    <mergeCell ref="M14:O14"/>
    <mergeCell ref="P14:R14"/>
    <mergeCell ref="S14:U14"/>
    <mergeCell ref="V14:X14"/>
    <mergeCell ref="M15:O15"/>
    <mergeCell ref="P15:R15"/>
    <mergeCell ref="V15:X15"/>
    <mergeCell ref="M16:O16"/>
    <mergeCell ref="P16:R16"/>
    <mergeCell ref="V16:X16"/>
    <mergeCell ref="M17:O17"/>
    <mergeCell ref="P17:R17"/>
    <mergeCell ref="S17:U17"/>
    <mergeCell ref="V17:X17"/>
    <mergeCell ref="M18:O18"/>
    <mergeCell ref="P18:R18"/>
    <mergeCell ref="S18:U18"/>
    <mergeCell ref="V18:X18"/>
    <mergeCell ref="M19:O19"/>
    <mergeCell ref="P19:R19"/>
    <mergeCell ref="S19:U19"/>
    <mergeCell ref="V19:X19"/>
    <mergeCell ref="M20:O20"/>
    <mergeCell ref="P20:R20"/>
    <mergeCell ref="V20:X20"/>
    <mergeCell ref="J22:L22"/>
    <mergeCell ref="M22:O22"/>
    <mergeCell ref="P22:R22"/>
    <mergeCell ref="S22:U22"/>
    <mergeCell ref="V22:X22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C116"/>
  <sheetViews>
    <sheetView topLeftCell="A25" workbookViewId="0">
      <selection activeCell="G44" sqref="G44"/>
    </sheetView>
  </sheetViews>
  <sheetFormatPr defaultColWidth="9" defaultRowHeight="16.5" customHeight="1"/>
  <cols>
    <col min="1" max="1" width="9" style="7"/>
    <col min="2" max="2" width="16.1333333333333" style="7" customWidth="1"/>
    <col min="3" max="3" width="13.3666666666667" style="7" customWidth="1"/>
    <col min="4" max="7" width="13.5" style="7" customWidth="1"/>
    <col min="8" max="8" width="13.1333333333333" style="7" customWidth="1"/>
    <col min="9" max="10" width="15" style="7" customWidth="1"/>
    <col min="11" max="14" width="10.8666666666667" style="7" customWidth="1"/>
    <col min="15" max="15" width="15" style="7" customWidth="1"/>
    <col min="16" max="16" width="10.8666666666667" style="7" customWidth="1"/>
    <col min="17" max="17" width="15" style="7" customWidth="1"/>
    <col min="18" max="18" width="14.8666666666667" style="7" customWidth="1"/>
    <col min="19" max="19" width="15" style="7" customWidth="1"/>
    <col min="20" max="20" width="12.8666666666667" style="7" customWidth="1"/>
    <col min="21" max="21" width="15" style="7" customWidth="1"/>
    <col min="22" max="23" width="10.8666666666667" style="7" customWidth="1"/>
    <col min="24" max="24" width="15" style="7" customWidth="1"/>
    <col min="25" max="25" width="19.1333333333333" style="7" customWidth="1"/>
    <col min="26" max="26" width="15" style="7" customWidth="1"/>
    <col min="27" max="27" width="15.6333333333333" style="7" customWidth="1"/>
    <col min="28" max="29" width="15" style="7" customWidth="1"/>
    <col min="30" max="16384" width="9" style="7"/>
  </cols>
  <sheetData>
    <row r="2" ht="15" spans="2:9">
      <c r="B2" s="23" t="s">
        <v>48</v>
      </c>
      <c r="C2" s="23" t="s">
        <v>1</v>
      </c>
      <c r="D2" s="23" t="s">
        <v>2</v>
      </c>
      <c r="E2" s="23" t="s">
        <v>3</v>
      </c>
      <c r="I2" s="23" t="s">
        <v>49</v>
      </c>
    </row>
    <row r="3" spans="2:9">
      <c r="B3" s="1" t="s">
        <v>50</v>
      </c>
      <c r="C3" s="4">
        <v>1.2</v>
      </c>
      <c r="D3" s="4">
        <v>0.7</v>
      </c>
      <c r="E3" s="4">
        <v>1.1</v>
      </c>
      <c r="I3" s="7">
        <f t="shared" ref="I3:I11" si="0">SUM(C3:E3)</f>
        <v>3</v>
      </c>
    </row>
    <row r="4" spans="2:9">
      <c r="B4" s="1" t="s">
        <v>51</v>
      </c>
      <c r="C4" s="4">
        <v>1.4</v>
      </c>
      <c r="D4" s="4">
        <v>0.6</v>
      </c>
      <c r="E4" s="4">
        <v>1</v>
      </c>
      <c r="I4" s="7">
        <f t="shared" si="0"/>
        <v>3</v>
      </c>
    </row>
    <row r="5" spans="2:9">
      <c r="B5" s="1" t="s">
        <v>52</v>
      </c>
      <c r="C5" s="4">
        <v>1.2</v>
      </c>
      <c r="D5" s="4">
        <v>0.6</v>
      </c>
      <c r="E5" s="4">
        <v>1.2</v>
      </c>
      <c r="I5" s="7">
        <f t="shared" si="0"/>
        <v>3</v>
      </c>
    </row>
    <row r="6" spans="2:9">
      <c r="B6" s="1" t="s">
        <v>53</v>
      </c>
      <c r="C6" s="4">
        <v>0.9</v>
      </c>
      <c r="D6" s="4">
        <v>1.1</v>
      </c>
      <c r="E6" s="4">
        <v>1</v>
      </c>
      <c r="I6" s="7">
        <f t="shared" si="0"/>
        <v>3</v>
      </c>
    </row>
    <row r="7" spans="2:9">
      <c r="B7" s="1" t="s">
        <v>54</v>
      </c>
      <c r="C7" s="4">
        <v>1.05</v>
      </c>
      <c r="D7" s="4">
        <v>0.95</v>
      </c>
      <c r="E7" s="4">
        <v>1</v>
      </c>
      <c r="I7" s="7">
        <f t="shared" si="0"/>
        <v>3</v>
      </c>
    </row>
    <row r="8" spans="2:9">
      <c r="B8" s="1" t="s">
        <v>55</v>
      </c>
      <c r="C8" s="4">
        <v>0.8</v>
      </c>
      <c r="D8" s="4">
        <v>1.2</v>
      </c>
      <c r="E8" s="4">
        <v>1</v>
      </c>
      <c r="I8" s="7">
        <f t="shared" si="0"/>
        <v>3</v>
      </c>
    </row>
    <row r="9" spans="2:9">
      <c r="B9" s="1" t="s">
        <v>56</v>
      </c>
      <c r="C9" s="4">
        <v>1.1</v>
      </c>
      <c r="D9" s="4">
        <v>0.85</v>
      </c>
      <c r="E9" s="4">
        <v>1.05</v>
      </c>
      <c r="I9" s="7">
        <f t="shared" si="0"/>
        <v>3</v>
      </c>
    </row>
    <row r="10" spans="2:9">
      <c r="B10" s="1" t="s">
        <v>57</v>
      </c>
      <c r="C10" s="4">
        <v>1</v>
      </c>
      <c r="D10" s="4">
        <v>0.9</v>
      </c>
      <c r="E10" s="4">
        <v>1.1</v>
      </c>
      <c r="I10" s="7">
        <f t="shared" si="0"/>
        <v>3</v>
      </c>
    </row>
    <row r="11" spans="2:9">
      <c r="B11" s="1" t="s">
        <v>58</v>
      </c>
      <c r="C11" s="4">
        <v>1.2</v>
      </c>
      <c r="D11" s="4">
        <v>0.85</v>
      </c>
      <c r="E11" s="4">
        <v>0.95</v>
      </c>
      <c r="I11" s="7">
        <f t="shared" si="0"/>
        <v>3</v>
      </c>
    </row>
    <row r="12" spans="2:9">
      <c r="B12" s="1"/>
      <c r="C12" s="1"/>
      <c r="D12" s="1"/>
      <c r="E12" s="1"/>
    </row>
    <row r="13" spans="2:9">
      <c r="B13" s="23" t="s">
        <v>59</v>
      </c>
      <c r="C13" s="23" t="s">
        <v>60</v>
      </c>
      <c r="E13" s="1"/>
    </row>
    <row r="14" spans="2:9">
      <c r="B14" s="17" t="s">
        <v>61</v>
      </c>
      <c r="C14" s="18">
        <v>1</v>
      </c>
    </row>
    <row r="15" spans="2:9">
      <c r="B15" s="19" t="s">
        <v>62</v>
      </c>
      <c r="C15" s="18">
        <v>0.8</v>
      </c>
      <c r="E15" s="1"/>
    </row>
    <row r="16" spans="2:9">
      <c r="B16" s="20" t="s">
        <v>63</v>
      </c>
      <c r="C16" s="18">
        <v>0.7</v>
      </c>
      <c r="E16" s="1"/>
    </row>
    <row r="17" spans="1:29">
      <c r="E17" s="1"/>
    </row>
    <row r="18" spans="1:29">
      <c r="B18" s="23" t="s">
        <v>59</v>
      </c>
      <c r="C18" s="23" t="s">
        <v>64</v>
      </c>
      <c r="E18" s="1"/>
    </row>
    <row r="19" spans="1:29">
      <c r="B19" s="17" t="s">
        <v>61</v>
      </c>
      <c r="C19" s="18">
        <v>1</v>
      </c>
      <c r="E19" s="1"/>
    </row>
    <row r="20" spans="1:29">
      <c r="B20" s="19" t="s">
        <v>62</v>
      </c>
      <c r="C20" s="18">
        <v>0.75</v>
      </c>
      <c r="E20" s="1"/>
    </row>
    <row r="21" spans="1:29">
      <c r="B21" s="20" t="s">
        <v>63</v>
      </c>
      <c r="C21" s="18">
        <v>0.5</v>
      </c>
      <c r="D21" s="1"/>
      <c r="E21" s="1"/>
    </row>
    <row r="22" spans="1:29">
      <c r="B22" s="1"/>
      <c r="C22" s="1"/>
      <c r="D22" s="1"/>
      <c r="E22" s="1"/>
    </row>
    <row r="23" spans="1:29">
      <c r="B23" s="1"/>
      <c r="C23" s="1"/>
      <c r="D23" s="1"/>
      <c r="E23" s="1"/>
      <c r="I23" s="8" t="s">
        <v>65</v>
      </c>
    </row>
    <row r="24" spans="1:29">
      <c r="I24" s="7" t="s">
        <v>66</v>
      </c>
    </row>
    <row r="25" spans="1:29">
      <c r="I25" s="7" t="s">
        <v>67</v>
      </c>
      <c r="Q25" s="8" t="s">
        <v>68</v>
      </c>
      <c r="T25" s="8" t="s">
        <v>69</v>
      </c>
      <c r="X25" s="8" t="s">
        <v>70</v>
      </c>
      <c r="AB25" s="8" t="s">
        <v>24</v>
      </c>
    </row>
    <row r="26" ht="15" spans="1:29">
      <c r="A26" s="3" t="s">
        <v>71</v>
      </c>
      <c r="B26" s="3" t="s">
        <v>72</v>
      </c>
      <c r="C26" s="3" t="s">
        <v>73</v>
      </c>
      <c r="D26" s="3" t="s">
        <v>74</v>
      </c>
      <c r="F26" s="3" t="s">
        <v>75</v>
      </c>
      <c r="G26" s="3" t="s">
        <v>76</v>
      </c>
      <c r="H26" s="3" t="s">
        <v>77</v>
      </c>
      <c r="I26" s="3" t="s">
        <v>78</v>
      </c>
      <c r="J26" s="3" t="s">
        <v>79</v>
      </c>
      <c r="K26" s="3" t="s">
        <v>80</v>
      </c>
      <c r="L26" s="3" t="s">
        <v>81</v>
      </c>
      <c r="M26" s="3" t="s">
        <v>60</v>
      </c>
      <c r="N26" s="3" t="s">
        <v>82</v>
      </c>
      <c r="O26" s="3" t="s">
        <v>83</v>
      </c>
      <c r="P26" s="3" t="s">
        <v>84</v>
      </c>
      <c r="Q26" s="3" t="s">
        <v>85</v>
      </c>
      <c r="R26" s="3" t="s">
        <v>86</v>
      </c>
      <c r="S26" s="3" t="s">
        <v>87</v>
      </c>
      <c r="T26" s="3" t="s">
        <v>88</v>
      </c>
      <c r="U26" s="3" t="s">
        <v>89</v>
      </c>
      <c r="V26" s="3" t="s">
        <v>90</v>
      </c>
      <c r="W26" s="3" t="s">
        <v>91</v>
      </c>
      <c r="X26" s="3" t="s">
        <v>92</v>
      </c>
      <c r="Y26" s="3" t="s">
        <v>93</v>
      </c>
      <c r="Z26" s="3" t="s">
        <v>94</v>
      </c>
      <c r="AA26" s="3" t="s">
        <v>95</v>
      </c>
      <c r="AB26" s="3" t="s">
        <v>96</v>
      </c>
      <c r="AC26" s="3" t="s">
        <v>97</v>
      </c>
    </row>
    <row r="27" spans="1:29">
      <c r="A27" s="24">
        <v>1003</v>
      </c>
      <c r="B27" s="24" t="s">
        <v>98</v>
      </c>
      <c r="C27" s="17" t="s">
        <v>61</v>
      </c>
      <c r="D27" s="1" t="s">
        <v>51</v>
      </c>
      <c r="F27" s="7">
        <f t="shared" ref="F27:F64" si="1">VLOOKUP($D27,$B$3:$E$14,COLUMN(E$26)-COLUMN($C$26),0)</f>
        <v>1.4</v>
      </c>
      <c r="G27" s="7">
        <f t="shared" ref="G27:G64" si="2">VLOOKUP($D27,$B$3:$E$14,COLUMN(F$26)-COLUMN($C$26),0)</f>
        <v>0.6</v>
      </c>
      <c r="H27" s="7">
        <f t="shared" ref="H27:H64" si="3">VLOOKUP($D27,$B$3:$E$14,COLUMN(G$26)-COLUMN($C$26),0)</f>
        <v>1</v>
      </c>
      <c r="I27" s="18">
        <v>1.1</v>
      </c>
      <c r="J27" s="18">
        <v>1.02</v>
      </c>
      <c r="K27" s="18">
        <v>0.9</v>
      </c>
      <c r="L27" s="18">
        <f t="shared" ref="L27:L64" si="4">SUM(I27:K27)</f>
        <v>3.02</v>
      </c>
      <c r="M27" s="7">
        <f t="shared" ref="M27:M64" si="5">VLOOKUP(C27,$B$14:$C$16,2,0)</f>
        <v>1</v>
      </c>
      <c r="N27" s="7">
        <f t="shared" ref="N27:N64" si="6">I27*F27*$M27</f>
        <v>1.54</v>
      </c>
      <c r="O27" s="7">
        <f t="shared" ref="O27:O64" si="7">J27*G27*$M27</f>
        <v>0.612</v>
      </c>
      <c r="P27" s="7">
        <f t="shared" ref="P27:P64" si="8">K27*H27*$M27</f>
        <v>0.9</v>
      </c>
      <c r="Q27" s="18" t="s">
        <v>99</v>
      </c>
      <c r="R27" s="18" t="s">
        <v>100</v>
      </c>
      <c r="S27" s="18" t="s">
        <v>101</v>
      </c>
      <c r="T27" s="18">
        <f t="shared" ref="T27:T37" si="9">I27</f>
        <v>1.1</v>
      </c>
      <c r="U27" s="18">
        <f t="shared" ref="U27:U37" si="10">J27</f>
        <v>1.02</v>
      </c>
      <c r="V27" s="18">
        <f t="shared" ref="V27:V37" si="11">K27</f>
        <v>0.9</v>
      </c>
      <c r="W27" s="7">
        <f t="shared" ref="W27:W64" si="12">VLOOKUP(C27,$B$19:$C$21,2,0)</f>
        <v>1</v>
      </c>
      <c r="X27" s="7">
        <f t="shared" ref="X27:X64" si="13">F27*T27*$W27</f>
        <v>1.54</v>
      </c>
      <c r="Y27" s="7">
        <f t="shared" ref="Y27:Y64" si="14">G27*U27*$W27</f>
        <v>0.612</v>
      </c>
      <c r="Z27" s="7">
        <f t="shared" ref="Z27:Z64" si="15">H27*V27*$W27</f>
        <v>0.9</v>
      </c>
      <c r="AA27" s="18" t="s">
        <v>99</v>
      </c>
      <c r="AB27" s="18" t="s">
        <v>102</v>
      </c>
      <c r="AC27" s="18" t="s">
        <v>103</v>
      </c>
    </row>
    <row r="28" spans="1:29">
      <c r="A28" s="1">
        <v>1005</v>
      </c>
      <c r="B28" s="1" t="s">
        <v>104</v>
      </c>
      <c r="C28" s="17" t="s">
        <v>61</v>
      </c>
      <c r="D28" s="1" t="s">
        <v>53</v>
      </c>
      <c r="F28" s="7">
        <f t="shared" si="1"/>
        <v>0.9</v>
      </c>
      <c r="G28" s="7">
        <f t="shared" si="2"/>
        <v>1.1</v>
      </c>
      <c r="H28" s="7">
        <f t="shared" si="3"/>
        <v>1</v>
      </c>
      <c r="I28" s="18">
        <v>1.05</v>
      </c>
      <c r="J28" s="18">
        <v>1</v>
      </c>
      <c r="K28" s="18">
        <v>1</v>
      </c>
      <c r="L28" s="18">
        <f t="shared" si="4"/>
        <v>3.05</v>
      </c>
      <c r="M28" s="7">
        <f t="shared" si="5"/>
        <v>1</v>
      </c>
      <c r="N28" s="7">
        <f t="shared" si="6"/>
        <v>0.945</v>
      </c>
      <c r="O28" s="7">
        <f t="shared" si="7"/>
        <v>1.1</v>
      </c>
      <c r="P28" s="7">
        <f t="shared" si="8"/>
        <v>1</v>
      </c>
      <c r="Q28" s="18" t="s">
        <v>100</v>
      </c>
      <c r="R28" s="18" t="s">
        <v>103</v>
      </c>
      <c r="S28" s="18" t="s">
        <v>105</v>
      </c>
      <c r="T28" s="18">
        <f t="shared" si="9"/>
        <v>1.05</v>
      </c>
      <c r="U28" s="18">
        <f t="shared" si="10"/>
        <v>1</v>
      </c>
      <c r="V28" s="18">
        <f t="shared" si="11"/>
        <v>1</v>
      </c>
      <c r="W28" s="7">
        <f t="shared" si="12"/>
        <v>1</v>
      </c>
      <c r="X28" s="7">
        <f t="shared" si="13"/>
        <v>0.945</v>
      </c>
      <c r="Y28" s="7">
        <f t="shared" si="14"/>
        <v>1.1</v>
      </c>
      <c r="Z28" s="7">
        <f t="shared" si="15"/>
        <v>1</v>
      </c>
      <c r="AA28" s="18" t="s">
        <v>106</v>
      </c>
      <c r="AB28" s="18" t="s">
        <v>107</v>
      </c>
      <c r="AC28" s="18" t="s">
        <v>108</v>
      </c>
    </row>
    <row r="29" spans="1:29">
      <c r="A29" s="1">
        <v>1006</v>
      </c>
      <c r="B29" s="1" t="s">
        <v>109</v>
      </c>
      <c r="C29" s="17" t="s">
        <v>61</v>
      </c>
      <c r="D29" s="1" t="s">
        <v>55</v>
      </c>
      <c r="F29" s="7">
        <f t="shared" si="1"/>
        <v>0.8</v>
      </c>
      <c r="G29" s="7">
        <f t="shared" si="2"/>
        <v>1.2</v>
      </c>
      <c r="H29" s="7">
        <f t="shared" si="3"/>
        <v>1</v>
      </c>
      <c r="I29" s="18">
        <v>1</v>
      </c>
      <c r="J29" s="18">
        <v>1.02</v>
      </c>
      <c r="K29" s="18">
        <v>0.98</v>
      </c>
      <c r="L29" s="18">
        <f t="shared" si="4"/>
        <v>3</v>
      </c>
      <c r="M29" s="7">
        <f t="shared" si="5"/>
        <v>1</v>
      </c>
      <c r="N29" s="7">
        <f t="shared" si="6"/>
        <v>0.8</v>
      </c>
      <c r="O29" s="7">
        <f t="shared" si="7"/>
        <v>1.224</v>
      </c>
      <c r="P29" s="7">
        <f t="shared" si="8"/>
        <v>0.98</v>
      </c>
      <c r="Q29" s="18" t="s">
        <v>100</v>
      </c>
      <c r="R29" s="18" t="s">
        <v>106</v>
      </c>
      <c r="S29" s="18" t="s">
        <v>101</v>
      </c>
      <c r="T29" s="18">
        <f t="shared" si="9"/>
        <v>1</v>
      </c>
      <c r="U29" s="18">
        <f t="shared" si="10"/>
        <v>1.02</v>
      </c>
      <c r="V29" s="18">
        <f t="shared" si="11"/>
        <v>0.98</v>
      </c>
      <c r="W29" s="7">
        <f t="shared" si="12"/>
        <v>1</v>
      </c>
      <c r="X29" s="7">
        <f t="shared" si="13"/>
        <v>0.8</v>
      </c>
      <c r="Y29" s="7">
        <f t="shared" si="14"/>
        <v>1.224</v>
      </c>
      <c r="Z29" s="7">
        <f t="shared" si="15"/>
        <v>0.98</v>
      </c>
      <c r="AA29" s="18" t="s">
        <v>108</v>
      </c>
      <c r="AB29" s="18" t="s">
        <v>107</v>
      </c>
      <c r="AC29" s="18" t="s">
        <v>106</v>
      </c>
    </row>
    <row r="30" spans="1:29">
      <c r="A30" s="1">
        <v>1007</v>
      </c>
      <c r="B30" s="1" t="s">
        <v>110</v>
      </c>
      <c r="C30" s="17" t="s">
        <v>61</v>
      </c>
      <c r="D30" s="1" t="s">
        <v>57</v>
      </c>
      <c r="F30" s="7">
        <f t="shared" si="1"/>
        <v>1</v>
      </c>
      <c r="G30" s="7">
        <f t="shared" si="2"/>
        <v>0.9</v>
      </c>
      <c r="H30" s="7">
        <f t="shared" si="3"/>
        <v>1.1</v>
      </c>
      <c r="I30" s="18">
        <v>0.9</v>
      </c>
      <c r="J30" s="18">
        <v>1</v>
      </c>
      <c r="K30" s="18">
        <v>1</v>
      </c>
      <c r="L30" s="18">
        <f t="shared" si="4"/>
        <v>2.9</v>
      </c>
      <c r="M30" s="7">
        <f t="shared" si="5"/>
        <v>1</v>
      </c>
      <c r="N30" s="7">
        <f t="shared" si="6"/>
        <v>0.9</v>
      </c>
      <c r="O30" s="7">
        <f t="shared" si="7"/>
        <v>0.9</v>
      </c>
      <c r="P30" s="7">
        <f t="shared" si="8"/>
        <v>1.1</v>
      </c>
      <c r="Q30" s="18" t="s">
        <v>100</v>
      </c>
      <c r="R30" s="18" t="s">
        <v>105</v>
      </c>
      <c r="S30" s="18" t="s">
        <v>111</v>
      </c>
      <c r="T30" s="18">
        <f t="shared" si="9"/>
        <v>0.9</v>
      </c>
      <c r="U30" s="18">
        <f t="shared" si="10"/>
        <v>1</v>
      </c>
      <c r="V30" s="18">
        <f t="shared" si="11"/>
        <v>1</v>
      </c>
      <c r="W30" s="7">
        <f t="shared" si="12"/>
        <v>1</v>
      </c>
      <c r="X30" s="7">
        <f t="shared" si="13"/>
        <v>0.9</v>
      </c>
      <c r="Y30" s="7">
        <f t="shared" si="14"/>
        <v>0.9</v>
      </c>
      <c r="Z30" s="7">
        <f t="shared" si="15"/>
        <v>1.1</v>
      </c>
      <c r="AA30" s="18" t="s">
        <v>100</v>
      </c>
      <c r="AB30" s="18" t="s">
        <v>102</v>
      </c>
      <c r="AC30" s="18" t="s">
        <v>105</v>
      </c>
    </row>
    <row r="31" spans="1:29">
      <c r="A31" s="1">
        <v>1017</v>
      </c>
      <c r="B31" s="1" t="s">
        <v>112</v>
      </c>
      <c r="C31" s="17" t="s">
        <v>61</v>
      </c>
      <c r="D31" s="1" t="s">
        <v>53</v>
      </c>
      <c r="F31" s="7">
        <f t="shared" si="1"/>
        <v>0.9</v>
      </c>
      <c r="G31" s="7">
        <f t="shared" si="2"/>
        <v>1.1</v>
      </c>
      <c r="H31" s="7">
        <f t="shared" si="3"/>
        <v>1</v>
      </c>
      <c r="I31" s="18">
        <v>1.15</v>
      </c>
      <c r="J31" s="18">
        <v>0.9</v>
      </c>
      <c r="K31" s="18">
        <v>1</v>
      </c>
      <c r="L31" s="18">
        <f t="shared" si="4"/>
        <v>3.05</v>
      </c>
      <c r="M31" s="7">
        <f t="shared" si="5"/>
        <v>1</v>
      </c>
      <c r="N31" s="7">
        <f t="shared" si="6"/>
        <v>1.035</v>
      </c>
      <c r="O31" s="7">
        <f t="shared" si="7"/>
        <v>0.99</v>
      </c>
      <c r="P31" s="7">
        <f t="shared" si="8"/>
        <v>1</v>
      </c>
      <c r="Q31" s="18" t="s">
        <v>100</v>
      </c>
      <c r="R31" s="18" t="s">
        <v>106</v>
      </c>
      <c r="S31" s="18" t="s">
        <v>101</v>
      </c>
      <c r="T31" s="18">
        <f t="shared" si="9"/>
        <v>1.15</v>
      </c>
      <c r="U31" s="18">
        <f t="shared" si="10"/>
        <v>0.9</v>
      </c>
      <c r="V31" s="18">
        <f t="shared" si="11"/>
        <v>1</v>
      </c>
      <c r="W31" s="7">
        <f t="shared" si="12"/>
        <v>1</v>
      </c>
      <c r="X31" s="7">
        <f t="shared" si="13"/>
        <v>1.035</v>
      </c>
      <c r="Y31" s="7">
        <f t="shared" si="14"/>
        <v>0.99</v>
      </c>
      <c r="Z31" s="7">
        <f t="shared" si="15"/>
        <v>1</v>
      </c>
      <c r="AA31" s="18" t="s">
        <v>100</v>
      </c>
      <c r="AB31" s="18" t="s">
        <v>102</v>
      </c>
      <c r="AC31" s="18" t="s">
        <v>108</v>
      </c>
    </row>
    <row r="32" spans="1:29">
      <c r="A32" s="1">
        <v>1009</v>
      </c>
      <c r="B32" s="1" t="s">
        <v>113</v>
      </c>
      <c r="C32" s="17" t="s">
        <v>61</v>
      </c>
      <c r="D32" s="1" t="s">
        <v>55</v>
      </c>
      <c r="F32" s="7">
        <f t="shared" si="1"/>
        <v>0.8</v>
      </c>
      <c r="G32" s="7">
        <f t="shared" si="2"/>
        <v>1.2</v>
      </c>
      <c r="H32" s="7">
        <f t="shared" si="3"/>
        <v>1</v>
      </c>
      <c r="I32" s="18">
        <v>1.05</v>
      </c>
      <c r="J32" s="18">
        <v>1</v>
      </c>
      <c r="K32" s="18">
        <v>0.99</v>
      </c>
      <c r="L32" s="18">
        <f t="shared" si="4"/>
        <v>3.04</v>
      </c>
      <c r="M32" s="7">
        <f t="shared" si="5"/>
        <v>1</v>
      </c>
      <c r="N32" s="7">
        <f t="shared" si="6"/>
        <v>0.84</v>
      </c>
      <c r="O32" s="7">
        <f t="shared" si="7"/>
        <v>1.2</v>
      </c>
      <c r="P32" s="7">
        <f t="shared" si="8"/>
        <v>0.99</v>
      </c>
      <c r="Q32" s="18" t="s">
        <v>100</v>
      </c>
      <c r="R32" s="18" t="s">
        <v>106</v>
      </c>
      <c r="S32" s="18" t="s">
        <v>101</v>
      </c>
      <c r="T32" s="18">
        <f t="shared" si="9"/>
        <v>1.05</v>
      </c>
      <c r="U32" s="18">
        <f t="shared" si="10"/>
        <v>1</v>
      </c>
      <c r="V32" s="18">
        <f t="shared" si="11"/>
        <v>0.99</v>
      </c>
      <c r="W32" s="7">
        <f t="shared" si="12"/>
        <v>1</v>
      </c>
      <c r="X32" s="7">
        <f t="shared" si="13"/>
        <v>0.84</v>
      </c>
      <c r="Y32" s="7">
        <f t="shared" si="14"/>
        <v>1.2</v>
      </c>
      <c r="Z32" s="7">
        <f t="shared" si="15"/>
        <v>0.99</v>
      </c>
      <c r="AA32" s="18" t="s">
        <v>106</v>
      </c>
      <c r="AB32" s="18" t="s">
        <v>102</v>
      </c>
      <c r="AC32" s="18" t="s">
        <v>101</v>
      </c>
    </row>
    <row r="33" spans="1:29">
      <c r="A33" s="1">
        <v>1013</v>
      </c>
      <c r="B33" s="1" t="s">
        <v>114</v>
      </c>
      <c r="C33" s="17" t="s">
        <v>61</v>
      </c>
      <c r="D33" s="1" t="s">
        <v>54</v>
      </c>
      <c r="F33" s="7">
        <f t="shared" si="1"/>
        <v>1.05</v>
      </c>
      <c r="G33" s="7">
        <f t="shared" si="2"/>
        <v>0.95</v>
      </c>
      <c r="H33" s="7">
        <f t="shared" si="3"/>
        <v>1</v>
      </c>
      <c r="I33" s="18">
        <v>1.3</v>
      </c>
      <c r="J33" s="18">
        <v>1</v>
      </c>
      <c r="K33" s="18">
        <v>0.8</v>
      </c>
      <c r="L33" s="18">
        <f t="shared" si="4"/>
        <v>3.1</v>
      </c>
      <c r="M33" s="7">
        <f t="shared" si="5"/>
        <v>1</v>
      </c>
      <c r="N33" s="7">
        <f t="shared" si="6"/>
        <v>1.365</v>
      </c>
      <c r="O33" s="7">
        <f t="shared" si="7"/>
        <v>0.95</v>
      </c>
      <c r="P33" s="7">
        <f t="shared" si="8"/>
        <v>0.8</v>
      </c>
      <c r="Q33" s="18" t="s">
        <v>100</v>
      </c>
      <c r="R33" s="18" t="s">
        <v>103</v>
      </c>
      <c r="S33" s="18" t="s">
        <v>99</v>
      </c>
      <c r="T33" s="18">
        <f t="shared" si="9"/>
        <v>1.3</v>
      </c>
      <c r="U33" s="18">
        <f t="shared" si="10"/>
        <v>1</v>
      </c>
      <c r="V33" s="18">
        <f t="shared" si="11"/>
        <v>0.8</v>
      </c>
      <c r="W33" s="7">
        <f t="shared" si="12"/>
        <v>1</v>
      </c>
      <c r="X33" s="7">
        <f t="shared" si="13"/>
        <v>1.365</v>
      </c>
      <c r="Y33" s="7">
        <f t="shared" si="14"/>
        <v>0.95</v>
      </c>
      <c r="Z33" s="7">
        <f t="shared" si="15"/>
        <v>0.8</v>
      </c>
      <c r="AA33" s="18" t="s">
        <v>100</v>
      </c>
      <c r="AB33" s="18" t="s">
        <v>102</v>
      </c>
      <c r="AC33" s="18" t="s">
        <v>105</v>
      </c>
    </row>
    <row r="34" spans="1:29">
      <c r="A34" s="1">
        <v>1016</v>
      </c>
      <c r="B34" s="1" t="s">
        <v>115</v>
      </c>
      <c r="C34" s="17" t="s">
        <v>61</v>
      </c>
      <c r="D34" s="1" t="s">
        <v>51</v>
      </c>
      <c r="F34" s="7">
        <f t="shared" si="1"/>
        <v>1.4</v>
      </c>
      <c r="G34" s="7">
        <f t="shared" si="2"/>
        <v>0.6</v>
      </c>
      <c r="H34" s="7">
        <f t="shared" si="3"/>
        <v>1</v>
      </c>
      <c r="I34" s="18">
        <v>1</v>
      </c>
      <c r="J34" s="18">
        <v>1</v>
      </c>
      <c r="K34" s="18">
        <v>1.05</v>
      </c>
      <c r="L34" s="18">
        <f t="shared" si="4"/>
        <v>3.05</v>
      </c>
      <c r="M34" s="7">
        <f t="shared" si="5"/>
        <v>1</v>
      </c>
      <c r="N34" s="7">
        <f t="shared" si="6"/>
        <v>1.4</v>
      </c>
      <c r="O34" s="7">
        <f t="shared" si="7"/>
        <v>0.6</v>
      </c>
      <c r="P34" s="7">
        <f t="shared" si="8"/>
        <v>1.05</v>
      </c>
      <c r="Q34" s="18" t="s">
        <v>99</v>
      </c>
      <c r="R34" s="18" t="s">
        <v>116</v>
      </c>
      <c r="S34" s="18" t="s">
        <v>111</v>
      </c>
      <c r="T34" s="18">
        <f t="shared" si="9"/>
        <v>1</v>
      </c>
      <c r="U34" s="18">
        <f t="shared" si="10"/>
        <v>1</v>
      </c>
      <c r="V34" s="18">
        <f t="shared" si="11"/>
        <v>1.05</v>
      </c>
      <c r="W34" s="7">
        <f t="shared" si="12"/>
        <v>1</v>
      </c>
      <c r="X34" s="7">
        <f t="shared" si="13"/>
        <v>1.4</v>
      </c>
      <c r="Y34" s="7">
        <f t="shared" si="14"/>
        <v>0.6</v>
      </c>
      <c r="Z34" s="7">
        <f t="shared" si="15"/>
        <v>1.05</v>
      </c>
      <c r="AA34" s="18" t="s">
        <v>99</v>
      </c>
      <c r="AB34" s="18" t="s">
        <v>111</v>
      </c>
      <c r="AC34" s="18" t="s">
        <v>107</v>
      </c>
    </row>
    <row r="35" spans="1:29">
      <c r="A35" s="1">
        <v>1032</v>
      </c>
      <c r="B35" s="1" t="s">
        <v>117</v>
      </c>
      <c r="C35" s="17" t="s">
        <v>61</v>
      </c>
      <c r="D35" s="1" t="s">
        <v>54</v>
      </c>
      <c r="F35" s="7">
        <f t="shared" si="1"/>
        <v>1.05</v>
      </c>
      <c r="G35" s="7">
        <f t="shared" si="2"/>
        <v>0.95</v>
      </c>
      <c r="H35" s="7">
        <f t="shared" si="3"/>
        <v>1</v>
      </c>
      <c r="I35" s="18">
        <v>0.95</v>
      </c>
      <c r="J35" s="18">
        <v>1.05</v>
      </c>
      <c r="K35" s="18">
        <v>0.95</v>
      </c>
      <c r="L35" s="18">
        <f t="shared" si="4"/>
        <v>2.95</v>
      </c>
      <c r="M35" s="7">
        <f t="shared" si="5"/>
        <v>1</v>
      </c>
      <c r="N35" s="7">
        <f t="shared" si="6"/>
        <v>0.9975</v>
      </c>
      <c r="O35" s="7">
        <f t="shared" si="7"/>
        <v>0.9975</v>
      </c>
      <c r="P35" s="7">
        <f t="shared" si="8"/>
        <v>0.95</v>
      </c>
      <c r="Q35" s="18" t="s">
        <v>100</v>
      </c>
      <c r="R35" s="18" t="s">
        <v>106</v>
      </c>
      <c r="S35" s="18" t="s">
        <v>111</v>
      </c>
      <c r="T35" s="18">
        <f t="shared" si="9"/>
        <v>0.95</v>
      </c>
      <c r="U35" s="18">
        <f t="shared" si="10"/>
        <v>1.05</v>
      </c>
      <c r="V35" s="18">
        <f t="shared" si="11"/>
        <v>0.95</v>
      </c>
      <c r="W35" s="7">
        <f t="shared" si="12"/>
        <v>1</v>
      </c>
      <c r="X35" s="7">
        <f t="shared" si="13"/>
        <v>0.9975</v>
      </c>
      <c r="Y35" s="7">
        <f t="shared" si="14"/>
        <v>0.9975</v>
      </c>
      <c r="Z35" s="7">
        <f t="shared" si="15"/>
        <v>0.95</v>
      </c>
      <c r="AA35" s="18" t="s">
        <v>100</v>
      </c>
      <c r="AB35" s="18" t="s">
        <v>107</v>
      </c>
      <c r="AC35" s="18" t="s">
        <v>106</v>
      </c>
    </row>
    <row r="36" spans="1:29">
      <c r="A36" s="1">
        <v>1033</v>
      </c>
      <c r="B36" s="1" t="s">
        <v>118</v>
      </c>
      <c r="C36" s="17" t="s">
        <v>61</v>
      </c>
      <c r="D36" s="1" t="s">
        <v>57</v>
      </c>
      <c r="F36" s="7">
        <f t="shared" si="1"/>
        <v>1</v>
      </c>
      <c r="G36" s="7">
        <f t="shared" si="2"/>
        <v>0.9</v>
      </c>
      <c r="H36" s="7">
        <f t="shared" si="3"/>
        <v>1.1</v>
      </c>
      <c r="I36" s="18">
        <v>1.1</v>
      </c>
      <c r="J36" s="18">
        <v>0.95</v>
      </c>
      <c r="K36" s="18">
        <v>1</v>
      </c>
      <c r="L36" s="18">
        <f t="shared" si="4"/>
        <v>3.05</v>
      </c>
      <c r="M36" s="7">
        <f t="shared" si="5"/>
        <v>1</v>
      </c>
      <c r="N36" s="7">
        <f t="shared" si="6"/>
        <v>1.1</v>
      </c>
      <c r="O36" s="7">
        <f t="shared" si="7"/>
        <v>0.855</v>
      </c>
      <c r="P36" s="7">
        <f t="shared" si="8"/>
        <v>1.1</v>
      </c>
      <c r="Q36" s="18" t="s">
        <v>100</v>
      </c>
      <c r="R36" s="18" t="s">
        <v>119</v>
      </c>
      <c r="S36" s="18" t="s">
        <v>101</v>
      </c>
      <c r="T36" s="18">
        <f t="shared" si="9"/>
        <v>1.1</v>
      </c>
      <c r="U36" s="18">
        <f t="shared" si="10"/>
        <v>0.95</v>
      </c>
      <c r="V36" s="18">
        <f t="shared" si="11"/>
        <v>1</v>
      </c>
      <c r="W36" s="7">
        <f t="shared" si="12"/>
        <v>1</v>
      </c>
      <c r="X36" s="7">
        <f t="shared" si="13"/>
        <v>1.1</v>
      </c>
      <c r="Y36" s="7">
        <f t="shared" si="14"/>
        <v>0.855</v>
      </c>
      <c r="Z36" s="7">
        <f t="shared" si="15"/>
        <v>1.1</v>
      </c>
      <c r="AA36" s="18" t="s">
        <v>119</v>
      </c>
      <c r="AB36" s="18" t="s">
        <v>102</v>
      </c>
      <c r="AC36" s="25" t="s">
        <v>119</v>
      </c>
    </row>
    <row r="37" spans="1:29">
      <c r="A37" s="1">
        <v>1034</v>
      </c>
      <c r="B37" s="1" t="s">
        <v>120</v>
      </c>
      <c r="C37" s="17" t="s">
        <v>61</v>
      </c>
      <c r="D37" s="1" t="s">
        <v>50</v>
      </c>
      <c r="F37" s="7">
        <f t="shared" si="1"/>
        <v>1.2</v>
      </c>
      <c r="G37" s="7">
        <f t="shared" si="2"/>
        <v>0.7</v>
      </c>
      <c r="H37" s="7">
        <f t="shared" si="3"/>
        <v>1.1</v>
      </c>
      <c r="I37" s="18">
        <v>0.85</v>
      </c>
      <c r="J37" s="18">
        <v>1.15</v>
      </c>
      <c r="K37" s="18">
        <v>1</v>
      </c>
      <c r="L37" s="18">
        <f t="shared" si="4"/>
        <v>3</v>
      </c>
      <c r="M37" s="7">
        <f t="shared" si="5"/>
        <v>1</v>
      </c>
      <c r="N37" s="7">
        <f t="shared" si="6"/>
        <v>1.02</v>
      </c>
      <c r="O37" s="7">
        <f t="shared" si="7"/>
        <v>0.805</v>
      </c>
      <c r="P37" s="7">
        <f t="shared" si="8"/>
        <v>1.1</v>
      </c>
      <c r="Q37" s="18" t="s">
        <v>100</v>
      </c>
      <c r="R37" s="18" t="s">
        <v>106</v>
      </c>
      <c r="S37" s="18" t="s">
        <v>103</v>
      </c>
      <c r="T37" s="18">
        <f t="shared" si="9"/>
        <v>0.85</v>
      </c>
      <c r="U37" s="18">
        <f t="shared" si="10"/>
        <v>1.15</v>
      </c>
      <c r="V37" s="18">
        <f t="shared" si="11"/>
        <v>1</v>
      </c>
      <c r="W37" s="7">
        <f t="shared" si="12"/>
        <v>1</v>
      </c>
      <c r="X37" s="7">
        <f t="shared" si="13"/>
        <v>1.02</v>
      </c>
      <c r="Y37" s="7">
        <f t="shared" si="14"/>
        <v>0.805</v>
      </c>
      <c r="Z37" s="7">
        <f t="shared" si="15"/>
        <v>1.1</v>
      </c>
      <c r="AA37" s="18" t="s">
        <v>106</v>
      </c>
      <c r="AB37" s="18" t="s">
        <v>107</v>
      </c>
      <c r="AC37" s="18" t="s">
        <v>103</v>
      </c>
    </row>
    <row r="38" spans="1:29">
      <c r="A38" s="1">
        <v>1001</v>
      </c>
      <c r="B38" s="1" t="s">
        <v>121</v>
      </c>
      <c r="C38" s="19" t="s">
        <v>62</v>
      </c>
      <c r="D38" s="1" t="s">
        <v>53</v>
      </c>
      <c r="F38" s="7">
        <f t="shared" si="1"/>
        <v>0.9</v>
      </c>
      <c r="G38" s="7">
        <f t="shared" si="2"/>
        <v>1.1</v>
      </c>
      <c r="H38" s="7">
        <f t="shared" si="3"/>
        <v>1</v>
      </c>
      <c r="I38" s="18">
        <v>1</v>
      </c>
      <c r="J38" s="18">
        <v>1</v>
      </c>
      <c r="K38" s="18">
        <v>1</v>
      </c>
      <c r="L38" s="18">
        <f t="shared" si="4"/>
        <v>3</v>
      </c>
      <c r="M38" s="7">
        <f t="shared" si="5"/>
        <v>0.8</v>
      </c>
      <c r="N38" s="7">
        <f t="shared" si="6"/>
        <v>0.72</v>
      </c>
      <c r="O38" s="7">
        <f t="shared" si="7"/>
        <v>0.88</v>
      </c>
      <c r="P38" s="7">
        <f t="shared" si="8"/>
        <v>0.8</v>
      </c>
      <c r="Q38" s="18" t="s">
        <v>100</v>
      </c>
      <c r="R38" s="18" t="s">
        <v>103</v>
      </c>
      <c r="S38" s="18" t="s">
        <v>105</v>
      </c>
      <c r="T38" s="18">
        <v>1</v>
      </c>
      <c r="U38" s="18">
        <v>1</v>
      </c>
      <c r="V38" s="18">
        <v>1</v>
      </c>
      <c r="W38" s="7">
        <f t="shared" si="12"/>
        <v>0.75</v>
      </c>
      <c r="X38" s="7">
        <f t="shared" si="13"/>
        <v>0.675</v>
      </c>
      <c r="Y38" s="7">
        <f t="shared" si="14"/>
        <v>0.825</v>
      </c>
      <c r="Z38" s="7">
        <f t="shared" si="15"/>
        <v>0.75</v>
      </c>
      <c r="AA38" s="18" t="s">
        <v>122</v>
      </c>
      <c r="AB38" s="18" t="s">
        <v>107</v>
      </c>
      <c r="AC38" s="18" t="s">
        <v>105</v>
      </c>
    </row>
    <row r="39" spans="1:29">
      <c r="A39" s="1">
        <v>1002</v>
      </c>
      <c r="B39" s="1" t="s">
        <v>123</v>
      </c>
      <c r="C39" s="19" t="s">
        <v>62</v>
      </c>
      <c r="D39" s="1" t="s">
        <v>51</v>
      </c>
      <c r="F39" s="7">
        <f t="shared" si="1"/>
        <v>1.4</v>
      </c>
      <c r="G39" s="7">
        <f t="shared" si="2"/>
        <v>0.6</v>
      </c>
      <c r="H39" s="7">
        <f t="shared" si="3"/>
        <v>1</v>
      </c>
      <c r="I39" s="18">
        <v>1</v>
      </c>
      <c r="J39" s="18">
        <v>1</v>
      </c>
      <c r="K39" s="18">
        <v>1</v>
      </c>
      <c r="L39" s="18">
        <f t="shared" si="4"/>
        <v>3</v>
      </c>
      <c r="M39" s="7">
        <f t="shared" si="5"/>
        <v>0.8</v>
      </c>
      <c r="N39" s="7">
        <f t="shared" si="6"/>
        <v>1.12</v>
      </c>
      <c r="O39" s="7">
        <f t="shared" si="7"/>
        <v>0.48</v>
      </c>
      <c r="P39" s="7">
        <f t="shared" si="8"/>
        <v>0.8</v>
      </c>
      <c r="Q39" s="18" t="s">
        <v>116</v>
      </c>
      <c r="R39" s="18" t="s">
        <v>99</v>
      </c>
      <c r="S39" s="18" t="s">
        <v>101</v>
      </c>
      <c r="T39" s="18">
        <v>1</v>
      </c>
      <c r="U39" s="18">
        <v>1</v>
      </c>
      <c r="V39" s="18">
        <v>1</v>
      </c>
      <c r="W39" s="7">
        <f t="shared" si="12"/>
        <v>0.75</v>
      </c>
      <c r="X39" s="7">
        <f t="shared" si="13"/>
        <v>1.05</v>
      </c>
      <c r="Y39" s="7">
        <f t="shared" si="14"/>
        <v>0.45</v>
      </c>
      <c r="Z39" s="7">
        <f t="shared" si="15"/>
        <v>0.75</v>
      </c>
      <c r="AA39" s="18" t="s">
        <v>116</v>
      </c>
      <c r="AB39" s="18" t="s">
        <v>111</v>
      </c>
      <c r="AC39" s="18" t="s">
        <v>101</v>
      </c>
    </row>
    <row r="40" spans="1:29">
      <c r="A40" s="1">
        <v>1004</v>
      </c>
      <c r="B40" s="1" t="s">
        <v>124</v>
      </c>
      <c r="C40" s="17" t="s">
        <v>61</v>
      </c>
      <c r="D40" s="1" t="s">
        <v>50</v>
      </c>
      <c r="F40" s="7">
        <f t="shared" si="1"/>
        <v>1.2</v>
      </c>
      <c r="G40" s="7">
        <f t="shared" si="2"/>
        <v>0.7</v>
      </c>
      <c r="H40" s="7">
        <f t="shared" si="3"/>
        <v>1.1</v>
      </c>
      <c r="I40" s="18">
        <v>0.99</v>
      </c>
      <c r="J40" s="18">
        <v>1.01</v>
      </c>
      <c r="K40" s="18">
        <v>0.95</v>
      </c>
      <c r="L40" s="18">
        <f t="shared" si="4"/>
        <v>2.95</v>
      </c>
      <c r="M40" s="7">
        <f t="shared" si="5"/>
        <v>1</v>
      </c>
      <c r="N40" s="7">
        <f t="shared" si="6"/>
        <v>1.188</v>
      </c>
      <c r="O40" s="7">
        <f t="shared" si="7"/>
        <v>0.707</v>
      </c>
      <c r="P40" s="7">
        <f t="shared" si="8"/>
        <v>1.045</v>
      </c>
      <c r="Q40" s="18" t="s">
        <v>100</v>
      </c>
      <c r="R40" s="18" t="s">
        <v>108</v>
      </c>
      <c r="S40" s="18" t="s">
        <v>103</v>
      </c>
      <c r="T40" s="18">
        <f>I40</f>
        <v>0.99</v>
      </c>
      <c r="U40" s="18">
        <f>J40</f>
        <v>1.01</v>
      </c>
      <c r="V40" s="18">
        <f>K40</f>
        <v>0.95</v>
      </c>
      <c r="W40" s="7">
        <f t="shared" si="12"/>
        <v>1</v>
      </c>
      <c r="X40" s="7">
        <f t="shared" si="13"/>
        <v>1.188</v>
      </c>
      <c r="Y40" s="7">
        <f t="shared" si="14"/>
        <v>0.707</v>
      </c>
      <c r="Z40" s="7">
        <f t="shared" si="15"/>
        <v>1.045</v>
      </c>
      <c r="AA40" s="18" t="s">
        <v>100</v>
      </c>
      <c r="AB40" s="18" t="s">
        <v>102</v>
      </c>
      <c r="AC40" s="18" t="s">
        <v>108</v>
      </c>
    </row>
    <row r="41" spans="1:29">
      <c r="A41" s="1">
        <v>1011</v>
      </c>
      <c r="B41" s="1" t="s">
        <v>125</v>
      </c>
      <c r="C41" s="17" t="s">
        <v>61</v>
      </c>
      <c r="D41" s="1" t="s">
        <v>57</v>
      </c>
      <c r="F41" s="7">
        <f t="shared" si="1"/>
        <v>1</v>
      </c>
      <c r="G41" s="7">
        <f t="shared" si="2"/>
        <v>0.9</v>
      </c>
      <c r="H41" s="7">
        <f t="shared" si="3"/>
        <v>1.1</v>
      </c>
      <c r="I41" s="18">
        <v>1.02</v>
      </c>
      <c r="J41" s="18">
        <v>1.01</v>
      </c>
      <c r="K41" s="18">
        <v>0.95</v>
      </c>
      <c r="L41" s="18">
        <f t="shared" si="4"/>
        <v>2.98</v>
      </c>
      <c r="M41" s="7">
        <f t="shared" si="5"/>
        <v>1</v>
      </c>
      <c r="N41" s="7">
        <f t="shared" si="6"/>
        <v>1.02</v>
      </c>
      <c r="O41" s="7">
        <f t="shared" si="7"/>
        <v>0.909</v>
      </c>
      <c r="P41" s="7">
        <f t="shared" si="8"/>
        <v>1.045</v>
      </c>
      <c r="Q41" s="18" t="s">
        <v>100</v>
      </c>
      <c r="R41" s="18" t="s">
        <v>119</v>
      </c>
      <c r="S41" s="18" t="s">
        <v>111</v>
      </c>
      <c r="T41" s="18">
        <v>1</v>
      </c>
      <c r="U41" s="18">
        <v>1</v>
      </c>
      <c r="V41" s="18">
        <v>1</v>
      </c>
      <c r="W41" s="7">
        <f t="shared" si="12"/>
        <v>1</v>
      </c>
      <c r="X41" s="7">
        <f t="shared" si="13"/>
        <v>1</v>
      </c>
      <c r="Y41" s="7">
        <f t="shared" si="14"/>
        <v>0.9</v>
      </c>
      <c r="Z41" s="7">
        <f t="shared" si="15"/>
        <v>1.1</v>
      </c>
      <c r="AA41" s="18" t="s">
        <v>119</v>
      </c>
      <c r="AB41" s="18" t="s">
        <v>102</v>
      </c>
      <c r="AC41" s="18" t="s">
        <v>119</v>
      </c>
    </row>
    <row r="42" spans="1:29">
      <c r="A42" s="1">
        <v>1014</v>
      </c>
      <c r="B42" s="1" t="s">
        <v>126</v>
      </c>
      <c r="C42" s="17" t="s">
        <v>61</v>
      </c>
      <c r="D42" s="1" t="s">
        <v>54</v>
      </c>
      <c r="F42" s="7">
        <f t="shared" si="1"/>
        <v>1.05</v>
      </c>
      <c r="G42" s="7">
        <f t="shared" si="2"/>
        <v>0.95</v>
      </c>
      <c r="H42" s="7">
        <f t="shared" si="3"/>
        <v>1</v>
      </c>
      <c r="I42" s="18">
        <v>1</v>
      </c>
      <c r="J42" s="18">
        <v>1.02</v>
      </c>
      <c r="K42" s="18">
        <v>0.98</v>
      </c>
      <c r="L42" s="18">
        <f t="shared" si="4"/>
        <v>3</v>
      </c>
      <c r="M42" s="7">
        <f t="shared" si="5"/>
        <v>1</v>
      </c>
      <c r="N42" s="7">
        <f t="shared" si="6"/>
        <v>1.05</v>
      </c>
      <c r="O42" s="7">
        <f t="shared" si="7"/>
        <v>0.969</v>
      </c>
      <c r="P42" s="7">
        <f t="shared" si="8"/>
        <v>0.98</v>
      </c>
      <c r="Q42" s="18" t="s">
        <v>100</v>
      </c>
      <c r="R42" s="18" t="s">
        <v>108</v>
      </c>
      <c r="S42" s="18" t="s">
        <v>106</v>
      </c>
      <c r="T42" s="18">
        <v>1</v>
      </c>
      <c r="U42" s="18">
        <v>1</v>
      </c>
      <c r="V42" s="18">
        <v>1</v>
      </c>
      <c r="W42" s="7">
        <f t="shared" si="12"/>
        <v>1</v>
      </c>
      <c r="X42" s="7">
        <f t="shared" si="13"/>
        <v>1.05</v>
      </c>
      <c r="Y42" s="7">
        <f t="shared" si="14"/>
        <v>0.95</v>
      </c>
      <c r="Z42" s="7">
        <f t="shared" si="15"/>
        <v>1</v>
      </c>
      <c r="AA42" s="18" t="s">
        <v>100</v>
      </c>
      <c r="AB42" s="18" t="s">
        <v>107</v>
      </c>
      <c r="AC42" s="18" t="s">
        <v>108</v>
      </c>
    </row>
    <row r="43" spans="1:29">
      <c r="A43" s="1">
        <v>1015</v>
      </c>
      <c r="B43" s="1" t="s">
        <v>127</v>
      </c>
      <c r="C43" s="17" t="s">
        <v>61</v>
      </c>
      <c r="D43" s="1" t="s">
        <v>58</v>
      </c>
      <c r="F43" s="7">
        <f t="shared" si="1"/>
        <v>1.2</v>
      </c>
      <c r="G43" s="7">
        <f t="shared" si="2"/>
        <v>0.85</v>
      </c>
      <c r="H43" s="7">
        <f t="shared" si="3"/>
        <v>0.95</v>
      </c>
      <c r="I43" s="18">
        <v>1.15</v>
      </c>
      <c r="J43" s="18">
        <v>0.95</v>
      </c>
      <c r="K43" s="18">
        <v>1</v>
      </c>
      <c r="L43" s="18">
        <f t="shared" si="4"/>
        <v>3.1</v>
      </c>
      <c r="M43" s="7">
        <f t="shared" si="5"/>
        <v>1</v>
      </c>
      <c r="N43" s="7">
        <f t="shared" si="6"/>
        <v>1.38</v>
      </c>
      <c r="O43" s="7">
        <f t="shared" si="7"/>
        <v>0.8075</v>
      </c>
      <c r="P43" s="7">
        <f t="shared" si="8"/>
        <v>0.95</v>
      </c>
      <c r="Q43" s="18" t="s">
        <v>99</v>
      </c>
      <c r="R43" s="18" t="s">
        <v>119</v>
      </c>
      <c r="S43" s="18" t="s">
        <v>101</v>
      </c>
      <c r="T43" s="18">
        <v>1</v>
      </c>
      <c r="U43" s="18">
        <v>1</v>
      </c>
      <c r="V43" s="18">
        <v>1</v>
      </c>
      <c r="W43" s="7">
        <f t="shared" si="12"/>
        <v>1</v>
      </c>
      <c r="X43" s="7">
        <f t="shared" si="13"/>
        <v>1.2</v>
      </c>
      <c r="Y43" s="7">
        <f t="shared" si="14"/>
        <v>0.85</v>
      </c>
      <c r="Z43" s="7">
        <f t="shared" si="15"/>
        <v>0.95</v>
      </c>
      <c r="AA43" s="18" t="s">
        <v>99</v>
      </c>
      <c r="AB43" s="18" t="s">
        <v>102</v>
      </c>
      <c r="AC43" s="18" t="s">
        <v>119</v>
      </c>
    </row>
    <row r="44" spans="1:29">
      <c r="A44" s="1">
        <v>1012</v>
      </c>
      <c r="B44" s="1" t="s">
        <v>128</v>
      </c>
      <c r="C44" s="19" t="s">
        <v>62</v>
      </c>
      <c r="D44" s="1" t="s">
        <v>56</v>
      </c>
      <c r="F44" s="7">
        <f t="shared" si="1"/>
        <v>1.1</v>
      </c>
      <c r="G44" s="7">
        <f t="shared" si="2"/>
        <v>0.85</v>
      </c>
      <c r="H44" s="7">
        <f t="shared" si="3"/>
        <v>1.05</v>
      </c>
      <c r="I44" s="18">
        <v>0.9</v>
      </c>
      <c r="J44" s="18">
        <v>0.9</v>
      </c>
      <c r="K44" s="18">
        <v>1.1</v>
      </c>
      <c r="L44" s="18">
        <f t="shared" si="4"/>
        <v>2.9</v>
      </c>
      <c r="M44" s="7">
        <f t="shared" si="5"/>
        <v>0.8</v>
      </c>
      <c r="N44" s="7">
        <f t="shared" si="6"/>
        <v>0.792</v>
      </c>
      <c r="O44" s="7">
        <f t="shared" si="7"/>
        <v>0.612</v>
      </c>
      <c r="P44" s="7">
        <f t="shared" si="8"/>
        <v>0.924</v>
      </c>
      <c r="Q44" s="18" t="s">
        <v>100</v>
      </c>
      <c r="R44" s="18" t="s">
        <v>111</v>
      </c>
      <c r="S44" s="18" t="s">
        <v>101</v>
      </c>
      <c r="T44" s="18">
        <v>1</v>
      </c>
      <c r="U44" s="18">
        <v>1</v>
      </c>
      <c r="V44" s="18">
        <v>1</v>
      </c>
      <c r="W44" s="7">
        <f t="shared" si="12"/>
        <v>0.75</v>
      </c>
      <c r="X44" s="7">
        <f t="shared" si="13"/>
        <v>0.825</v>
      </c>
      <c r="Y44" s="7">
        <f t="shared" si="14"/>
        <v>0.6375</v>
      </c>
      <c r="Z44" s="7">
        <f t="shared" si="15"/>
        <v>0.7875</v>
      </c>
      <c r="AA44" s="18" t="s">
        <v>108</v>
      </c>
      <c r="AB44" s="18" t="s">
        <v>102</v>
      </c>
      <c r="AC44" s="18" t="s">
        <v>111</v>
      </c>
    </row>
    <row r="45" spans="1:29">
      <c r="A45" s="1">
        <v>1008</v>
      </c>
      <c r="B45" s="1" t="s">
        <v>129</v>
      </c>
      <c r="C45" s="17" t="s">
        <v>61</v>
      </c>
      <c r="D45" s="1" t="s">
        <v>53</v>
      </c>
      <c r="F45" s="7">
        <f t="shared" si="1"/>
        <v>0.9</v>
      </c>
      <c r="G45" s="7">
        <f t="shared" si="2"/>
        <v>1.1</v>
      </c>
      <c r="H45" s="7">
        <f t="shared" si="3"/>
        <v>1</v>
      </c>
      <c r="I45" s="18">
        <v>1</v>
      </c>
      <c r="J45" s="18">
        <v>1.05</v>
      </c>
      <c r="K45" s="18">
        <v>1</v>
      </c>
      <c r="L45" s="18">
        <f t="shared" si="4"/>
        <v>3.05</v>
      </c>
      <c r="M45" s="7">
        <f t="shared" si="5"/>
        <v>1</v>
      </c>
      <c r="N45" s="7">
        <f t="shared" si="6"/>
        <v>0.9</v>
      </c>
      <c r="O45" s="7">
        <f t="shared" si="7"/>
        <v>1.155</v>
      </c>
      <c r="P45" s="7">
        <f t="shared" si="8"/>
        <v>1</v>
      </c>
      <c r="Q45" s="18" t="s">
        <v>101</v>
      </c>
      <c r="R45" s="18" t="s">
        <v>100</v>
      </c>
      <c r="S45" s="18" t="s">
        <v>100</v>
      </c>
      <c r="T45" s="18">
        <f>I45</f>
        <v>1</v>
      </c>
      <c r="U45" s="18">
        <f>J45</f>
        <v>1.05</v>
      </c>
      <c r="V45" s="18">
        <f>K45</f>
        <v>1</v>
      </c>
      <c r="W45" s="7">
        <f t="shared" si="12"/>
        <v>1</v>
      </c>
      <c r="X45" s="7">
        <f t="shared" si="13"/>
        <v>0.9</v>
      </c>
      <c r="Y45" s="7">
        <f t="shared" si="14"/>
        <v>1.155</v>
      </c>
      <c r="Z45" s="7">
        <f t="shared" si="15"/>
        <v>1</v>
      </c>
      <c r="AA45" s="18" t="s">
        <v>122</v>
      </c>
      <c r="AB45" s="18" t="s">
        <v>107</v>
      </c>
      <c r="AC45" s="18" t="s">
        <v>103</v>
      </c>
    </row>
    <row r="46" spans="1:29">
      <c r="A46" s="1">
        <v>1018</v>
      </c>
      <c r="B46" s="1" t="s">
        <v>130</v>
      </c>
      <c r="C46" s="19" t="s">
        <v>62</v>
      </c>
      <c r="D46" s="1" t="s">
        <v>58</v>
      </c>
      <c r="F46" s="7">
        <f t="shared" si="1"/>
        <v>1.2</v>
      </c>
      <c r="G46" s="7">
        <f t="shared" si="2"/>
        <v>0.85</v>
      </c>
      <c r="H46" s="7">
        <f t="shared" si="3"/>
        <v>0.95</v>
      </c>
      <c r="I46" s="18">
        <v>1.1</v>
      </c>
      <c r="J46" s="18">
        <v>0.95</v>
      </c>
      <c r="K46" s="18">
        <v>1.05</v>
      </c>
      <c r="L46" s="18">
        <f t="shared" si="4"/>
        <v>3.1</v>
      </c>
      <c r="M46" s="7">
        <f t="shared" si="5"/>
        <v>0.8</v>
      </c>
      <c r="N46" s="7">
        <f t="shared" si="6"/>
        <v>1.056</v>
      </c>
      <c r="O46" s="7">
        <f t="shared" si="7"/>
        <v>0.646</v>
      </c>
      <c r="P46" s="7">
        <f t="shared" si="8"/>
        <v>0.798</v>
      </c>
      <c r="Q46" s="18" t="s">
        <v>99</v>
      </c>
      <c r="R46" s="18" t="s">
        <v>111</v>
      </c>
      <c r="S46" s="18" t="s">
        <v>101</v>
      </c>
      <c r="T46" s="18">
        <v>1</v>
      </c>
      <c r="U46" s="18">
        <v>1</v>
      </c>
      <c r="V46" s="18">
        <v>1</v>
      </c>
      <c r="W46" s="7">
        <f t="shared" si="12"/>
        <v>0.75</v>
      </c>
      <c r="X46" s="7">
        <f t="shared" si="13"/>
        <v>0.9</v>
      </c>
      <c r="Y46" s="7">
        <f t="shared" si="14"/>
        <v>0.6375</v>
      </c>
      <c r="Z46" s="7">
        <f t="shared" si="15"/>
        <v>0.7125</v>
      </c>
      <c r="AA46" s="18" t="s">
        <v>99</v>
      </c>
      <c r="AB46" s="18" t="s">
        <v>111</v>
      </c>
      <c r="AC46" s="18" t="s">
        <v>103</v>
      </c>
    </row>
    <row r="47" spans="1:29">
      <c r="A47" s="1">
        <v>1026</v>
      </c>
      <c r="B47" s="1" t="s">
        <v>131</v>
      </c>
      <c r="C47" s="19" t="s">
        <v>62</v>
      </c>
      <c r="D47" s="1" t="s">
        <v>55</v>
      </c>
      <c r="F47" s="7">
        <f t="shared" si="1"/>
        <v>0.8</v>
      </c>
      <c r="G47" s="7">
        <f t="shared" si="2"/>
        <v>1.2</v>
      </c>
      <c r="H47" s="7">
        <f t="shared" si="3"/>
        <v>1</v>
      </c>
      <c r="I47" s="18">
        <v>0.96</v>
      </c>
      <c r="J47" s="18">
        <v>1.03</v>
      </c>
      <c r="K47" s="18">
        <v>0.98</v>
      </c>
      <c r="L47" s="18">
        <f t="shared" si="4"/>
        <v>2.97</v>
      </c>
      <c r="M47" s="7">
        <f t="shared" si="5"/>
        <v>0.8</v>
      </c>
      <c r="N47" s="7">
        <f t="shared" si="6"/>
        <v>0.6144</v>
      </c>
      <c r="O47" s="7">
        <f t="shared" si="7"/>
        <v>0.9888</v>
      </c>
      <c r="P47" s="7">
        <f t="shared" si="8"/>
        <v>0.784</v>
      </c>
      <c r="Q47" s="18" t="s">
        <v>100</v>
      </c>
      <c r="R47" s="18" t="s">
        <v>108</v>
      </c>
      <c r="S47" s="18" t="s">
        <v>103</v>
      </c>
      <c r="T47" s="18">
        <v>1</v>
      </c>
      <c r="U47" s="18">
        <v>1</v>
      </c>
      <c r="V47" s="18">
        <v>1</v>
      </c>
      <c r="W47" s="7">
        <f t="shared" si="12"/>
        <v>0.75</v>
      </c>
      <c r="X47" s="7">
        <f t="shared" si="13"/>
        <v>0.6</v>
      </c>
      <c r="Y47" s="7">
        <f t="shared" si="14"/>
        <v>0.9</v>
      </c>
      <c r="Z47" s="7">
        <f t="shared" si="15"/>
        <v>0.75</v>
      </c>
      <c r="AA47" s="18" t="s">
        <v>100</v>
      </c>
      <c r="AB47" s="18" t="s">
        <v>107</v>
      </c>
      <c r="AC47" s="18" t="s">
        <v>108</v>
      </c>
    </row>
    <row r="48" spans="1:29">
      <c r="A48" s="1">
        <v>1027</v>
      </c>
      <c r="B48" s="1" t="s">
        <v>132</v>
      </c>
      <c r="C48" s="19" t="s">
        <v>62</v>
      </c>
      <c r="D48" s="1" t="s">
        <v>53</v>
      </c>
      <c r="F48" s="7">
        <f t="shared" si="1"/>
        <v>0.9</v>
      </c>
      <c r="G48" s="7">
        <f t="shared" si="2"/>
        <v>1.1</v>
      </c>
      <c r="H48" s="7">
        <f t="shared" si="3"/>
        <v>1</v>
      </c>
      <c r="I48" s="18">
        <v>0.97</v>
      </c>
      <c r="J48" s="18">
        <v>1.05</v>
      </c>
      <c r="K48" s="18">
        <v>1.05</v>
      </c>
      <c r="L48" s="18">
        <f t="shared" si="4"/>
        <v>3.07</v>
      </c>
      <c r="M48" s="7">
        <f t="shared" si="5"/>
        <v>0.8</v>
      </c>
      <c r="N48" s="7">
        <f t="shared" si="6"/>
        <v>0.6984</v>
      </c>
      <c r="O48" s="7">
        <f t="shared" si="7"/>
        <v>0.924</v>
      </c>
      <c r="P48" s="7">
        <f t="shared" si="8"/>
        <v>0.84</v>
      </c>
      <c r="Q48" s="18" t="s">
        <v>100</v>
      </c>
      <c r="R48" s="18" t="s">
        <v>122</v>
      </c>
      <c r="S48" s="18" t="s">
        <v>103</v>
      </c>
      <c r="T48" s="18">
        <v>1</v>
      </c>
      <c r="U48" s="18">
        <v>1</v>
      </c>
      <c r="V48" s="18">
        <v>1</v>
      </c>
      <c r="W48" s="7">
        <f t="shared" si="12"/>
        <v>0.75</v>
      </c>
      <c r="X48" s="7">
        <f t="shared" si="13"/>
        <v>0.675</v>
      </c>
      <c r="Y48" s="7">
        <f t="shared" si="14"/>
        <v>0.825</v>
      </c>
      <c r="Z48" s="7">
        <f t="shared" si="15"/>
        <v>0.75</v>
      </c>
      <c r="AA48" s="18" t="s">
        <v>105</v>
      </c>
      <c r="AB48" s="18" t="s">
        <v>107</v>
      </c>
      <c r="AC48" s="18" t="s">
        <v>103</v>
      </c>
    </row>
    <row r="49" spans="1:29">
      <c r="A49" s="1">
        <v>1031</v>
      </c>
      <c r="B49" s="1" t="s">
        <v>133</v>
      </c>
      <c r="C49" s="19" t="s">
        <v>62</v>
      </c>
      <c r="D49" s="1" t="s">
        <v>54</v>
      </c>
      <c r="F49" s="7">
        <f t="shared" si="1"/>
        <v>1.05</v>
      </c>
      <c r="G49" s="7">
        <f t="shared" si="2"/>
        <v>0.95</v>
      </c>
      <c r="H49" s="7">
        <f t="shared" si="3"/>
        <v>1</v>
      </c>
      <c r="I49" s="18">
        <v>0.98</v>
      </c>
      <c r="J49" s="18">
        <v>0.98</v>
      </c>
      <c r="K49" s="18">
        <v>1.04</v>
      </c>
      <c r="L49" s="18">
        <f t="shared" si="4"/>
        <v>3</v>
      </c>
      <c r="M49" s="7">
        <f t="shared" si="5"/>
        <v>0.8</v>
      </c>
      <c r="N49" s="7">
        <f t="shared" si="6"/>
        <v>0.8232</v>
      </c>
      <c r="O49" s="7">
        <f t="shared" si="7"/>
        <v>0.7448</v>
      </c>
      <c r="P49" s="7">
        <f t="shared" si="8"/>
        <v>0.832</v>
      </c>
      <c r="Q49" s="18" t="s">
        <v>100</v>
      </c>
      <c r="R49" s="18" t="s">
        <v>103</v>
      </c>
      <c r="S49" s="18" t="s">
        <v>122</v>
      </c>
      <c r="T49" s="18">
        <v>1</v>
      </c>
      <c r="U49" s="18">
        <v>1</v>
      </c>
      <c r="V49" s="18">
        <v>1</v>
      </c>
      <c r="W49" s="7">
        <f t="shared" si="12"/>
        <v>0.75</v>
      </c>
      <c r="X49" s="7">
        <f t="shared" si="13"/>
        <v>0.7875</v>
      </c>
      <c r="Y49" s="7">
        <f t="shared" si="14"/>
        <v>0.7125</v>
      </c>
      <c r="Z49" s="7">
        <f t="shared" si="15"/>
        <v>0.75</v>
      </c>
      <c r="AA49" s="18" t="s">
        <v>100</v>
      </c>
      <c r="AB49" s="18" t="s">
        <v>107</v>
      </c>
      <c r="AC49" s="18" t="s">
        <v>105</v>
      </c>
    </row>
    <row r="50" spans="1:29">
      <c r="A50" s="1">
        <v>1020</v>
      </c>
      <c r="B50" s="1" t="s">
        <v>134</v>
      </c>
      <c r="C50" s="19" t="s">
        <v>62</v>
      </c>
      <c r="D50" s="1" t="s">
        <v>56</v>
      </c>
      <c r="F50" s="7">
        <f t="shared" si="1"/>
        <v>1.1</v>
      </c>
      <c r="G50" s="7">
        <f t="shared" si="2"/>
        <v>0.85</v>
      </c>
      <c r="H50" s="7">
        <f t="shared" si="3"/>
        <v>1.05</v>
      </c>
      <c r="I50" s="18">
        <v>1</v>
      </c>
      <c r="J50" s="18">
        <v>1.05</v>
      </c>
      <c r="K50" s="18">
        <v>0.98</v>
      </c>
      <c r="L50" s="18">
        <f t="shared" si="4"/>
        <v>3.03</v>
      </c>
      <c r="M50" s="7">
        <f t="shared" si="5"/>
        <v>0.8</v>
      </c>
      <c r="N50" s="7">
        <f t="shared" si="6"/>
        <v>0.88</v>
      </c>
      <c r="O50" s="7">
        <f t="shared" si="7"/>
        <v>0.714</v>
      </c>
      <c r="P50" s="7">
        <f t="shared" si="8"/>
        <v>0.8232</v>
      </c>
      <c r="Q50" s="18" t="s">
        <v>100</v>
      </c>
      <c r="R50" s="18" t="s">
        <v>101</v>
      </c>
      <c r="S50" s="18" t="s">
        <v>111</v>
      </c>
      <c r="T50" s="18">
        <v>1</v>
      </c>
      <c r="U50" s="18">
        <v>1</v>
      </c>
      <c r="V50" s="18">
        <v>1</v>
      </c>
      <c r="W50" s="7">
        <f t="shared" si="12"/>
        <v>0.75</v>
      </c>
      <c r="X50" s="7">
        <f t="shared" si="13"/>
        <v>0.825</v>
      </c>
      <c r="Y50" s="7">
        <f t="shared" si="14"/>
        <v>0.6375</v>
      </c>
      <c r="Z50" s="7">
        <f t="shared" si="15"/>
        <v>0.7875</v>
      </c>
      <c r="AA50" s="26" t="s">
        <v>100</v>
      </c>
      <c r="AB50" s="18" t="s">
        <v>107</v>
      </c>
      <c r="AC50" s="18" t="s">
        <v>101</v>
      </c>
    </row>
    <row r="51" spans="1:29">
      <c r="A51" s="1">
        <v>1021</v>
      </c>
      <c r="B51" s="1" t="s">
        <v>135</v>
      </c>
      <c r="C51" s="19" t="s">
        <v>62</v>
      </c>
      <c r="D51" s="1" t="s">
        <v>54</v>
      </c>
      <c r="F51" s="7">
        <f t="shared" si="1"/>
        <v>1.05</v>
      </c>
      <c r="G51" s="7">
        <f t="shared" si="2"/>
        <v>0.95</v>
      </c>
      <c r="H51" s="7">
        <f t="shared" si="3"/>
        <v>1</v>
      </c>
      <c r="I51" s="18">
        <v>1.05</v>
      </c>
      <c r="J51" s="18">
        <v>1.01</v>
      </c>
      <c r="K51" s="18">
        <v>0.95</v>
      </c>
      <c r="L51" s="18">
        <f t="shared" si="4"/>
        <v>3.01</v>
      </c>
      <c r="M51" s="7">
        <f t="shared" si="5"/>
        <v>0.8</v>
      </c>
      <c r="N51" s="7">
        <f t="shared" si="6"/>
        <v>0.882</v>
      </c>
      <c r="O51" s="7">
        <f t="shared" si="7"/>
        <v>0.7676</v>
      </c>
      <c r="P51" s="7">
        <f t="shared" si="8"/>
        <v>0.76</v>
      </c>
      <c r="Q51" s="18" t="s">
        <v>100</v>
      </c>
      <c r="R51" s="18" t="s">
        <v>122</v>
      </c>
      <c r="S51" s="18" t="s">
        <v>103</v>
      </c>
      <c r="T51" s="18">
        <v>1</v>
      </c>
      <c r="U51" s="18">
        <v>1</v>
      </c>
      <c r="V51" s="18">
        <v>1</v>
      </c>
      <c r="W51" s="7">
        <f t="shared" si="12"/>
        <v>0.75</v>
      </c>
      <c r="X51" s="7">
        <f t="shared" si="13"/>
        <v>0.7875</v>
      </c>
      <c r="Y51" s="7">
        <f t="shared" si="14"/>
        <v>0.7125</v>
      </c>
      <c r="Z51" s="7">
        <f t="shared" si="15"/>
        <v>0.75</v>
      </c>
      <c r="AA51" s="26" t="s">
        <v>122</v>
      </c>
      <c r="AB51" s="18" t="s">
        <v>107</v>
      </c>
      <c r="AC51" s="18" t="s">
        <v>103</v>
      </c>
    </row>
    <row r="52" spans="1:29">
      <c r="A52" s="1">
        <v>1023</v>
      </c>
      <c r="B52" s="1" t="s">
        <v>136</v>
      </c>
      <c r="C52" s="19" t="s">
        <v>62</v>
      </c>
      <c r="D52" s="1" t="s">
        <v>57</v>
      </c>
      <c r="F52" s="7">
        <f t="shared" si="1"/>
        <v>1</v>
      </c>
      <c r="G52" s="7">
        <f t="shared" si="2"/>
        <v>0.9</v>
      </c>
      <c r="H52" s="7">
        <f t="shared" si="3"/>
        <v>1.1</v>
      </c>
      <c r="I52" s="18">
        <v>1.1</v>
      </c>
      <c r="J52" s="18">
        <v>0.9</v>
      </c>
      <c r="K52" s="18">
        <v>1.05</v>
      </c>
      <c r="L52" s="18">
        <f t="shared" si="4"/>
        <v>3.05</v>
      </c>
      <c r="M52" s="7">
        <f t="shared" si="5"/>
        <v>0.8</v>
      </c>
      <c r="N52" s="7">
        <f t="shared" si="6"/>
        <v>0.88</v>
      </c>
      <c r="O52" s="7">
        <f t="shared" si="7"/>
        <v>0.648</v>
      </c>
      <c r="P52" s="7">
        <f t="shared" si="8"/>
        <v>0.924</v>
      </c>
      <c r="Q52" s="18" t="s">
        <v>100</v>
      </c>
      <c r="R52" s="18" t="s">
        <v>108</v>
      </c>
      <c r="S52" s="18" t="s">
        <v>111</v>
      </c>
      <c r="T52" s="18">
        <v>1</v>
      </c>
      <c r="U52" s="18">
        <v>1</v>
      </c>
      <c r="V52" s="18">
        <v>1</v>
      </c>
      <c r="W52" s="7">
        <f t="shared" si="12"/>
        <v>0.75</v>
      </c>
      <c r="X52" s="7">
        <f t="shared" si="13"/>
        <v>0.75</v>
      </c>
      <c r="Y52" s="7">
        <f t="shared" si="14"/>
        <v>0.675</v>
      </c>
      <c r="Z52" s="7">
        <f t="shared" si="15"/>
        <v>0.825</v>
      </c>
      <c r="AA52" s="26" t="s">
        <v>108</v>
      </c>
      <c r="AB52" s="18" t="s">
        <v>107</v>
      </c>
      <c r="AC52" s="18" t="s">
        <v>106</v>
      </c>
    </row>
    <row r="53" spans="1:29">
      <c r="A53" s="1">
        <v>1024</v>
      </c>
      <c r="B53" s="1" t="s">
        <v>137</v>
      </c>
      <c r="C53" s="19" t="s">
        <v>62</v>
      </c>
      <c r="D53" s="1" t="s">
        <v>55</v>
      </c>
      <c r="F53" s="7">
        <f t="shared" si="1"/>
        <v>0.8</v>
      </c>
      <c r="G53" s="7">
        <f t="shared" si="2"/>
        <v>1.2</v>
      </c>
      <c r="H53" s="7">
        <f t="shared" si="3"/>
        <v>1</v>
      </c>
      <c r="I53" s="18">
        <v>0.99</v>
      </c>
      <c r="J53" s="18">
        <v>1</v>
      </c>
      <c r="K53" s="18">
        <v>1</v>
      </c>
      <c r="L53" s="18">
        <f t="shared" si="4"/>
        <v>2.99</v>
      </c>
      <c r="M53" s="7">
        <f t="shared" si="5"/>
        <v>0.8</v>
      </c>
      <c r="N53" s="7">
        <f t="shared" si="6"/>
        <v>0.6336</v>
      </c>
      <c r="O53" s="7">
        <f t="shared" si="7"/>
        <v>0.96</v>
      </c>
      <c r="P53" s="7">
        <f t="shared" si="8"/>
        <v>0.8</v>
      </c>
      <c r="Q53" s="18" t="s">
        <v>100</v>
      </c>
      <c r="R53" s="18" t="s">
        <v>108</v>
      </c>
      <c r="S53" s="18" t="s">
        <v>106</v>
      </c>
      <c r="T53" s="18">
        <v>1</v>
      </c>
      <c r="U53" s="18">
        <v>1</v>
      </c>
      <c r="V53" s="18">
        <v>1</v>
      </c>
      <c r="W53" s="7">
        <f t="shared" si="12"/>
        <v>0.75</v>
      </c>
      <c r="X53" s="7">
        <f t="shared" si="13"/>
        <v>0.6</v>
      </c>
      <c r="Y53" s="7">
        <f t="shared" si="14"/>
        <v>0.9</v>
      </c>
      <c r="Z53" s="7">
        <f t="shared" si="15"/>
        <v>0.75</v>
      </c>
      <c r="AA53" s="26" t="s">
        <v>100</v>
      </c>
      <c r="AB53" s="18" t="s">
        <v>102</v>
      </c>
      <c r="AC53" s="18" t="s">
        <v>108</v>
      </c>
    </row>
    <row r="54" spans="1:29">
      <c r="A54" s="1">
        <v>1029</v>
      </c>
      <c r="B54" s="1" t="s">
        <v>138</v>
      </c>
      <c r="C54" s="17" t="s">
        <v>61</v>
      </c>
      <c r="D54" s="1" t="s">
        <v>56</v>
      </c>
      <c r="F54" s="7">
        <f t="shared" si="1"/>
        <v>1.1</v>
      </c>
      <c r="G54" s="7">
        <f t="shared" si="2"/>
        <v>0.85</v>
      </c>
      <c r="H54" s="7">
        <f t="shared" si="3"/>
        <v>1.05</v>
      </c>
      <c r="I54" s="18">
        <v>1.05</v>
      </c>
      <c r="J54" s="18">
        <v>0.95</v>
      </c>
      <c r="K54" s="18">
        <v>0.95</v>
      </c>
      <c r="L54" s="18">
        <f t="shared" si="4"/>
        <v>2.95</v>
      </c>
      <c r="M54" s="7">
        <f t="shared" si="5"/>
        <v>1</v>
      </c>
      <c r="N54" s="7">
        <f t="shared" si="6"/>
        <v>1.155</v>
      </c>
      <c r="O54" s="7">
        <f t="shared" si="7"/>
        <v>0.8075</v>
      </c>
      <c r="P54" s="7">
        <f t="shared" si="8"/>
        <v>0.9975</v>
      </c>
      <c r="Q54" s="18" t="s">
        <v>103</v>
      </c>
      <c r="R54" s="18" t="s">
        <v>111</v>
      </c>
      <c r="S54" s="18" t="s">
        <v>101</v>
      </c>
      <c r="T54" s="18">
        <v>1</v>
      </c>
      <c r="U54" s="18">
        <v>1</v>
      </c>
      <c r="V54" s="18">
        <v>1</v>
      </c>
      <c r="W54" s="7">
        <f t="shared" si="12"/>
        <v>1</v>
      </c>
      <c r="X54" s="7">
        <f t="shared" si="13"/>
        <v>1.1</v>
      </c>
      <c r="Y54" s="7">
        <f t="shared" si="14"/>
        <v>0.85</v>
      </c>
      <c r="Z54" s="7">
        <f t="shared" si="15"/>
        <v>1.05</v>
      </c>
      <c r="AA54" s="26" t="s">
        <v>103</v>
      </c>
      <c r="AB54" s="18" t="s">
        <v>102</v>
      </c>
      <c r="AC54" s="18" t="s">
        <v>111</v>
      </c>
    </row>
    <row r="55" spans="1:29">
      <c r="A55" s="1">
        <v>1030</v>
      </c>
      <c r="B55" s="1" t="s">
        <v>139</v>
      </c>
      <c r="C55" s="19" t="s">
        <v>62</v>
      </c>
      <c r="D55" s="1" t="s">
        <v>51</v>
      </c>
      <c r="F55" s="7">
        <f t="shared" si="1"/>
        <v>1.4</v>
      </c>
      <c r="G55" s="7">
        <f t="shared" si="2"/>
        <v>0.6</v>
      </c>
      <c r="H55" s="7">
        <f t="shared" si="3"/>
        <v>1</v>
      </c>
      <c r="I55" s="18">
        <v>1</v>
      </c>
      <c r="J55" s="18">
        <v>1</v>
      </c>
      <c r="K55" s="18">
        <v>1.1</v>
      </c>
      <c r="L55" s="18">
        <f t="shared" si="4"/>
        <v>3.1</v>
      </c>
      <c r="M55" s="7">
        <f t="shared" si="5"/>
        <v>0.8</v>
      </c>
      <c r="N55" s="7">
        <f t="shared" si="6"/>
        <v>1.12</v>
      </c>
      <c r="O55" s="7">
        <f t="shared" si="7"/>
        <v>0.48</v>
      </c>
      <c r="P55" s="7">
        <f t="shared" si="8"/>
        <v>0.88</v>
      </c>
      <c r="Q55" s="18" t="s">
        <v>99</v>
      </c>
      <c r="R55" s="18" t="s">
        <v>100</v>
      </c>
      <c r="S55" s="18" t="s">
        <v>101</v>
      </c>
      <c r="T55" s="18">
        <v>1</v>
      </c>
      <c r="U55" s="18">
        <v>1</v>
      </c>
      <c r="V55" s="18">
        <v>1</v>
      </c>
      <c r="W55" s="7">
        <f t="shared" si="12"/>
        <v>0.75</v>
      </c>
      <c r="X55" s="7">
        <f t="shared" si="13"/>
        <v>1.05</v>
      </c>
      <c r="Y55" s="7">
        <f t="shared" si="14"/>
        <v>0.45</v>
      </c>
      <c r="Z55" s="7">
        <f t="shared" si="15"/>
        <v>0.75</v>
      </c>
      <c r="AA55" s="26" t="s">
        <v>99</v>
      </c>
      <c r="AB55" s="18" t="s">
        <v>107</v>
      </c>
      <c r="AC55" s="18" t="s">
        <v>108</v>
      </c>
    </row>
    <row r="56" spans="1:29">
      <c r="A56" s="1">
        <v>1019</v>
      </c>
      <c r="B56" s="1" t="s">
        <v>140</v>
      </c>
      <c r="C56" s="19" t="s">
        <v>62</v>
      </c>
      <c r="D56" s="1" t="s">
        <v>51</v>
      </c>
      <c r="F56" s="7">
        <f t="shared" si="1"/>
        <v>1.4</v>
      </c>
      <c r="G56" s="7">
        <f t="shared" si="2"/>
        <v>0.6</v>
      </c>
      <c r="H56" s="7">
        <f t="shared" si="3"/>
        <v>1</v>
      </c>
      <c r="I56" s="18">
        <v>1.03</v>
      </c>
      <c r="J56" s="18">
        <v>0.97</v>
      </c>
      <c r="K56" s="18">
        <v>1.01</v>
      </c>
      <c r="L56" s="18">
        <f t="shared" si="4"/>
        <v>3.01</v>
      </c>
      <c r="M56" s="7">
        <f t="shared" si="5"/>
        <v>0.8</v>
      </c>
      <c r="N56" s="7">
        <f t="shared" si="6"/>
        <v>1.1536</v>
      </c>
      <c r="O56" s="7">
        <f t="shared" si="7"/>
        <v>0.4656</v>
      </c>
      <c r="P56" s="7">
        <f t="shared" si="8"/>
        <v>0.808</v>
      </c>
      <c r="Q56" s="18" t="s">
        <v>99</v>
      </c>
      <c r="R56" s="18" t="s">
        <v>116</v>
      </c>
      <c r="S56" s="18" t="s">
        <v>101</v>
      </c>
      <c r="T56" s="18">
        <v>1</v>
      </c>
      <c r="U56" s="18">
        <v>1</v>
      </c>
      <c r="V56" s="18">
        <v>1</v>
      </c>
      <c r="W56" s="7">
        <f t="shared" si="12"/>
        <v>0.75</v>
      </c>
      <c r="X56" s="7">
        <f t="shared" si="13"/>
        <v>1.05</v>
      </c>
      <c r="Y56" s="7">
        <f t="shared" si="14"/>
        <v>0.45</v>
      </c>
      <c r="Z56" s="7">
        <f t="shared" si="15"/>
        <v>0.75</v>
      </c>
      <c r="AA56" s="26" t="s">
        <v>99</v>
      </c>
      <c r="AB56" s="18" t="s">
        <v>107</v>
      </c>
      <c r="AC56" s="18" t="s">
        <v>111</v>
      </c>
    </row>
    <row r="57" spans="1:29">
      <c r="A57" s="1">
        <v>1022</v>
      </c>
      <c r="B57" s="1" t="s">
        <v>141</v>
      </c>
      <c r="C57" s="19" t="s">
        <v>62</v>
      </c>
      <c r="D57" s="1" t="s">
        <v>51</v>
      </c>
      <c r="F57" s="7">
        <f t="shared" si="1"/>
        <v>1.4</v>
      </c>
      <c r="G57" s="7">
        <f t="shared" si="2"/>
        <v>0.6</v>
      </c>
      <c r="H57" s="7">
        <f t="shared" si="3"/>
        <v>1</v>
      </c>
      <c r="I57" s="18">
        <v>1.1</v>
      </c>
      <c r="J57" s="18">
        <v>0.94</v>
      </c>
      <c r="K57" s="18">
        <v>1</v>
      </c>
      <c r="L57" s="18">
        <f t="shared" si="4"/>
        <v>3.04</v>
      </c>
      <c r="M57" s="7">
        <f t="shared" si="5"/>
        <v>0.8</v>
      </c>
      <c r="N57" s="7">
        <f t="shared" si="6"/>
        <v>1.232</v>
      </c>
      <c r="O57" s="7">
        <f t="shared" si="7"/>
        <v>0.4512</v>
      </c>
      <c r="P57" s="7">
        <f t="shared" si="8"/>
        <v>0.8</v>
      </c>
      <c r="Q57" s="18" t="s">
        <v>99</v>
      </c>
      <c r="R57" s="18" t="s">
        <v>116</v>
      </c>
      <c r="S57" s="18" t="s">
        <v>111</v>
      </c>
      <c r="T57" s="18">
        <v>1</v>
      </c>
      <c r="U57" s="18">
        <v>1</v>
      </c>
      <c r="V57" s="18">
        <v>1</v>
      </c>
      <c r="W57" s="7">
        <f t="shared" si="12"/>
        <v>0.75</v>
      </c>
      <c r="X57" s="7">
        <f t="shared" si="13"/>
        <v>1.05</v>
      </c>
      <c r="Y57" s="7">
        <f t="shared" si="14"/>
        <v>0.45</v>
      </c>
      <c r="Z57" s="7">
        <f t="shared" si="15"/>
        <v>0.75</v>
      </c>
      <c r="AA57" s="26" t="s">
        <v>99</v>
      </c>
      <c r="AB57" s="18" t="s">
        <v>107</v>
      </c>
      <c r="AC57" s="18" t="s">
        <v>101</v>
      </c>
    </row>
    <row r="58" spans="1:29">
      <c r="A58" s="1">
        <v>1010</v>
      </c>
      <c r="B58" s="1" t="s">
        <v>142</v>
      </c>
      <c r="C58" s="19" t="s">
        <v>62</v>
      </c>
      <c r="D58" s="1" t="s">
        <v>52</v>
      </c>
      <c r="F58" s="7">
        <f t="shared" si="1"/>
        <v>1.2</v>
      </c>
      <c r="G58" s="7">
        <f t="shared" si="2"/>
        <v>0.6</v>
      </c>
      <c r="H58" s="7">
        <f t="shared" si="3"/>
        <v>1.2</v>
      </c>
      <c r="I58" s="18">
        <v>1.1</v>
      </c>
      <c r="J58" s="18">
        <v>0.94</v>
      </c>
      <c r="K58" s="18">
        <v>1</v>
      </c>
      <c r="L58" s="18">
        <f t="shared" si="4"/>
        <v>3.04</v>
      </c>
      <c r="M58" s="7">
        <f t="shared" si="5"/>
        <v>0.8</v>
      </c>
      <c r="N58" s="7">
        <f t="shared" si="6"/>
        <v>1.056</v>
      </c>
      <c r="O58" s="7">
        <f t="shared" si="7"/>
        <v>0.4512</v>
      </c>
      <c r="P58" s="7">
        <f t="shared" si="8"/>
        <v>0.96</v>
      </c>
      <c r="Q58" s="18" t="s">
        <v>116</v>
      </c>
      <c r="R58" s="18" t="s">
        <v>99</v>
      </c>
      <c r="S58" s="18" t="s">
        <v>101</v>
      </c>
      <c r="T58" s="18">
        <v>1</v>
      </c>
      <c r="U58" s="18">
        <v>1</v>
      </c>
      <c r="V58" s="18">
        <v>1</v>
      </c>
      <c r="W58" s="7">
        <f t="shared" si="12"/>
        <v>0.75</v>
      </c>
      <c r="X58" s="7">
        <f t="shared" si="13"/>
        <v>0.9</v>
      </c>
      <c r="Y58" s="7">
        <f t="shared" si="14"/>
        <v>0.45</v>
      </c>
      <c r="Z58" s="7">
        <f t="shared" si="15"/>
        <v>0.9</v>
      </c>
      <c r="AA58" s="26" t="s">
        <v>116</v>
      </c>
      <c r="AB58" s="18" t="s">
        <v>107</v>
      </c>
      <c r="AC58" s="18" t="s">
        <v>101</v>
      </c>
    </row>
    <row r="59" spans="1:29">
      <c r="A59" s="1">
        <v>1040</v>
      </c>
      <c r="B59" s="1" t="s">
        <v>143</v>
      </c>
      <c r="C59" s="19" t="s">
        <v>62</v>
      </c>
      <c r="D59" s="1" t="s">
        <v>57</v>
      </c>
      <c r="F59" s="7">
        <f t="shared" si="1"/>
        <v>1</v>
      </c>
      <c r="G59" s="7">
        <f t="shared" si="2"/>
        <v>0.9</v>
      </c>
      <c r="H59" s="7">
        <f t="shared" si="3"/>
        <v>1.1</v>
      </c>
      <c r="I59" s="18">
        <v>1</v>
      </c>
      <c r="J59" s="18">
        <v>1.02</v>
      </c>
      <c r="K59" s="18">
        <v>1</v>
      </c>
      <c r="L59" s="18">
        <f t="shared" si="4"/>
        <v>3.02</v>
      </c>
      <c r="M59" s="7">
        <f t="shared" si="5"/>
        <v>0.8</v>
      </c>
      <c r="N59" s="7">
        <f t="shared" si="6"/>
        <v>0.8</v>
      </c>
      <c r="O59" s="7">
        <f t="shared" si="7"/>
        <v>0.7344</v>
      </c>
      <c r="P59" s="7">
        <f t="shared" si="8"/>
        <v>0.88</v>
      </c>
      <c r="Q59" s="18" t="s">
        <v>100</v>
      </c>
      <c r="R59" s="18" t="s">
        <v>119</v>
      </c>
      <c r="S59" s="18" t="s">
        <v>111</v>
      </c>
      <c r="T59" s="18">
        <v>1</v>
      </c>
      <c r="U59" s="18">
        <v>1</v>
      </c>
      <c r="V59" s="18">
        <v>1</v>
      </c>
      <c r="W59" s="7">
        <f t="shared" si="12"/>
        <v>0.75</v>
      </c>
      <c r="X59" s="7">
        <f t="shared" si="13"/>
        <v>0.75</v>
      </c>
      <c r="Y59" s="7">
        <f t="shared" si="14"/>
        <v>0.675</v>
      </c>
      <c r="Z59" s="7">
        <f t="shared" si="15"/>
        <v>0.825</v>
      </c>
      <c r="AA59" s="26" t="s">
        <v>116</v>
      </c>
      <c r="AB59" s="18" t="s">
        <v>102</v>
      </c>
      <c r="AC59" s="18" t="s">
        <v>119</v>
      </c>
    </row>
    <row r="60" ht="17.25" customHeight="1" spans="1:29">
      <c r="A60" s="27">
        <v>1035</v>
      </c>
      <c r="B60" s="27" t="s">
        <v>144</v>
      </c>
      <c r="C60" s="20" t="s">
        <v>63</v>
      </c>
      <c r="D60" s="1" t="s">
        <v>54</v>
      </c>
      <c r="F60" s="7">
        <f t="shared" si="1"/>
        <v>1.05</v>
      </c>
      <c r="G60" s="7">
        <f t="shared" si="2"/>
        <v>0.95</v>
      </c>
      <c r="H60" s="7">
        <f t="shared" si="3"/>
        <v>1</v>
      </c>
      <c r="I60" s="18">
        <v>1</v>
      </c>
      <c r="J60" s="18">
        <v>1</v>
      </c>
      <c r="K60" s="18">
        <v>1</v>
      </c>
      <c r="L60" s="18">
        <f t="shared" si="4"/>
        <v>3</v>
      </c>
      <c r="M60" s="7">
        <f t="shared" si="5"/>
        <v>0.7</v>
      </c>
      <c r="N60" s="7">
        <f t="shared" si="6"/>
        <v>0.735</v>
      </c>
      <c r="O60" s="7">
        <f t="shared" si="7"/>
        <v>0.665</v>
      </c>
      <c r="P60" s="7">
        <f t="shared" si="8"/>
        <v>0.7</v>
      </c>
      <c r="Q60" s="18" t="s">
        <v>100</v>
      </c>
      <c r="R60" s="18" t="s">
        <v>103</v>
      </c>
      <c r="S60" s="18" t="s">
        <v>108</v>
      </c>
      <c r="T60" s="18">
        <v>1</v>
      </c>
      <c r="U60" s="18">
        <v>1</v>
      </c>
      <c r="V60" s="18">
        <v>1</v>
      </c>
      <c r="W60" s="7">
        <f t="shared" si="12"/>
        <v>0.5</v>
      </c>
      <c r="X60" s="7">
        <f t="shared" si="13"/>
        <v>0.525</v>
      </c>
      <c r="Y60" s="7">
        <f t="shared" si="14"/>
        <v>0.475</v>
      </c>
      <c r="Z60" s="7">
        <f t="shared" si="15"/>
        <v>0.5</v>
      </c>
      <c r="AA60" s="26" t="s">
        <v>116</v>
      </c>
      <c r="AB60" s="18" t="s">
        <v>102</v>
      </c>
      <c r="AC60" s="18" t="s">
        <v>105</v>
      </c>
    </row>
    <row r="61" ht="17.25" customHeight="1" spans="1:29">
      <c r="A61" s="27">
        <v>1036</v>
      </c>
      <c r="B61" s="27" t="s">
        <v>145</v>
      </c>
      <c r="C61" s="20" t="s">
        <v>63</v>
      </c>
      <c r="D61" s="1" t="s">
        <v>55</v>
      </c>
      <c r="F61" s="7">
        <f t="shared" si="1"/>
        <v>0.8</v>
      </c>
      <c r="G61" s="7">
        <f t="shared" si="2"/>
        <v>1.2</v>
      </c>
      <c r="H61" s="7">
        <f t="shared" si="3"/>
        <v>1</v>
      </c>
      <c r="I61" s="18">
        <v>0.95</v>
      </c>
      <c r="J61" s="18">
        <v>1</v>
      </c>
      <c r="K61" s="18">
        <v>1</v>
      </c>
      <c r="L61" s="18">
        <f t="shared" si="4"/>
        <v>2.95</v>
      </c>
      <c r="M61" s="7">
        <f t="shared" si="5"/>
        <v>0.7</v>
      </c>
      <c r="N61" s="7">
        <f t="shared" si="6"/>
        <v>0.532</v>
      </c>
      <c r="O61" s="7">
        <f t="shared" si="7"/>
        <v>0.84</v>
      </c>
      <c r="P61" s="7">
        <f t="shared" si="8"/>
        <v>0.7</v>
      </c>
      <c r="Q61" s="18" t="s">
        <v>100</v>
      </c>
      <c r="R61" s="18" t="s">
        <v>106</v>
      </c>
      <c r="S61" s="18" t="s">
        <v>101</v>
      </c>
      <c r="T61" s="18">
        <v>1</v>
      </c>
      <c r="U61" s="18">
        <v>1</v>
      </c>
      <c r="V61" s="18">
        <v>1</v>
      </c>
      <c r="W61" s="7">
        <f t="shared" si="12"/>
        <v>0.5</v>
      </c>
      <c r="X61" s="7">
        <f t="shared" si="13"/>
        <v>0.4</v>
      </c>
      <c r="Y61" s="7">
        <f t="shared" si="14"/>
        <v>0.6</v>
      </c>
      <c r="Z61" s="7">
        <f t="shared" si="15"/>
        <v>0.5</v>
      </c>
      <c r="AA61" s="26" t="s">
        <v>116</v>
      </c>
      <c r="AB61" s="18" t="s">
        <v>102</v>
      </c>
      <c r="AC61" s="18" t="s">
        <v>101</v>
      </c>
    </row>
    <row r="62" ht="17.25" customHeight="1" spans="1:29">
      <c r="A62" s="27">
        <v>1037</v>
      </c>
      <c r="B62" s="27" t="s">
        <v>146</v>
      </c>
      <c r="C62" s="20" t="s">
        <v>63</v>
      </c>
      <c r="D62" s="1" t="s">
        <v>54</v>
      </c>
      <c r="F62" s="7">
        <f t="shared" si="1"/>
        <v>1.05</v>
      </c>
      <c r="G62" s="7">
        <f t="shared" si="2"/>
        <v>0.95</v>
      </c>
      <c r="H62" s="7">
        <f t="shared" si="3"/>
        <v>1</v>
      </c>
      <c r="I62" s="18">
        <v>1.05</v>
      </c>
      <c r="J62" s="18">
        <v>1.05</v>
      </c>
      <c r="K62" s="18">
        <v>0.95</v>
      </c>
      <c r="L62" s="18">
        <f t="shared" si="4"/>
        <v>3.05</v>
      </c>
      <c r="M62" s="7">
        <f t="shared" si="5"/>
        <v>0.7</v>
      </c>
      <c r="N62" s="7">
        <f t="shared" si="6"/>
        <v>0.77175</v>
      </c>
      <c r="O62" s="7">
        <f t="shared" si="7"/>
        <v>0.69825</v>
      </c>
      <c r="P62" s="7">
        <f t="shared" si="8"/>
        <v>0.665</v>
      </c>
      <c r="Q62" s="18" t="s">
        <v>100</v>
      </c>
      <c r="R62" s="18" t="s">
        <v>103</v>
      </c>
      <c r="S62" s="18" t="s">
        <v>122</v>
      </c>
      <c r="T62" s="18">
        <v>1</v>
      </c>
      <c r="U62" s="18">
        <v>1</v>
      </c>
      <c r="V62" s="18">
        <v>1</v>
      </c>
      <c r="W62" s="7">
        <f t="shared" si="12"/>
        <v>0.5</v>
      </c>
      <c r="X62" s="7">
        <f t="shared" si="13"/>
        <v>0.525</v>
      </c>
      <c r="Y62" s="7">
        <f t="shared" si="14"/>
        <v>0.475</v>
      </c>
      <c r="Z62" s="7">
        <f t="shared" si="15"/>
        <v>0.5</v>
      </c>
      <c r="AA62" s="26" t="s">
        <v>116</v>
      </c>
      <c r="AB62" s="18" t="s">
        <v>107</v>
      </c>
      <c r="AC62" s="18" t="s">
        <v>105</v>
      </c>
    </row>
    <row r="63" ht="17.25" customHeight="1" spans="1:29">
      <c r="A63" s="27">
        <v>1038</v>
      </c>
      <c r="B63" s="27" t="s">
        <v>147</v>
      </c>
      <c r="C63" s="20" t="s">
        <v>63</v>
      </c>
      <c r="D63" s="1" t="s">
        <v>52</v>
      </c>
      <c r="F63" s="7">
        <f t="shared" si="1"/>
        <v>1.2</v>
      </c>
      <c r="G63" s="7">
        <f t="shared" si="2"/>
        <v>0.6</v>
      </c>
      <c r="H63" s="7">
        <f t="shared" si="3"/>
        <v>1.2</v>
      </c>
      <c r="I63" s="18">
        <v>1</v>
      </c>
      <c r="J63" s="18">
        <v>1</v>
      </c>
      <c r="K63" s="18">
        <v>1</v>
      </c>
      <c r="L63" s="18">
        <f t="shared" si="4"/>
        <v>3</v>
      </c>
      <c r="M63" s="7">
        <f t="shared" si="5"/>
        <v>0.7</v>
      </c>
      <c r="N63" s="7">
        <f t="shared" si="6"/>
        <v>0.84</v>
      </c>
      <c r="O63" s="7">
        <f t="shared" si="7"/>
        <v>0.42</v>
      </c>
      <c r="P63" s="7">
        <f t="shared" si="8"/>
        <v>0.84</v>
      </c>
      <c r="Q63" s="18" t="s">
        <v>116</v>
      </c>
      <c r="R63" s="18" t="s">
        <v>99</v>
      </c>
      <c r="S63" s="18" t="s">
        <v>101</v>
      </c>
      <c r="T63" s="18">
        <v>1</v>
      </c>
      <c r="U63" s="18">
        <v>1</v>
      </c>
      <c r="V63" s="18">
        <v>1</v>
      </c>
      <c r="W63" s="7">
        <f t="shared" si="12"/>
        <v>0.5</v>
      </c>
      <c r="X63" s="7">
        <f t="shared" si="13"/>
        <v>0.6</v>
      </c>
      <c r="Y63" s="7">
        <f t="shared" si="14"/>
        <v>0.3</v>
      </c>
      <c r="Z63" s="7">
        <f t="shared" si="15"/>
        <v>0.6</v>
      </c>
      <c r="AA63" s="26" t="s">
        <v>116</v>
      </c>
      <c r="AB63" s="18" t="s">
        <v>111</v>
      </c>
      <c r="AC63" s="18" t="s">
        <v>101</v>
      </c>
    </row>
    <row r="64" ht="17.25" customHeight="1" spans="1:29">
      <c r="A64" s="27">
        <v>1039</v>
      </c>
      <c r="B64" s="27" t="s">
        <v>148</v>
      </c>
      <c r="C64" s="20" t="s">
        <v>63</v>
      </c>
      <c r="D64" s="1" t="s">
        <v>53</v>
      </c>
      <c r="F64" s="7">
        <f t="shared" si="1"/>
        <v>0.9</v>
      </c>
      <c r="G64" s="7">
        <f t="shared" si="2"/>
        <v>1.1</v>
      </c>
      <c r="H64" s="7">
        <f t="shared" si="3"/>
        <v>1</v>
      </c>
      <c r="I64" s="18">
        <v>1</v>
      </c>
      <c r="J64" s="18">
        <v>1</v>
      </c>
      <c r="K64" s="18">
        <v>1</v>
      </c>
      <c r="L64" s="18">
        <f t="shared" si="4"/>
        <v>3</v>
      </c>
      <c r="M64" s="7">
        <f t="shared" si="5"/>
        <v>0.7</v>
      </c>
      <c r="N64" s="7">
        <f t="shared" si="6"/>
        <v>0.63</v>
      </c>
      <c r="O64" s="7">
        <f t="shared" si="7"/>
        <v>0.77</v>
      </c>
      <c r="P64" s="7">
        <f t="shared" si="8"/>
        <v>0.7</v>
      </c>
      <c r="Q64" s="18" t="s">
        <v>100</v>
      </c>
      <c r="R64" s="18" t="s">
        <v>103</v>
      </c>
      <c r="S64" s="18" t="s">
        <v>105</v>
      </c>
      <c r="T64" s="18">
        <v>1</v>
      </c>
      <c r="U64" s="18">
        <v>1</v>
      </c>
      <c r="V64" s="18">
        <v>1</v>
      </c>
      <c r="W64" s="7">
        <f t="shared" si="12"/>
        <v>0.5</v>
      </c>
      <c r="X64" s="7">
        <f t="shared" si="13"/>
        <v>0.45</v>
      </c>
      <c r="Y64" s="7">
        <f t="shared" si="14"/>
        <v>0.55</v>
      </c>
      <c r="Z64" s="7">
        <f t="shared" si="15"/>
        <v>0.5</v>
      </c>
      <c r="AA64" s="26" t="s">
        <v>116</v>
      </c>
      <c r="AB64" s="18" t="s">
        <v>107</v>
      </c>
      <c r="AC64" s="18" t="s">
        <v>105</v>
      </c>
    </row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65"/>
  <sheetViews>
    <sheetView workbookViewId="0">
      <selection activeCell="B36" sqref="B36"/>
    </sheetView>
  </sheetViews>
  <sheetFormatPr defaultColWidth="9" defaultRowHeight="13.5" customHeight="1"/>
  <cols>
    <col min="1" max="1" width="11.8666666666667" customWidth="1"/>
    <col min="2" max="2" width="10.8666666666667" customWidth="1"/>
    <col min="4" max="4" width="12.8666666666667" customWidth="1"/>
    <col min="5" max="5" width="11" customWidth="1"/>
    <col min="6" max="10" width="10.8666666666667" customWidth="1"/>
    <col min="11" max="11" width="8.88333333333333" customWidth="1"/>
    <col min="12" max="14" width="15" customWidth="1"/>
    <col min="15" max="15" width="12.8666666666667" customWidth="1"/>
  </cols>
  <sheetData>
    <row r="2" s="7" customFormat="1" ht="16.5" customHeight="1" spans="1:15">
      <c r="B2" s="1" t="s">
        <v>149</v>
      </c>
    </row>
    <row r="3" s="7" customFormat="1" ht="15" customHeight="1" spans="1:15">
      <c r="A3" s="3" t="s">
        <v>150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88</v>
      </c>
      <c r="I3" s="3" t="s">
        <v>89</v>
      </c>
      <c r="J3" s="3" t="s">
        <v>90</v>
      </c>
      <c r="K3" s="3" t="s">
        <v>91</v>
      </c>
      <c r="L3" s="3" t="s">
        <v>92</v>
      </c>
      <c r="M3" s="3" t="s">
        <v>93</v>
      </c>
      <c r="N3" s="3" t="s">
        <v>94</v>
      </c>
      <c r="O3" s="3" t="s">
        <v>95</v>
      </c>
    </row>
    <row r="4" s="7" customFormat="1" ht="16.5" customHeight="1" spans="1:15">
      <c r="A4" s="7">
        <v>51001</v>
      </c>
      <c r="B4" s="16" t="s">
        <v>151</v>
      </c>
      <c r="C4" s="17" t="s">
        <v>61</v>
      </c>
      <c r="D4" s="1" t="s">
        <v>51</v>
      </c>
      <c r="E4" s="7">
        <f>VLOOKUP($D4,角色属性分配!$B$3:$E$14,COLUMN(角色属性分配!E$26)-COLUMN(角色属性分配!$C$26),0)</f>
        <v>1.4</v>
      </c>
      <c r="F4" s="7">
        <f>VLOOKUP($D4,角色属性分配!$B$3:$E$14,COLUMN(角色属性分配!F$26)-COLUMN(角色属性分配!$C$26),0)</f>
        <v>0.6</v>
      </c>
      <c r="G4" s="7">
        <f>VLOOKUP($D4,角色属性分配!$B$3:$E$14,COLUMN(角色属性分配!G$26)-COLUMN(角色属性分配!$C$26),0)</f>
        <v>1</v>
      </c>
      <c r="H4" s="18">
        <v>1.1</v>
      </c>
      <c r="I4" s="18">
        <v>0.9</v>
      </c>
      <c r="J4" s="18">
        <v>1</v>
      </c>
      <c r="K4" s="7">
        <f>VLOOKUP(C4,角色属性分配!$B$19:$C$21,2,0)</f>
        <v>1</v>
      </c>
      <c r="L4" s="7">
        <f t="shared" ref="L4:L42" si="0">E4*H4</f>
        <v>1.54</v>
      </c>
      <c r="M4" s="7">
        <f t="shared" ref="M4:M42" si="1">F4*I4</f>
        <v>0.54</v>
      </c>
      <c r="N4" s="7">
        <f t="shared" ref="N4:N42" si="2">G4*J4</f>
        <v>1</v>
      </c>
      <c r="O4" s="18" t="s">
        <v>152</v>
      </c>
    </row>
    <row r="5" s="7" customFormat="1" ht="16.5" customHeight="1" spans="1:15">
      <c r="A5" s="7">
        <v>51002</v>
      </c>
      <c r="B5" s="16" t="s">
        <v>153</v>
      </c>
      <c r="C5" s="17" t="s">
        <v>61</v>
      </c>
      <c r="D5" s="1" t="s">
        <v>55</v>
      </c>
      <c r="E5" s="7">
        <f>VLOOKUP($D5,角色属性分配!$B$3:$E$14,COLUMN(角色属性分配!E$26)-COLUMN(角色属性分配!$C$26),0)</f>
        <v>0.8</v>
      </c>
      <c r="F5" s="7">
        <f>VLOOKUP($D5,角色属性分配!$B$3:$E$14,COLUMN(角色属性分配!F$26)-COLUMN(角色属性分配!$C$26),0)</f>
        <v>1.2</v>
      </c>
      <c r="G5" s="7">
        <f>VLOOKUP($D5,角色属性分配!$B$3:$E$14,COLUMN(角色属性分配!G$26)-COLUMN(角色属性分配!$C$26),0)</f>
        <v>1</v>
      </c>
      <c r="H5" s="18">
        <v>0.9</v>
      </c>
      <c r="I5" s="18">
        <v>1.1</v>
      </c>
      <c r="J5" s="18">
        <v>1</v>
      </c>
      <c r="K5" s="7">
        <f>VLOOKUP(C5,角色属性分配!$B$19:$C$21,2,0)</f>
        <v>1</v>
      </c>
      <c r="L5" s="7">
        <f t="shared" si="0"/>
        <v>0.72</v>
      </c>
      <c r="M5" s="7">
        <f t="shared" si="1"/>
        <v>1.32</v>
      </c>
      <c r="N5" s="7">
        <f t="shared" si="2"/>
        <v>1</v>
      </c>
      <c r="O5" s="18" t="s">
        <v>108</v>
      </c>
    </row>
    <row r="6" s="7" customFormat="1" ht="16.5" customHeight="1" spans="1:15">
      <c r="A6" s="7">
        <v>51003</v>
      </c>
      <c r="B6" s="16" t="s">
        <v>154</v>
      </c>
      <c r="C6" s="17" t="s">
        <v>61</v>
      </c>
      <c r="D6" s="1" t="s">
        <v>55</v>
      </c>
      <c r="E6" s="7">
        <f>VLOOKUP($D6,角色属性分配!$B$3:$E$14,COLUMN(角色属性分配!E$26)-COLUMN(角色属性分配!$C$26),0)</f>
        <v>0.8</v>
      </c>
      <c r="F6" s="7">
        <f>VLOOKUP($D6,角色属性分配!$B$3:$E$14,COLUMN(角色属性分配!F$26)-COLUMN(角色属性分配!$C$26),0)</f>
        <v>1.2</v>
      </c>
      <c r="G6" s="7">
        <f>VLOOKUP($D6,角色属性分配!$B$3:$E$14,COLUMN(角色属性分配!G$26)-COLUMN(角色属性分配!$C$26),0)</f>
        <v>1</v>
      </c>
      <c r="H6" s="18">
        <v>0.9</v>
      </c>
      <c r="I6" s="18">
        <v>1.1</v>
      </c>
      <c r="J6" s="18">
        <v>1</v>
      </c>
      <c r="K6" s="7">
        <f>VLOOKUP(C6,角色属性分配!$B$19:$C$21,2,0)</f>
        <v>1</v>
      </c>
      <c r="L6" s="7">
        <f t="shared" si="0"/>
        <v>0.72</v>
      </c>
      <c r="M6" s="7">
        <f t="shared" si="1"/>
        <v>1.32</v>
      </c>
      <c r="N6" s="7">
        <f t="shared" si="2"/>
        <v>1</v>
      </c>
      <c r="O6" s="18" t="s">
        <v>108</v>
      </c>
    </row>
    <row r="7" s="7" customFormat="1" ht="16.5" customHeight="1" spans="1:15">
      <c r="A7" s="7">
        <v>51004</v>
      </c>
      <c r="B7" s="16" t="s">
        <v>155</v>
      </c>
      <c r="C7" s="17" t="s">
        <v>61</v>
      </c>
      <c r="D7" s="1" t="s">
        <v>56</v>
      </c>
      <c r="E7" s="7">
        <f>VLOOKUP($D7,角色属性分配!$B$3:$E$14,COLUMN(角色属性分配!E$26)-COLUMN(角色属性分配!$C$26),0)</f>
        <v>1.1</v>
      </c>
      <c r="F7" s="7">
        <f>VLOOKUP($D7,角色属性分配!$B$3:$E$14,COLUMN(角色属性分配!F$26)-COLUMN(角色属性分配!$C$26),0)</f>
        <v>0.85</v>
      </c>
      <c r="G7" s="7">
        <f>VLOOKUP($D7,角色属性分配!$B$3:$E$14,COLUMN(角色属性分配!G$26)-COLUMN(角色属性分配!$C$26),0)</f>
        <v>1.05</v>
      </c>
      <c r="H7" s="18">
        <v>1.05</v>
      </c>
      <c r="I7" s="18">
        <v>0.95</v>
      </c>
      <c r="J7" s="18">
        <v>1</v>
      </c>
      <c r="K7" s="7">
        <f>VLOOKUP(C7,角色属性分配!$B$19:$C$21,2,0)</f>
        <v>1</v>
      </c>
      <c r="L7" s="7">
        <f t="shared" si="0"/>
        <v>1.155</v>
      </c>
      <c r="M7" s="7">
        <f t="shared" si="1"/>
        <v>0.8075</v>
      </c>
      <c r="N7" s="7">
        <f t="shared" si="2"/>
        <v>1.05</v>
      </c>
      <c r="O7" s="18" t="s">
        <v>111</v>
      </c>
    </row>
    <row r="8" s="7" customFormat="1" ht="16.5" customHeight="1" spans="1:15">
      <c r="A8" s="7">
        <v>51005</v>
      </c>
      <c r="B8" s="16" t="s">
        <v>156</v>
      </c>
      <c r="C8" s="17" t="s">
        <v>61</v>
      </c>
      <c r="D8" s="1" t="s">
        <v>52</v>
      </c>
      <c r="E8" s="7">
        <f>VLOOKUP($D8,角色属性分配!$B$3:$E$14,COLUMN(角色属性分配!E$26)-COLUMN(角色属性分配!$C$26),0)</f>
        <v>1.2</v>
      </c>
      <c r="F8" s="7">
        <f>VLOOKUP($D8,角色属性分配!$B$3:$E$14,COLUMN(角色属性分配!F$26)-COLUMN(角色属性分配!$C$26),0)</f>
        <v>0.6</v>
      </c>
      <c r="G8" s="7">
        <f>VLOOKUP($D8,角色属性分配!$B$3:$E$14,COLUMN(角色属性分配!G$26)-COLUMN(角色属性分配!$C$26),0)</f>
        <v>1.2</v>
      </c>
      <c r="H8" s="18">
        <v>1.05</v>
      </c>
      <c r="I8" s="18">
        <v>0.9</v>
      </c>
      <c r="J8" s="18">
        <v>1.05</v>
      </c>
      <c r="K8" s="7">
        <f>VLOOKUP(C8,角色属性分配!$B$19:$C$21,2,0)</f>
        <v>1</v>
      </c>
      <c r="L8" s="7">
        <f t="shared" si="0"/>
        <v>1.26</v>
      </c>
      <c r="M8" s="7">
        <f t="shared" si="1"/>
        <v>0.54</v>
      </c>
      <c r="N8" s="7">
        <f t="shared" si="2"/>
        <v>1.26</v>
      </c>
      <c r="O8" s="18" t="s">
        <v>152</v>
      </c>
    </row>
    <row r="9" s="7" customFormat="1" ht="16.5" customHeight="1" spans="1:15">
      <c r="A9" s="7">
        <v>51006</v>
      </c>
      <c r="B9" s="16" t="s">
        <v>157</v>
      </c>
      <c r="C9" s="17" t="s">
        <v>61</v>
      </c>
      <c r="D9" s="1" t="s">
        <v>54</v>
      </c>
      <c r="E9" s="7">
        <f>VLOOKUP($D9,角色属性分配!$B$3:$E$14,COLUMN(角色属性分配!E$26)-COLUMN(角色属性分配!$C$26),0)</f>
        <v>1.05</v>
      </c>
      <c r="F9" s="7">
        <f>VLOOKUP($D9,角色属性分配!$B$3:$E$14,COLUMN(角色属性分配!F$26)-COLUMN(角色属性分配!$C$26),0)</f>
        <v>0.95</v>
      </c>
      <c r="G9" s="7">
        <f>VLOOKUP($D9,角色属性分配!$B$3:$E$14,COLUMN(角色属性分配!G$26)-COLUMN(角色属性分配!$C$26),0)</f>
        <v>1</v>
      </c>
      <c r="H9" s="18">
        <v>0.9</v>
      </c>
      <c r="I9" s="18">
        <v>1.1</v>
      </c>
      <c r="J9" s="18">
        <v>1</v>
      </c>
      <c r="K9" s="7">
        <f>VLOOKUP(C9,角色属性分配!$B$19:$C$21,2,0)</f>
        <v>1</v>
      </c>
      <c r="L9" s="7">
        <f t="shared" si="0"/>
        <v>0.945</v>
      </c>
      <c r="M9" s="7">
        <f t="shared" si="1"/>
        <v>1.045</v>
      </c>
      <c r="N9" s="7">
        <f t="shared" si="2"/>
        <v>1</v>
      </c>
      <c r="O9" s="18" t="s">
        <v>106</v>
      </c>
    </row>
    <row r="10" s="7" customFormat="1" ht="16.5" customHeight="1" spans="1:15">
      <c r="A10" s="7">
        <v>51007</v>
      </c>
      <c r="B10" s="16" t="s">
        <v>158</v>
      </c>
      <c r="C10" s="17" t="s">
        <v>61</v>
      </c>
      <c r="D10" s="1" t="s">
        <v>54</v>
      </c>
      <c r="E10" s="7">
        <f>VLOOKUP($D10,角色属性分配!$B$3:$E$14,COLUMN(角色属性分配!E$26)-COLUMN(角色属性分配!$C$26),0)</f>
        <v>1.05</v>
      </c>
      <c r="F10" s="7">
        <f>VLOOKUP($D10,角色属性分配!$B$3:$E$14,COLUMN(角色属性分配!F$26)-COLUMN(角色属性分配!$C$26),0)</f>
        <v>0.95</v>
      </c>
      <c r="G10" s="7">
        <f>VLOOKUP($D10,角色属性分配!$B$3:$E$14,COLUMN(角色属性分配!G$26)-COLUMN(角色属性分配!$C$26),0)</f>
        <v>1</v>
      </c>
      <c r="H10" s="18">
        <v>0.9</v>
      </c>
      <c r="I10" s="18">
        <v>1.1</v>
      </c>
      <c r="J10" s="18">
        <v>1</v>
      </c>
      <c r="K10" s="7">
        <f>VLOOKUP(C10,角色属性分配!$B$19:$C$21,2,0)</f>
        <v>1</v>
      </c>
      <c r="L10" s="7">
        <f t="shared" si="0"/>
        <v>0.945</v>
      </c>
      <c r="M10" s="7">
        <f t="shared" si="1"/>
        <v>1.045</v>
      </c>
      <c r="N10" s="7">
        <f t="shared" si="2"/>
        <v>1</v>
      </c>
      <c r="O10" s="18" t="s">
        <v>100</v>
      </c>
    </row>
    <row r="11" s="7" customFormat="1" ht="16.5" customHeight="1" spans="1:15">
      <c r="A11" s="7">
        <v>51008</v>
      </c>
      <c r="B11" s="16" t="s">
        <v>159</v>
      </c>
      <c r="C11" s="17" t="s">
        <v>61</v>
      </c>
      <c r="D11" s="1" t="s">
        <v>52</v>
      </c>
      <c r="E11" s="7">
        <f>VLOOKUP($D11,角色属性分配!$B$3:$E$14,COLUMN(角色属性分配!E$26)-COLUMN(角色属性分配!$C$26),0)</f>
        <v>1.2</v>
      </c>
      <c r="F11" s="7">
        <f>VLOOKUP($D11,角色属性分配!$B$3:$E$14,COLUMN(角色属性分配!F$26)-COLUMN(角色属性分配!$C$26),0)</f>
        <v>0.6</v>
      </c>
      <c r="G11" s="7">
        <f>VLOOKUP($D11,角色属性分配!$B$3:$E$14,COLUMN(角色属性分配!G$26)-COLUMN(角色属性分配!$C$26),0)</f>
        <v>1.2</v>
      </c>
      <c r="H11" s="18">
        <v>1.05</v>
      </c>
      <c r="I11" s="18">
        <v>0.9</v>
      </c>
      <c r="J11" s="18">
        <v>1.05</v>
      </c>
      <c r="K11" s="7">
        <f>VLOOKUP(C11,角色属性分配!$B$19:$C$21,2,0)</f>
        <v>1</v>
      </c>
      <c r="L11" s="7">
        <f t="shared" si="0"/>
        <v>1.26</v>
      </c>
      <c r="M11" s="7">
        <f t="shared" si="1"/>
        <v>0.54</v>
      </c>
      <c r="N11" s="7">
        <f t="shared" si="2"/>
        <v>1.26</v>
      </c>
      <c r="O11" s="18" t="s">
        <v>152</v>
      </c>
    </row>
    <row r="12" s="7" customFormat="1" ht="16.5" customHeight="1" spans="1:15">
      <c r="A12" s="7">
        <v>51009</v>
      </c>
      <c r="B12" s="16" t="s">
        <v>160</v>
      </c>
      <c r="C12" s="17" t="s">
        <v>61</v>
      </c>
      <c r="D12" s="1" t="s">
        <v>55</v>
      </c>
      <c r="E12" s="7">
        <f>VLOOKUP($D12,角色属性分配!$B$3:$E$14,COLUMN(角色属性分配!E$26)-COLUMN(角色属性分配!$C$26),0)</f>
        <v>0.8</v>
      </c>
      <c r="F12" s="7">
        <f>VLOOKUP($D12,角色属性分配!$B$3:$E$14,COLUMN(角色属性分配!F$26)-COLUMN(角色属性分配!$C$26),0)</f>
        <v>1.2</v>
      </c>
      <c r="G12" s="7">
        <f>VLOOKUP($D12,角色属性分配!$B$3:$E$14,COLUMN(角色属性分配!G$26)-COLUMN(角色属性分配!$C$26),0)</f>
        <v>1</v>
      </c>
      <c r="H12" s="18">
        <v>0.9</v>
      </c>
      <c r="I12" s="18">
        <v>1.1</v>
      </c>
      <c r="J12" s="18">
        <v>1</v>
      </c>
      <c r="K12" s="7">
        <f>VLOOKUP(C12,角色属性分配!$B$19:$C$21,2,0)</f>
        <v>1</v>
      </c>
      <c r="L12" s="7">
        <f t="shared" si="0"/>
        <v>0.72</v>
      </c>
      <c r="M12" s="7">
        <f t="shared" si="1"/>
        <v>1.32</v>
      </c>
      <c r="N12" s="7">
        <f t="shared" si="2"/>
        <v>1</v>
      </c>
      <c r="O12" s="18" t="s">
        <v>100</v>
      </c>
    </row>
    <row r="13" s="7" customFormat="1" ht="16.5" customHeight="1" spans="1:15">
      <c r="A13" s="7">
        <v>51010</v>
      </c>
      <c r="B13" s="16" t="s">
        <v>161</v>
      </c>
      <c r="C13" s="17" t="s">
        <v>61</v>
      </c>
      <c r="D13" s="1" t="s">
        <v>52</v>
      </c>
      <c r="E13" s="7">
        <f>VLOOKUP($D13,角色属性分配!$B$3:$E$14,COLUMN(角色属性分配!E$26)-COLUMN(角色属性分配!$C$26),0)</f>
        <v>1.2</v>
      </c>
      <c r="F13" s="7">
        <f>VLOOKUP($D13,角色属性分配!$B$3:$E$14,COLUMN(角色属性分配!F$26)-COLUMN(角色属性分配!$C$26),0)</f>
        <v>0.6</v>
      </c>
      <c r="G13" s="7">
        <f>VLOOKUP($D13,角色属性分配!$B$3:$E$14,COLUMN(角色属性分配!G$26)-COLUMN(角色属性分配!$C$26),0)</f>
        <v>1.2</v>
      </c>
      <c r="H13" s="18">
        <v>1.05</v>
      </c>
      <c r="I13" s="18">
        <v>0.9</v>
      </c>
      <c r="J13" s="18">
        <v>1.05</v>
      </c>
      <c r="K13" s="7">
        <f>VLOOKUP(C13,角色属性分配!$B$19:$C$21,2,0)</f>
        <v>1</v>
      </c>
      <c r="L13" s="7">
        <f t="shared" si="0"/>
        <v>1.26</v>
      </c>
      <c r="M13" s="7">
        <f t="shared" si="1"/>
        <v>0.54</v>
      </c>
      <c r="N13" s="7">
        <f t="shared" si="2"/>
        <v>1.26</v>
      </c>
      <c r="O13" s="18" t="s">
        <v>106</v>
      </c>
    </row>
    <row r="14" s="7" customFormat="1" ht="16.5" customHeight="1" spans="1:15">
      <c r="A14" s="7">
        <v>51011</v>
      </c>
      <c r="B14" s="16" t="s">
        <v>162</v>
      </c>
      <c r="C14" s="17" t="s">
        <v>61</v>
      </c>
      <c r="D14" s="1" t="s">
        <v>53</v>
      </c>
      <c r="E14" s="7">
        <f>VLOOKUP($D14,角色属性分配!$B$3:$E$14,COLUMN(角色属性分配!E$26)-COLUMN(角色属性分配!$C$26),0)</f>
        <v>0.9</v>
      </c>
      <c r="F14" s="7">
        <f>VLOOKUP($D14,角色属性分配!$B$3:$E$14,COLUMN(角色属性分配!F$26)-COLUMN(角色属性分配!$C$26),0)</f>
        <v>1.1</v>
      </c>
      <c r="G14" s="7">
        <f>VLOOKUP($D14,角色属性分配!$B$3:$E$14,COLUMN(角色属性分配!G$26)-COLUMN(角色属性分配!$C$26),0)</f>
        <v>1</v>
      </c>
      <c r="H14" s="18">
        <v>0.9</v>
      </c>
      <c r="I14" s="18">
        <v>1.1</v>
      </c>
      <c r="J14" s="18">
        <v>1</v>
      </c>
      <c r="K14" s="7">
        <f>VLOOKUP(C14,角色属性分配!$B$19:$C$21,2,0)</f>
        <v>1</v>
      </c>
      <c r="L14" s="7">
        <f t="shared" si="0"/>
        <v>0.81</v>
      </c>
      <c r="M14" s="7">
        <f t="shared" si="1"/>
        <v>1.21</v>
      </c>
      <c r="N14" s="7">
        <f t="shared" si="2"/>
        <v>1</v>
      </c>
      <c r="O14" s="18" t="s">
        <v>122</v>
      </c>
    </row>
    <row r="15" s="7" customFormat="1" ht="16.5" customHeight="1" spans="1:15">
      <c r="A15" s="7">
        <v>51012</v>
      </c>
      <c r="B15" s="16" t="s">
        <v>163</v>
      </c>
      <c r="C15" s="17" t="s">
        <v>61</v>
      </c>
      <c r="D15" s="1" t="s">
        <v>54</v>
      </c>
      <c r="E15" s="7">
        <f>VLOOKUP($D15,角色属性分配!$B$3:$E$14,COLUMN(角色属性分配!E$26)-COLUMN(角色属性分配!$C$26),0)</f>
        <v>1.05</v>
      </c>
      <c r="F15" s="7">
        <f>VLOOKUP($D15,角色属性分配!$B$3:$E$14,COLUMN(角色属性分配!F$26)-COLUMN(角色属性分配!$C$26),0)</f>
        <v>0.95</v>
      </c>
      <c r="G15" s="7">
        <f>VLOOKUP($D15,角色属性分配!$B$3:$E$14,COLUMN(角色属性分配!G$26)-COLUMN(角色属性分配!$C$26),0)</f>
        <v>1</v>
      </c>
      <c r="H15" s="18">
        <v>0.9</v>
      </c>
      <c r="I15" s="18">
        <v>1.1</v>
      </c>
      <c r="J15" s="18">
        <v>1</v>
      </c>
      <c r="K15" s="7">
        <f>VLOOKUP(C15,角色属性分配!$B$19:$C$21,2,0)</f>
        <v>1</v>
      </c>
      <c r="L15" s="7">
        <f t="shared" si="0"/>
        <v>0.945</v>
      </c>
      <c r="M15" s="7">
        <f t="shared" si="1"/>
        <v>1.045</v>
      </c>
      <c r="N15" s="7">
        <f t="shared" si="2"/>
        <v>1</v>
      </c>
      <c r="O15" s="18" t="s">
        <v>100</v>
      </c>
    </row>
    <row r="16" s="7" customFormat="1" ht="16.5" customHeight="1" spans="1:15">
      <c r="A16" s="7">
        <v>51013</v>
      </c>
      <c r="B16" s="16" t="s">
        <v>164</v>
      </c>
      <c r="C16" s="17" t="s">
        <v>61</v>
      </c>
      <c r="D16" s="1" t="s">
        <v>53</v>
      </c>
      <c r="E16" s="7">
        <f>VLOOKUP($D16,角色属性分配!$B$3:$E$14,COLUMN(角色属性分配!E$26)-COLUMN(角色属性分配!$C$26),0)</f>
        <v>0.9</v>
      </c>
      <c r="F16" s="7">
        <f>VLOOKUP($D16,角色属性分配!$B$3:$E$14,COLUMN(角色属性分配!F$26)-COLUMN(角色属性分配!$C$26),0)</f>
        <v>1.1</v>
      </c>
      <c r="G16" s="7">
        <f>VLOOKUP($D16,角色属性分配!$B$3:$E$14,COLUMN(角色属性分配!G$26)-COLUMN(角色属性分配!$C$26),0)</f>
        <v>1</v>
      </c>
      <c r="H16" s="18">
        <v>0.9</v>
      </c>
      <c r="I16" s="18">
        <v>1.1</v>
      </c>
      <c r="J16" s="18">
        <v>1</v>
      </c>
      <c r="K16" s="7">
        <f>VLOOKUP(C16,角色属性分配!$B$19:$C$21,2,0)</f>
        <v>1</v>
      </c>
      <c r="L16" s="7">
        <f t="shared" si="0"/>
        <v>0.81</v>
      </c>
      <c r="M16" s="7">
        <f t="shared" si="1"/>
        <v>1.21</v>
      </c>
      <c r="N16" s="7">
        <f t="shared" si="2"/>
        <v>1</v>
      </c>
      <c r="O16" s="18" t="s">
        <v>122</v>
      </c>
    </row>
    <row r="17" s="7" customFormat="1" ht="16.5" customHeight="1" spans="1:15">
      <c r="A17" s="7">
        <v>52001</v>
      </c>
      <c r="B17" s="16" t="s">
        <v>165</v>
      </c>
      <c r="C17" s="19" t="s">
        <v>62</v>
      </c>
      <c r="D17" s="1" t="s">
        <v>53</v>
      </c>
      <c r="E17" s="7">
        <f>VLOOKUP($D17,角色属性分配!$B$3:$E$14,COLUMN(角色属性分配!E$26)-COLUMN(角色属性分配!$C$26),0)</f>
        <v>0.9</v>
      </c>
      <c r="F17" s="7">
        <f>VLOOKUP($D17,角色属性分配!$B$3:$E$14,COLUMN(角色属性分配!F$26)-COLUMN(角色属性分配!$C$26),0)</f>
        <v>1.1</v>
      </c>
      <c r="G17" s="7">
        <f>VLOOKUP($D17,角色属性分配!$B$3:$E$14,COLUMN(角色属性分配!G$26)-COLUMN(角色属性分配!$C$26),0)</f>
        <v>1</v>
      </c>
      <c r="H17" s="18">
        <v>0.9</v>
      </c>
      <c r="I17" s="18">
        <v>1.05</v>
      </c>
      <c r="J17" s="18">
        <v>1</v>
      </c>
      <c r="K17" s="7">
        <f>VLOOKUP(C17,角色属性分配!$B$19:$C$21,2,0)</f>
        <v>0.75</v>
      </c>
      <c r="L17" s="7">
        <f t="shared" si="0"/>
        <v>0.81</v>
      </c>
      <c r="M17" s="7">
        <f t="shared" si="1"/>
        <v>1.155</v>
      </c>
      <c r="N17" s="7">
        <f t="shared" si="2"/>
        <v>1</v>
      </c>
      <c r="O17" s="18" t="s">
        <v>103</v>
      </c>
    </row>
    <row r="18" s="7" customFormat="1" ht="16.5" customHeight="1" spans="1:15">
      <c r="A18" s="7">
        <v>52002</v>
      </c>
      <c r="B18" s="16" t="s">
        <v>166</v>
      </c>
      <c r="C18" s="19" t="s">
        <v>62</v>
      </c>
      <c r="D18" s="1" t="s">
        <v>55</v>
      </c>
      <c r="E18" s="7">
        <f>VLOOKUP($D18,角色属性分配!$B$3:$E$14,COLUMN(角色属性分配!E$26)-COLUMN(角色属性分配!$C$26),0)</f>
        <v>0.8</v>
      </c>
      <c r="F18" s="7">
        <f>VLOOKUP($D18,角色属性分配!$B$3:$E$14,COLUMN(角色属性分配!F$26)-COLUMN(角色属性分配!$C$26),0)</f>
        <v>1.2</v>
      </c>
      <c r="G18" s="7">
        <f>VLOOKUP($D18,角色属性分配!$B$3:$E$14,COLUMN(角色属性分配!G$26)-COLUMN(角色属性分配!$C$26),0)</f>
        <v>1</v>
      </c>
      <c r="H18" s="18">
        <v>0.9</v>
      </c>
      <c r="I18" s="18">
        <v>1.05</v>
      </c>
      <c r="J18" s="18">
        <v>1</v>
      </c>
      <c r="K18" s="7">
        <f>VLOOKUP(C18,角色属性分配!$B$19:$C$21,2,0)</f>
        <v>0.75</v>
      </c>
      <c r="L18" s="7">
        <f t="shared" si="0"/>
        <v>0.72</v>
      </c>
      <c r="M18" s="7">
        <f t="shared" si="1"/>
        <v>1.26</v>
      </c>
      <c r="N18" s="7">
        <f t="shared" si="2"/>
        <v>1</v>
      </c>
      <c r="O18" s="18" t="s">
        <v>106</v>
      </c>
    </row>
    <row r="19" s="7" customFormat="1" ht="16.5" customHeight="1" spans="1:15">
      <c r="A19" s="7">
        <v>52003</v>
      </c>
      <c r="B19" s="16" t="s">
        <v>167</v>
      </c>
      <c r="C19" s="19" t="s">
        <v>62</v>
      </c>
      <c r="D19" s="1" t="s">
        <v>52</v>
      </c>
      <c r="E19" s="7">
        <f>VLOOKUP($D19,角色属性分配!$B$3:$E$14,COLUMN(角色属性分配!E$26)-COLUMN(角色属性分配!$C$26),0)</f>
        <v>1.2</v>
      </c>
      <c r="F19" s="7">
        <f>VLOOKUP($D19,角色属性分配!$B$3:$E$14,COLUMN(角色属性分配!F$26)-COLUMN(角色属性分配!$C$26),0)</f>
        <v>0.6</v>
      </c>
      <c r="G19" s="7">
        <f>VLOOKUP($D19,角色属性分配!$B$3:$E$14,COLUMN(角色属性分配!G$26)-COLUMN(角色属性分配!$C$26),0)</f>
        <v>1.2</v>
      </c>
      <c r="H19" s="18">
        <v>1.2</v>
      </c>
      <c r="I19" s="18">
        <v>0.75</v>
      </c>
      <c r="J19" s="18">
        <v>1.3</v>
      </c>
      <c r="K19" s="7">
        <f>VLOOKUP(C19,角色属性分配!$B$19:$C$21,2,0)</f>
        <v>0.75</v>
      </c>
      <c r="L19" s="7">
        <f t="shared" si="0"/>
        <v>1.44</v>
      </c>
      <c r="M19" s="7">
        <f t="shared" si="1"/>
        <v>0.45</v>
      </c>
      <c r="N19" s="7">
        <f t="shared" si="2"/>
        <v>1.56</v>
      </c>
      <c r="O19" s="18" t="s">
        <v>168</v>
      </c>
    </row>
    <row r="20" s="7" customFormat="1" ht="16.5" customHeight="1" spans="1:15">
      <c r="A20" s="7">
        <v>52004</v>
      </c>
      <c r="B20" s="16" t="s">
        <v>169</v>
      </c>
      <c r="C20" s="19" t="s">
        <v>62</v>
      </c>
      <c r="D20" s="1" t="s">
        <v>57</v>
      </c>
      <c r="E20" s="7">
        <f>VLOOKUP($D20,角色属性分配!$B$3:$E$14,COLUMN(角色属性分配!E$26)-COLUMN(角色属性分配!$C$26),0)</f>
        <v>1</v>
      </c>
      <c r="F20" s="7">
        <f>VLOOKUP($D20,角色属性分配!$B$3:$E$14,COLUMN(角色属性分配!F$26)-COLUMN(角色属性分配!$C$26),0)</f>
        <v>0.9</v>
      </c>
      <c r="G20" s="7">
        <f>VLOOKUP($D20,角色属性分配!$B$3:$E$14,COLUMN(角色属性分配!G$26)-COLUMN(角色属性分配!$C$26),0)</f>
        <v>1.1</v>
      </c>
      <c r="H20" s="18">
        <v>1</v>
      </c>
      <c r="I20" s="18">
        <v>1.05</v>
      </c>
      <c r="J20" s="18">
        <v>0.9</v>
      </c>
      <c r="K20" s="7">
        <f>VLOOKUP(C20,角色属性分配!$B$19:$C$21,2,0)</f>
        <v>0.75</v>
      </c>
      <c r="L20" s="7">
        <f t="shared" si="0"/>
        <v>1</v>
      </c>
      <c r="M20" s="7">
        <f t="shared" si="1"/>
        <v>0.945</v>
      </c>
      <c r="N20" s="7">
        <f t="shared" si="2"/>
        <v>0.99</v>
      </c>
      <c r="O20" s="18" t="s">
        <v>111</v>
      </c>
    </row>
    <row r="21" s="7" customFormat="1" ht="16.5" customHeight="1" spans="1:15">
      <c r="A21" s="7">
        <v>52005</v>
      </c>
      <c r="B21" s="16" t="s">
        <v>170</v>
      </c>
      <c r="C21" s="19" t="s">
        <v>62</v>
      </c>
      <c r="D21" s="1" t="s">
        <v>57</v>
      </c>
      <c r="E21" s="7">
        <f>VLOOKUP($D21,角色属性分配!$B$3:$E$14,COLUMN(角色属性分配!E$26)-COLUMN(角色属性分配!$C$26),0)</f>
        <v>1</v>
      </c>
      <c r="F21" s="7">
        <f>VLOOKUP($D21,角色属性分配!$B$3:$E$14,COLUMN(角色属性分配!F$26)-COLUMN(角色属性分配!$C$26),0)</f>
        <v>0.9</v>
      </c>
      <c r="G21" s="7">
        <f>VLOOKUP($D21,角色属性分配!$B$3:$E$14,COLUMN(角色属性分配!G$26)-COLUMN(角色属性分配!$C$26),0)</f>
        <v>1.1</v>
      </c>
      <c r="H21" s="18">
        <v>1</v>
      </c>
      <c r="I21" s="18">
        <v>0.975</v>
      </c>
      <c r="J21" s="18">
        <v>1.05</v>
      </c>
      <c r="K21" s="7">
        <f>VLOOKUP(C21,角色属性分配!$B$19:$C$21,2,0)</f>
        <v>0.75</v>
      </c>
      <c r="L21" s="7">
        <f t="shared" si="0"/>
        <v>1</v>
      </c>
      <c r="M21" s="7">
        <f t="shared" si="1"/>
        <v>0.8775</v>
      </c>
      <c r="N21" s="7">
        <f t="shared" si="2"/>
        <v>1.155</v>
      </c>
      <c r="O21" s="18" t="s">
        <v>100</v>
      </c>
    </row>
    <row r="22" s="7" customFormat="1" ht="16.5" customHeight="1" spans="1:15">
      <c r="A22" s="7">
        <v>52006</v>
      </c>
      <c r="B22" s="16" t="s">
        <v>171</v>
      </c>
      <c r="C22" s="19" t="s">
        <v>62</v>
      </c>
      <c r="D22" s="1" t="s">
        <v>54</v>
      </c>
      <c r="E22" s="7">
        <f>VLOOKUP($D22,角色属性分配!$B$3:$E$14,COLUMN(角色属性分配!E$26)-COLUMN(角色属性分配!$C$26),0)</f>
        <v>1.05</v>
      </c>
      <c r="F22" s="7">
        <f>VLOOKUP($D22,角色属性分配!$B$3:$E$14,COLUMN(角色属性分配!F$26)-COLUMN(角色属性分配!$C$26),0)</f>
        <v>0.95</v>
      </c>
      <c r="G22" s="7">
        <f>VLOOKUP($D22,角色属性分配!$B$3:$E$14,COLUMN(角色属性分配!G$26)-COLUMN(角色属性分配!$C$26),0)</f>
        <v>1</v>
      </c>
      <c r="H22" s="18">
        <v>0.9</v>
      </c>
      <c r="I22" s="18">
        <v>1.15</v>
      </c>
      <c r="J22" s="18">
        <v>0.8</v>
      </c>
      <c r="K22" s="7">
        <f>VLOOKUP(C22,角色属性分配!$B$19:$C$21,2,0)</f>
        <v>0.75</v>
      </c>
      <c r="L22" s="7">
        <f t="shared" si="0"/>
        <v>0.945</v>
      </c>
      <c r="M22" s="7">
        <f t="shared" si="1"/>
        <v>1.0925</v>
      </c>
      <c r="N22" s="7">
        <f t="shared" si="2"/>
        <v>0.8</v>
      </c>
      <c r="O22" s="18" t="s">
        <v>108</v>
      </c>
    </row>
    <row r="23" s="7" customFormat="1" ht="16.5" customHeight="1" spans="1:15">
      <c r="A23" s="7">
        <v>52007</v>
      </c>
      <c r="B23" s="16" t="s">
        <v>172</v>
      </c>
      <c r="C23" s="19" t="s">
        <v>62</v>
      </c>
      <c r="D23" s="1" t="s">
        <v>53</v>
      </c>
      <c r="E23" s="7">
        <f>VLOOKUP($D23,角色属性分配!$B$3:$E$14,COLUMN(角色属性分配!E$26)-COLUMN(角色属性分配!$C$26),0)</f>
        <v>0.9</v>
      </c>
      <c r="F23" s="7">
        <f>VLOOKUP($D23,角色属性分配!$B$3:$E$14,COLUMN(角色属性分配!F$26)-COLUMN(角色属性分配!$C$26),0)</f>
        <v>1.1</v>
      </c>
      <c r="G23" s="7">
        <f>VLOOKUP($D23,角色属性分配!$B$3:$E$14,COLUMN(角色属性分配!G$26)-COLUMN(角色属性分配!$C$26),0)</f>
        <v>1</v>
      </c>
      <c r="H23" s="18">
        <v>0.95</v>
      </c>
      <c r="I23" s="18">
        <v>1.025</v>
      </c>
      <c r="J23" s="18">
        <v>1</v>
      </c>
      <c r="K23" s="7">
        <f>VLOOKUP(C23,角色属性分配!$B$19:$C$21,2,0)</f>
        <v>0.75</v>
      </c>
      <c r="L23" s="7">
        <f t="shared" si="0"/>
        <v>0.855</v>
      </c>
      <c r="M23" s="7">
        <f t="shared" si="1"/>
        <v>1.1275</v>
      </c>
      <c r="N23" s="7">
        <f t="shared" si="2"/>
        <v>1</v>
      </c>
      <c r="O23" s="18" t="s">
        <v>122</v>
      </c>
    </row>
    <row r="24" s="7" customFormat="1" ht="16.5" customHeight="1" spans="1:15">
      <c r="A24" s="7">
        <v>52008</v>
      </c>
      <c r="B24" s="16" t="s">
        <v>173</v>
      </c>
      <c r="C24" s="19" t="s">
        <v>62</v>
      </c>
      <c r="D24" s="1" t="s">
        <v>53</v>
      </c>
      <c r="E24" s="7">
        <f>VLOOKUP($D24,角色属性分配!$B$3:$E$14,COLUMN(角色属性分配!E$26)-COLUMN(角色属性分配!$C$26),0)</f>
        <v>0.9</v>
      </c>
      <c r="F24" s="7">
        <f>VLOOKUP($D24,角色属性分配!$B$3:$E$14,COLUMN(角色属性分配!F$26)-COLUMN(角色属性分配!$C$26),0)</f>
        <v>1.1</v>
      </c>
      <c r="G24" s="7">
        <f>VLOOKUP($D24,角色属性分配!$B$3:$E$14,COLUMN(角色属性分配!G$26)-COLUMN(角色属性分配!$C$26),0)</f>
        <v>1</v>
      </c>
      <c r="H24" s="18">
        <v>0.9</v>
      </c>
      <c r="I24" s="18">
        <v>1.05</v>
      </c>
      <c r="J24" s="18">
        <v>1</v>
      </c>
      <c r="K24" s="7">
        <f>VLOOKUP(C24,角色属性分配!$B$19:$C$21,2,0)</f>
        <v>0.75</v>
      </c>
      <c r="L24" s="7">
        <f t="shared" si="0"/>
        <v>0.81</v>
      </c>
      <c r="M24" s="7">
        <f t="shared" si="1"/>
        <v>1.155</v>
      </c>
      <c r="N24" s="7">
        <f t="shared" si="2"/>
        <v>1</v>
      </c>
      <c r="O24" s="18" t="s">
        <v>100</v>
      </c>
    </row>
    <row r="25" s="7" customFormat="1" ht="16.5" customHeight="1" spans="1:15">
      <c r="A25" s="7">
        <v>52009</v>
      </c>
      <c r="B25" s="16" t="s">
        <v>174</v>
      </c>
      <c r="C25" s="19" t="s">
        <v>62</v>
      </c>
      <c r="D25" s="1" t="s">
        <v>51</v>
      </c>
      <c r="E25" s="7">
        <f>VLOOKUP($D25,角色属性分配!$B$3:$E$14,COLUMN(角色属性分配!E$26)-COLUMN(角色属性分配!$C$26),0)</f>
        <v>1.4</v>
      </c>
      <c r="F25" s="7">
        <f>VLOOKUP($D25,角色属性分配!$B$3:$E$14,COLUMN(角色属性分配!F$26)-COLUMN(角色属性分配!$C$26),0)</f>
        <v>0.6</v>
      </c>
      <c r="G25" s="7">
        <f>VLOOKUP($D25,角色属性分配!$B$3:$E$14,COLUMN(角色属性分配!G$26)-COLUMN(角色属性分配!$C$26),0)</f>
        <v>1</v>
      </c>
      <c r="H25" s="18">
        <v>1.35</v>
      </c>
      <c r="I25" s="18">
        <v>0.7</v>
      </c>
      <c r="J25" s="18">
        <v>1.25</v>
      </c>
      <c r="K25" s="7">
        <f>VLOOKUP(C25,角色属性分配!$B$19:$C$21,2,0)</f>
        <v>0.75</v>
      </c>
      <c r="L25" s="7">
        <f t="shared" si="0"/>
        <v>1.89</v>
      </c>
      <c r="M25" s="7">
        <f t="shared" si="1"/>
        <v>0.42</v>
      </c>
      <c r="N25" s="7">
        <f t="shared" si="2"/>
        <v>1.25</v>
      </c>
      <c r="O25" s="18" t="s">
        <v>152</v>
      </c>
    </row>
    <row r="26" s="7" customFormat="1" ht="16.5" customHeight="1" spans="1:15">
      <c r="A26" s="7">
        <v>52010</v>
      </c>
      <c r="B26" s="16" t="s">
        <v>175</v>
      </c>
      <c r="C26" s="19" t="s">
        <v>62</v>
      </c>
      <c r="D26" s="1" t="s">
        <v>58</v>
      </c>
      <c r="E26" s="7">
        <f>VLOOKUP($D26,角色属性分配!$B$3:$E$14,COLUMN(角色属性分配!E$26)-COLUMN(角色属性分配!$C$26),0)</f>
        <v>1.2</v>
      </c>
      <c r="F26" s="7">
        <f>VLOOKUP($D26,角色属性分配!$B$3:$E$14,COLUMN(角色属性分配!F$26)-COLUMN(角色属性分配!$C$26),0)</f>
        <v>0.85</v>
      </c>
      <c r="G26" s="7">
        <f>VLOOKUP($D26,角色属性分配!$B$3:$E$14,COLUMN(角色属性分配!G$26)-COLUMN(角色属性分配!$C$26),0)</f>
        <v>0.95</v>
      </c>
      <c r="H26" s="18">
        <v>1.2</v>
      </c>
      <c r="I26" s="18">
        <v>0.85</v>
      </c>
      <c r="J26" s="18">
        <v>1.1</v>
      </c>
      <c r="K26" s="7">
        <f>VLOOKUP(C26,角色属性分配!$B$19:$C$21,2,0)</f>
        <v>0.75</v>
      </c>
      <c r="L26" s="7">
        <f t="shared" si="0"/>
        <v>1.44</v>
      </c>
      <c r="M26" s="7">
        <f t="shared" si="1"/>
        <v>0.7225</v>
      </c>
      <c r="N26" s="7">
        <f t="shared" si="2"/>
        <v>1.045</v>
      </c>
      <c r="O26" s="18" t="s">
        <v>111</v>
      </c>
    </row>
    <row r="27" s="7" customFormat="1" ht="16.5" customHeight="1" spans="1:15">
      <c r="A27" s="7">
        <v>52011</v>
      </c>
      <c r="B27" s="16" t="s">
        <v>176</v>
      </c>
      <c r="C27" s="19" t="s">
        <v>62</v>
      </c>
      <c r="D27" s="1" t="s">
        <v>51</v>
      </c>
      <c r="E27" s="7">
        <f>VLOOKUP($D27,角色属性分配!$B$3:$E$14,COLUMN(角色属性分配!E$26)-COLUMN(角色属性分配!$C$26),0)</f>
        <v>1.4</v>
      </c>
      <c r="F27" s="7">
        <f>VLOOKUP($D27,角色属性分配!$B$3:$E$14,COLUMN(角色属性分配!F$26)-COLUMN(角色属性分配!$C$26),0)</f>
        <v>0.6</v>
      </c>
      <c r="G27" s="7">
        <f>VLOOKUP($D27,角色属性分配!$B$3:$E$14,COLUMN(角色属性分配!G$26)-COLUMN(角色属性分配!$C$26),0)</f>
        <v>1</v>
      </c>
      <c r="H27" s="18">
        <v>1.3</v>
      </c>
      <c r="I27" s="18">
        <v>0.75</v>
      </c>
      <c r="J27" s="18">
        <v>1.2</v>
      </c>
      <c r="K27" s="7">
        <f>VLOOKUP(C27,角色属性分配!$B$19:$C$21,2,0)</f>
        <v>0.75</v>
      </c>
      <c r="L27" s="7">
        <f t="shared" si="0"/>
        <v>1.82</v>
      </c>
      <c r="M27" s="7">
        <f t="shared" si="1"/>
        <v>0.45</v>
      </c>
      <c r="N27" s="7">
        <f t="shared" si="2"/>
        <v>1.2</v>
      </c>
      <c r="O27" s="18" t="s">
        <v>152</v>
      </c>
    </row>
    <row r="28" s="7" customFormat="1" ht="16.5" customHeight="1" spans="1:15">
      <c r="A28" s="7">
        <v>52012</v>
      </c>
      <c r="B28" s="16" t="s">
        <v>177</v>
      </c>
      <c r="C28" s="19" t="s">
        <v>62</v>
      </c>
      <c r="D28" s="1" t="s">
        <v>57</v>
      </c>
      <c r="E28" s="7">
        <f>VLOOKUP($D28,角色属性分配!$B$3:$E$14,COLUMN(角色属性分配!E$26)-COLUMN(角色属性分配!$C$26),0)</f>
        <v>1</v>
      </c>
      <c r="F28" s="7">
        <f>VLOOKUP($D28,角色属性分配!$B$3:$E$14,COLUMN(角色属性分配!F$26)-COLUMN(角色属性分配!$C$26),0)</f>
        <v>0.9</v>
      </c>
      <c r="G28" s="7">
        <f>VLOOKUP($D28,角色属性分配!$B$3:$E$14,COLUMN(角色属性分配!G$26)-COLUMN(角色属性分配!$C$26),0)</f>
        <v>1.1</v>
      </c>
      <c r="H28" s="18">
        <v>1</v>
      </c>
      <c r="I28" s="18">
        <v>1</v>
      </c>
      <c r="J28" s="18">
        <v>0.95</v>
      </c>
      <c r="K28" s="7">
        <f>VLOOKUP(C28,角色属性分配!$B$19:$C$21,2,0)</f>
        <v>0.75</v>
      </c>
      <c r="L28" s="7">
        <f t="shared" si="0"/>
        <v>1</v>
      </c>
      <c r="M28" s="7">
        <f t="shared" si="1"/>
        <v>0.9</v>
      </c>
      <c r="N28" s="7">
        <f t="shared" si="2"/>
        <v>1.045</v>
      </c>
      <c r="O28" s="18" t="s">
        <v>119</v>
      </c>
    </row>
    <row r="29" s="7" customFormat="1" ht="16.5" customHeight="1" spans="1:15">
      <c r="A29" s="7">
        <v>52013</v>
      </c>
      <c r="B29" s="16" t="s">
        <v>178</v>
      </c>
      <c r="C29" s="19" t="s">
        <v>62</v>
      </c>
      <c r="D29" s="1" t="s">
        <v>58</v>
      </c>
      <c r="E29" s="7">
        <f>VLOOKUP($D29,角色属性分配!$B$3:$E$14,COLUMN(角色属性分配!E$26)-COLUMN(角色属性分配!$C$26),0)</f>
        <v>1.2</v>
      </c>
      <c r="F29" s="7">
        <f>VLOOKUP($D29,角色属性分配!$B$3:$E$14,COLUMN(角色属性分配!F$26)-COLUMN(角色属性分配!$C$26),0)</f>
        <v>0.85</v>
      </c>
      <c r="G29" s="7">
        <f>VLOOKUP($D29,角色属性分配!$B$3:$E$14,COLUMN(角色属性分配!G$26)-COLUMN(角色属性分配!$C$26),0)</f>
        <v>0.95</v>
      </c>
      <c r="H29" s="18">
        <v>1.2</v>
      </c>
      <c r="I29" s="18">
        <v>0.825</v>
      </c>
      <c r="J29" s="18">
        <v>1.2</v>
      </c>
      <c r="K29" s="7">
        <f>VLOOKUP(C29,角色属性分配!$B$19:$C$21,2,0)</f>
        <v>0.75</v>
      </c>
      <c r="L29" s="7">
        <f t="shared" si="0"/>
        <v>1.44</v>
      </c>
      <c r="M29" s="7">
        <f t="shared" si="1"/>
        <v>0.70125</v>
      </c>
      <c r="N29" s="7">
        <f t="shared" si="2"/>
        <v>1.14</v>
      </c>
      <c r="O29" s="18" t="s">
        <v>168</v>
      </c>
    </row>
    <row r="30" s="7" customFormat="1" ht="16.5" customHeight="1" spans="1:15">
      <c r="A30" s="7">
        <v>52014</v>
      </c>
      <c r="B30" s="16" t="s">
        <v>179</v>
      </c>
      <c r="C30" s="19" t="s">
        <v>62</v>
      </c>
      <c r="D30" s="1" t="s">
        <v>51</v>
      </c>
      <c r="E30" s="7">
        <f>VLOOKUP($D30,角色属性分配!$B$3:$E$14,COLUMN(角色属性分配!E$26)-COLUMN(角色属性分配!$C$26),0)</f>
        <v>1.4</v>
      </c>
      <c r="F30" s="7">
        <f>VLOOKUP($D30,角色属性分配!$B$3:$E$14,COLUMN(角色属性分配!F$26)-COLUMN(角色属性分配!$C$26),0)</f>
        <v>0.6</v>
      </c>
      <c r="G30" s="7">
        <f>VLOOKUP($D30,角色属性分配!$B$3:$E$14,COLUMN(角色属性分配!G$26)-COLUMN(角色属性分配!$C$26),0)</f>
        <v>1</v>
      </c>
      <c r="H30" s="18">
        <v>1.35</v>
      </c>
      <c r="I30" s="18">
        <v>0.7</v>
      </c>
      <c r="J30" s="18">
        <v>1.15</v>
      </c>
      <c r="K30" s="7">
        <f>VLOOKUP(C30,角色属性分配!$B$19:$C$21,2,0)</f>
        <v>0.75</v>
      </c>
      <c r="L30" s="7">
        <f t="shared" si="0"/>
        <v>1.89</v>
      </c>
      <c r="M30" s="7">
        <f t="shared" si="1"/>
        <v>0.42</v>
      </c>
      <c r="N30" s="7">
        <f t="shared" si="2"/>
        <v>1.15</v>
      </c>
      <c r="O30" s="18" t="s">
        <v>152</v>
      </c>
    </row>
    <row r="31" s="7" customFormat="1" ht="16.5" customHeight="1" spans="1:15">
      <c r="A31" s="7">
        <v>52015</v>
      </c>
      <c r="B31" s="16" t="s">
        <v>180</v>
      </c>
      <c r="C31" s="19" t="s">
        <v>62</v>
      </c>
      <c r="D31" s="1" t="s">
        <v>55</v>
      </c>
      <c r="E31" s="7">
        <f>VLOOKUP($D31,角色属性分配!$B$3:$E$14,COLUMN(角色属性分配!E$26)-COLUMN(角色属性分配!$C$26),0)</f>
        <v>0.8</v>
      </c>
      <c r="F31" s="7">
        <f>VLOOKUP($D31,角色属性分配!$B$3:$E$14,COLUMN(角色属性分配!F$26)-COLUMN(角色属性分配!$C$26),0)</f>
        <v>1.2</v>
      </c>
      <c r="G31" s="7">
        <f>VLOOKUP($D31,角色属性分配!$B$3:$E$14,COLUMN(角色属性分配!G$26)-COLUMN(角色属性分配!$C$26),0)</f>
        <v>1</v>
      </c>
      <c r="H31" s="18">
        <v>0.9</v>
      </c>
      <c r="I31" s="18">
        <v>1.05</v>
      </c>
      <c r="J31" s="18">
        <v>0.9</v>
      </c>
      <c r="K31" s="7">
        <f>VLOOKUP(C31,角色属性分配!$B$19:$C$21,2,0)</f>
        <v>0.75</v>
      </c>
      <c r="L31" s="7">
        <f t="shared" si="0"/>
        <v>0.72</v>
      </c>
      <c r="M31" s="7">
        <f t="shared" si="1"/>
        <v>1.26</v>
      </c>
      <c r="N31" s="7">
        <f t="shared" si="2"/>
        <v>0.9</v>
      </c>
      <c r="O31" s="18" t="s">
        <v>106</v>
      </c>
    </row>
    <row r="32" s="7" customFormat="1" ht="16.5" customHeight="1" spans="1:15">
      <c r="A32" s="7">
        <v>53001</v>
      </c>
      <c r="B32" s="16" t="s">
        <v>181</v>
      </c>
      <c r="C32" s="20" t="s">
        <v>63</v>
      </c>
      <c r="D32" s="1" t="s">
        <v>52</v>
      </c>
      <c r="E32" s="7">
        <f>VLOOKUP($D32,角色属性分配!$B$3:$E$14,COLUMN(角色属性分配!E$26)-COLUMN(角色属性分配!$C$26),0)</f>
        <v>1.2</v>
      </c>
      <c r="F32" s="7">
        <f>VLOOKUP($D32,角色属性分配!$B$3:$E$14,COLUMN(角色属性分配!F$26)-COLUMN(角色属性分配!$C$26),0)</f>
        <v>0.6</v>
      </c>
      <c r="G32" s="7">
        <f>VLOOKUP($D32,角色属性分配!$B$3:$E$14,COLUMN(角色属性分配!G$26)-COLUMN(角色属性分配!$C$26),0)</f>
        <v>1.2</v>
      </c>
      <c r="H32" s="18">
        <v>1.2</v>
      </c>
      <c r="I32" s="18">
        <v>0.75</v>
      </c>
      <c r="J32" s="18">
        <v>1.3</v>
      </c>
      <c r="K32" s="7">
        <f>VLOOKUP(C32,角色属性分配!$B$19:$C$21,2,0)</f>
        <v>0.5</v>
      </c>
      <c r="L32" s="7">
        <f t="shared" si="0"/>
        <v>1.44</v>
      </c>
      <c r="M32" s="7">
        <f t="shared" si="1"/>
        <v>0.45</v>
      </c>
      <c r="N32" s="7">
        <f t="shared" si="2"/>
        <v>1.56</v>
      </c>
      <c r="O32" s="18" t="s">
        <v>168</v>
      </c>
    </row>
    <row r="33" s="7" customFormat="1" ht="16.5" customHeight="1" spans="1:15">
      <c r="A33" s="7">
        <v>53002</v>
      </c>
      <c r="B33" s="16" t="s">
        <v>182</v>
      </c>
      <c r="C33" s="20" t="s">
        <v>63</v>
      </c>
      <c r="D33" s="1" t="s">
        <v>55</v>
      </c>
      <c r="E33" s="7">
        <f>VLOOKUP($D33,角色属性分配!$B$3:$E$14,COLUMN(角色属性分配!E$26)-COLUMN(角色属性分配!$C$26),0)</f>
        <v>0.8</v>
      </c>
      <c r="F33" s="7">
        <f>VLOOKUP($D33,角色属性分配!$B$3:$E$14,COLUMN(角色属性分配!F$26)-COLUMN(角色属性分配!$C$26),0)</f>
        <v>1.2</v>
      </c>
      <c r="G33" s="7">
        <f>VLOOKUP($D33,角色属性分配!$B$3:$E$14,COLUMN(角色属性分配!G$26)-COLUMN(角色属性分配!$C$26),0)</f>
        <v>1</v>
      </c>
      <c r="H33" s="18">
        <v>0.9</v>
      </c>
      <c r="I33" s="18">
        <v>1.05</v>
      </c>
      <c r="J33" s="18">
        <v>1</v>
      </c>
      <c r="K33" s="7">
        <f>VLOOKUP(C33,角色属性分配!$B$19:$C$21,2,0)</f>
        <v>0.5</v>
      </c>
      <c r="L33" s="7">
        <f t="shared" si="0"/>
        <v>0.72</v>
      </c>
      <c r="M33" s="7">
        <f t="shared" si="1"/>
        <v>1.26</v>
      </c>
      <c r="N33" s="7">
        <f t="shared" si="2"/>
        <v>1</v>
      </c>
      <c r="O33" s="18" t="s">
        <v>106</v>
      </c>
    </row>
    <row r="34" s="7" customFormat="1" ht="16.5" customHeight="1" spans="1:15">
      <c r="A34" s="7">
        <v>53003</v>
      </c>
      <c r="B34" s="16" t="s">
        <v>183</v>
      </c>
      <c r="C34" s="20" t="s">
        <v>63</v>
      </c>
      <c r="D34" s="1" t="s">
        <v>54</v>
      </c>
      <c r="E34" s="7">
        <f>VLOOKUP($D34,角色属性分配!$B$3:$E$14,COLUMN(角色属性分配!E$26)-COLUMN(角色属性分配!$C$26),0)</f>
        <v>1.05</v>
      </c>
      <c r="F34" s="7">
        <f>VLOOKUP($D34,角色属性分配!$B$3:$E$14,COLUMN(角色属性分配!F$26)-COLUMN(角色属性分配!$C$26),0)</f>
        <v>0.95</v>
      </c>
      <c r="G34" s="7">
        <f>VLOOKUP($D34,角色属性分配!$B$3:$E$14,COLUMN(角色属性分配!G$26)-COLUMN(角色属性分配!$C$26),0)</f>
        <v>1</v>
      </c>
      <c r="H34" s="18">
        <v>0.9</v>
      </c>
      <c r="I34" s="18">
        <v>1.15</v>
      </c>
      <c r="J34" s="18">
        <v>0.8</v>
      </c>
      <c r="K34" s="7">
        <f>VLOOKUP(C34,角色属性分配!$B$19:$C$21,2,0)</f>
        <v>0.5</v>
      </c>
      <c r="L34" s="7">
        <f t="shared" si="0"/>
        <v>0.945</v>
      </c>
      <c r="M34" s="7">
        <f t="shared" si="1"/>
        <v>1.0925</v>
      </c>
      <c r="N34" s="7">
        <f t="shared" si="2"/>
        <v>0.8</v>
      </c>
      <c r="O34" s="18" t="s">
        <v>100</v>
      </c>
    </row>
    <row r="35" s="7" customFormat="1" ht="16.5" customHeight="1" spans="1:15">
      <c r="A35" s="7">
        <v>53004</v>
      </c>
      <c r="B35" s="16" t="s">
        <v>184</v>
      </c>
      <c r="C35" s="20" t="s">
        <v>63</v>
      </c>
      <c r="D35" s="1" t="s">
        <v>55</v>
      </c>
      <c r="E35" s="7">
        <f>VLOOKUP($D35,角色属性分配!$B$3:$E$14,COLUMN(角色属性分配!E$26)-COLUMN(角色属性分配!$C$26),0)</f>
        <v>0.8</v>
      </c>
      <c r="F35" s="7">
        <f>VLOOKUP($D35,角色属性分配!$B$3:$E$14,COLUMN(角色属性分配!F$26)-COLUMN(角色属性分配!$C$26),0)</f>
        <v>1.2</v>
      </c>
      <c r="G35" s="7">
        <f>VLOOKUP($D35,角色属性分配!$B$3:$E$14,COLUMN(角色属性分配!G$26)-COLUMN(角色属性分配!$C$26),0)</f>
        <v>1</v>
      </c>
      <c r="H35" s="18">
        <v>0.9</v>
      </c>
      <c r="I35" s="18">
        <v>1.05</v>
      </c>
      <c r="J35" s="18">
        <v>1</v>
      </c>
      <c r="K35" s="7">
        <f>VLOOKUP(C35,角色属性分配!$B$19:$C$21,2,0)</f>
        <v>0.5</v>
      </c>
      <c r="L35" s="7">
        <f t="shared" si="0"/>
        <v>0.72</v>
      </c>
      <c r="M35" s="7">
        <f t="shared" si="1"/>
        <v>1.26</v>
      </c>
      <c r="N35" s="7">
        <f t="shared" si="2"/>
        <v>1</v>
      </c>
      <c r="O35" s="18" t="s">
        <v>100</v>
      </c>
    </row>
    <row r="36" s="7" customFormat="1" ht="16.5" customHeight="1" spans="1:15">
      <c r="A36" s="7">
        <v>53005</v>
      </c>
      <c r="B36" s="16" t="s">
        <v>185</v>
      </c>
      <c r="C36" s="20" t="s">
        <v>63</v>
      </c>
      <c r="D36" s="1" t="s">
        <v>56</v>
      </c>
      <c r="E36" s="7">
        <f>VLOOKUP($D36,角色属性分配!$B$3:$E$14,COLUMN(角色属性分配!E$26)-COLUMN(角色属性分配!$C$26),0)</f>
        <v>1.1</v>
      </c>
      <c r="F36" s="7">
        <f>VLOOKUP($D36,角色属性分配!$B$3:$E$14,COLUMN(角色属性分配!F$26)-COLUMN(角色属性分配!$C$26),0)</f>
        <v>0.85</v>
      </c>
      <c r="G36" s="7">
        <f>VLOOKUP($D36,角色属性分配!$B$3:$E$14,COLUMN(角色属性分配!G$26)-COLUMN(角色属性分配!$C$26),0)</f>
        <v>1.05</v>
      </c>
      <c r="H36" s="18">
        <v>1.1</v>
      </c>
      <c r="I36" s="18">
        <v>0.9</v>
      </c>
      <c r="J36" s="18">
        <v>1.1</v>
      </c>
      <c r="K36" s="7">
        <f>VLOOKUP(C36,角色属性分配!$B$19:$C$21,2,0)</f>
        <v>0.5</v>
      </c>
      <c r="L36" s="7">
        <f t="shared" si="0"/>
        <v>1.21</v>
      </c>
      <c r="M36" s="7">
        <f t="shared" si="1"/>
        <v>0.765</v>
      </c>
      <c r="N36" s="7">
        <f t="shared" si="2"/>
        <v>1.155</v>
      </c>
      <c r="O36" s="18" t="s">
        <v>111</v>
      </c>
    </row>
    <row r="37" s="7" customFormat="1" ht="16.5" customHeight="1" spans="1:15">
      <c r="A37" s="7">
        <v>53006</v>
      </c>
      <c r="B37" s="16" t="s">
        <v>186</v>
      </c>
      <c r="C37" s="20" t="s">
        <v>63</v>
      </c>
      <c r="D37" s="1" t="s">
        <v>55</v>
      </c>
      <c r="E37" s="7">
        <f>VLOOKUP($D37,角色属性分配!$B$3:$E$14,COLUMN(角色属性分配!E$26)-COLUMN(角色属性分配!$C$26),0)</f>
        <v>0.8</v>
      </c>
      <c r="F37" s="7">
        <f>VLOOKUP($D37,角色属性分配!$B$3:$E$14,COLUMN(角色属性分配!F$26)-COLUMN(角色属性分配!$C$26),0)</f>
        <v>1.2</v>
      </c>
      <c r="G37" s="7">
        <f>VLOOKUP($D37,角色属性分配!$B$3:$E$14,COLUMN(角色属性分配!G$26)-COLUMN(角色属性分配!$C$26),0)</f>
        <v>1</v>
      </c>
      <c r="H37" s="18">
        <v>0.9</v>
      </c>
      <c r="I37" s="18">
        <v>1.15</v>
      </c>
      <c r="J37" s="18">
        <v>0.8</v>
      </c>
      <c r="K37" s="7">
        <f>VLOOKUP(C37,角色属性分配!$B$19:$C$21,2,0)</f>
        <v>0.5</v>
      </c>
      <c r="L37" s="7">
        <f t="shared" si="0"/>
        <v>0.72</v>
      </c>
      <c r="M37" s="7">
        <f t="shared" si="1"/>
        <v>1.38</v>
      </c>
      <c r="N37" s="7">
        <f t="shared" si="2"/>
        <v>0.8</v>
      </c>
      <c r="O37" s="18" t="s">
        <v>108</v>
      </c>
    </row>
    <row r="38" s="7" customFormat="1" ht="16.5" customHeight="1" spans="1:15">
      <c r="A38" s="7">
        <v>53007</v>
      </c>
      <c r="B38" s="16" t="s">
        <v>187</v>
      </c>
      <c r="C38" s="20" t="s">
        <v>63</v>
      </c>
      <c r="D38" s="1" t="s">
        <v>53</v>
      </c>
      <c r="E38" s="7">
        <f>VLOOKUP($D38,角色属性分配!$B$3:$E$14,COLUMN(角色属性分配!E$26)-COLUMN(角色属性分配!$C$26),0)</f>
        <v>0.9</v>
      </c>
      <c r="F38" s="7">
        <f>VLOOKUP($D38,角色属性分配!$B$3:$E$14,COLUMN(角色属性分配!F$26)-COLUMN(角色属性分配!$C$26),0)</f>
        <v>1.1</v>
      </c>
      <c r="G38" s="7">
        <f>VLOOKUP($D38,角色属性分配!$B$3:$E$14,COLUMN(角色属性分配!G$26)-COLUMN(角色属性分配!$C$26),0)</f>
        <v>1</v>
      </c>
      <c r="H38" s="18">
        <v>0.95</v>
      </c>
      <c r="I38" s="18">
        <v>1.025</v>
      </c>
      <c r="J38" s="18">
        <v>1</v>
      </c>
      <c r="K38" s="7">
        <f>VLOOKUP(C38,角色属性分配!$B$19:$C$21,2,0)</f>
        <v>0.5</v>
      </c>
      <c r="L38" s="7">
        <f t="shared" si="0"/>
        <v>0.855</v>
      </c>
      <c r="M38" s="7">
        <f t="shared" si="1"/>
        <v>1.1275</v>
      </c>
      <c r="N38" s="7">
        <f t="shared" si="2"/>
        <v>1</v>
      </c>
      <c r="O38" s="18" t="s">
        <v>122</v>
      </c>
    </row>
    <row r="39" s="7" customFormat="1" ht="16.5" customHeight="1" spans="1:15">
      <c r="A39" s="7">
        <v>53008</v>
      </c>
      <c r="B39" s="16" t="s">
        <v>188</v>
      </c>
      <c r="C39" s="20" t="s">
        <v>63</v>
      </c>
      <c r="D39" s="1" t="s">
        <v>56</v>
      </c>
      <c r="E39" s="7">
        <f>VLOOKUP($D39,角色属性分配!$B$3:$E$14,COLUMN(角色属性分配!E$26)-COLUMN(角色属性分配!$C$26),0)</f>
        <v>1.1</v>
      </c>
      <c r="F39" s="7">
        <f>VLOOKUP($D39,角色属性分配!$B$3:$E$14,COLUMN(角色属性分配!F$26)-COLUMN(角色属性分配!$C$26),0)</f>
        <v>0.85</v>
      </c>
      <c r="G39" s="7">
        <f>VLOOKUP($D39,角色属性分配!$B$3:$E$14,COLUMN(角色属性分配!G$26)-COLUMN(角色属性分配!$C$26),0)</f>
        <v>1.05</v>
      </c>
      <c r="H39" s="18">
        <v>1</v>
      </c>
      <c r="I39" s="18">
        <v>0.9</v>
      </c>
      <c r="J39" s="18">
        <v>1</v>
      </c>
      <c r="K39" s="7">
        <f>VLOOKUP(C39,角色属性分配!$B$19:$C$21,2,0)</f>
        <v>0.5</v>
      </c>
      <c r="L39" s="7">
        <f t="shared" si="0"/>
        <v>1.1</v>
      </c>
      <c r="M39" s="7">
        <f t="shared" si="1"/>
        <v>0.765</v>
      </c>
      <c r="N39" s="7">
        <f t="shared" si="2"/>
        <v>1.05</v>
      </c>
      <c r="O39" s="18" t="s">
        <v>101</v>
      </c>
    </row>
    <row r="40" s="7" customFormat="1" ht="16.5" customHeight="1" spans="1:15">
      <c r="A40" s="7">
        <v>53009</v>
      </c>
      <c r="B40" s="16" t="s">
        <v>189</v>
      </c>
      <c r="C40" s="20" t="s">
        <v>63</v>
      </c>
      <c r="D40" s="1" t="s">
        <v>58</v>
      </c>
      <c r="E40" s="7">
        <f>VLOOKUP($D40,角色属性分配!$B$3:$E$14,COLUMN(角色属性分配!E$26)-COLUMN(角色属性分配!$C$26),0)</f>
        <v>1.2</v>
      </c>
      <c r="F40" s="7">
        <f>VLOOKUP($D40,角色属性分配!$B$3:$E$14,COLUMN(角色属性分配!F$26)-COLUMN(角色属性分配!$C$26),0)</f>
        <v>0.85</v>
      </c>
      <c r="G40" s="7">
        <f>VLOOKUP($D40,角色属性分配!$B$3:$E$14,COLUMN(角色属性分配!G$26)-COLUMN(角色属性分配!$C$26),0)</f>
        <v>0.95</v>
      </c>
      <c r="H40" s="18">
        <v>1.05</v>
      </c>
      <c r="I40" s="18">
        <v>0.875</v>
      </c>
      <c r="J40" s="18">
        <v>1.05</v>
      </c>
      <c r="K40" s="7">
        <f>VLOOKUP(C40,角色属性分配!$B$19:$C$21,2,0)</f>
        <v>0.5</v>
      </c>
      <c r="L40" s="7">
        <f t="shared" si="0"/>
        <v>1.26</v>
      </c>
      <c r="M40" s="7">
        <f t="shared" si="1"/>
        <v>0.74375</v>
      </c>
      <c r="N40" s="7">
        <f t="shared" si="2"/>
        <v>0.9975</v>
      </c>
      <c r="O40" s="18" t="s">
        <v>119</v>
      </c>
    </row>
    <row r="41" s="7" customFormat="1" ht="16.5" customHeight="1" spans="1:15">
      <c r="A41" s="7">
        <v>53010</v>
      </c>
      <c r="B41" s="16" t="s">
        <v>190</v>
      </c>
      <c r="C41" s="20" t="s">
        <v>63</v>
      </c>
      <c r="D41" s="1" t="s">
        <v>55</v>
      </c>
      <c r="E41" s="7">
        <f>VLOOKUP($D41,角色属性分配!$B$3:$E$14,COLUMN(角色属性分配!E$26)-COLUMN(角色属性分配!$C$26),0)</f>
        <v>0.8</v>
      </c>
      <c r="F41" s="7">
        <f>VLOOKUP($D41,角色属性分配!$B$3:$E$14,COLUMN(角色属性分配!F$26)-COLUMN(角色属性分配!$C$26),0)</f>
        <v>1.2</v>
      </c>
      <c r="G41" s="7">
        <f>VLOOKUP($D41,角色属性分配!$B$3:$E$14,COLUMN(角色属性分配!G$26)-COLUMN(角色属性分配!$C$26),0)</f>
        <v>1</v>
      </c>
      <c r="H41" s="18">
        <v>0.85</v>
      </c>
      <c r="I41" s="18">
        <v>1</v>
      </c>
      <c r="J41" s="18">
        <v>0.9</v>
      </c>
      <c r="K41" s="7">
        <f>VLOOKUP(C41,角色属性分配!$B$19:$C$21,2,0)</f>
        <v>0.5</v>
      </c>
      <c r="L41" s="7">
        <f t="shared" si="0"/>
        <v>0.68</v>
      </c>
      <c r="M41" s="7">
        <f t="shared" si="1"/>
        <v>1.2</v>
      </c>
      <c r="N41" s="7">
        <f t="shared" si="2"/>
        <v>0.9</v>
      </c>
      <c r="O41" s="18" t="s">
        <v>100</v>
      </c>
    </row>
    <row r="42" s="7" customFormat="1" ht="16.5" customHeight="1" spans="1:15">
      <c r="A42" s="7">
        <v>53011</v>
      </c>
      <c r="B42" s="16" t="s">
        <v>191</v>
      </c>
      <c r="C42" s="20" t="s">
        <v>63</v>
      </c>
      <c r="D42" s="1" t="s">
        <v>57</v>
      </c>
      <c r="E42" s="7">
        <f>VLOOKUP($D42,角色属性分配!$B$3:$E$14,COLUMN(角色属性分配!E$26)-COLUMN(角色属性分配!$C$26),0)</f>
        <v>1</v>
      </c>
      <c r="F42" s="7">
        <f>VLOOKUP($D42,角色属性分配!$B$3:$E$14,COLUMN(角色属性分配!F$26)-COLUMN(角色属性分配!$C$26),0)</f>
        <v>0.9</v>
      </c>
      <c r="G42" s="7">
        <f>VLOOKUP($D42,角色属性分配!$B$3:$E$14,COLUMN(角色属性分配!G$26)-COLUMN(角色属性分配!$C$26),0)</f>
        <v>1.1</v>
      </c>
      <c r="H42" s="18">
        <v>1</v>
      </c>
      <c r="I42" s="18">
        <v>0.95</v>
      </c>
      <c r="J42" s="18">
        <v>0.95</v>
      </c>
      <c r="K42" s="7">
        <f>VLOOKUP(C42,角色属性分配!$B$19:$C$21,2,0)</f>
        <v>0.5</v>
      </c>
      <c r="L42" s="7">
        <f t="shared" si="0"/>
        <v>1</v>
      </c>
      <c r="M42" s="7">
        <f t="shared" si="1"/>
        <v>0.855</v>
      </c>
      <c r="N42" s="7">
        <f t="shared" si="2"/>
        <v>1.045</v>
      </c>
      <c r="O42" s="18" t="s">
        <v>111</v>
      </c>
    </row>
    <row r="43" s="7" customFormat="1" ht="16.5" customHeight="1" spans="1:15">
      <c r="C43" s="21" t="s">
        <v>192</v>
      </c>
    </row>
    <row r="44" s="7" customFormat="1" ht="16.5" customHeight="1" spans="1:15">
      <c r="B44" s="16" t="s">
        <v>165</v>
      </c>
      <c r="C44" s="22" t="s">
        <v>193</v>
      </c>
    </row>
    <row r="45" s="7" customFormat="1" ht="16.5" customHeight="1" spans="1:15">
      <c r="B45" s="16" t="s">
        <v>166</v>
      </c>
      <c r="C45" s="22" t="s">
        <v>194</v>
      </c>
    </row>
    <row r="46" s="7" customFormat="1" ht="16.5" customHeight="1" spans="1:15">
      <c r="B46" s="16" t="s">
        <v>167</v>
      </c>
      <c r="C46" s="22" t="s">
        <v>195</v>
      </c>
    </row>
    <row r="47" s="7" customFormat="1" ht="16.5" customHeight="1" spans="1:15">
      <c r="B47" s="16" t="s">
        <v>169</v>
      </c>
      <c r="C47" s="22" t="s">
        <v>196</v>
      </c>
    </row>
    <row r="48" s="7" customFormat="1" ht="16.5" customHeight="1" spans="1:15">
      <c r="B48" s="16" t="s">
        <v>170</v>
      </c>
      <c r="C48" s="22" t="s">
        <v>197</v>
      </c>
    </row>
    <row r="49" s="7" customFormat="1" ht="16.5" customHeight="1" spans="2:3">
      <c r="B49" s="16" t="s">
        <v>171</v>
      </c>
      <c r="C49" s="22" t="s">
        <v>198</v>
      </c>
    </row>
    <row r="50" s="7" customFormat="1" ht="16.5" customHeight="1" spans="2:3">
      <c r="B50" s="16" t="s">
        <v>172</v>
      </c>
      <c r="C50" s="22" t="s">
        <v>199</v>
      </c>
    </row>
    <row r="51" s="7" customFormat="1" ht="16.5" customHeight="1" spans="2:3">
      <c r="B51" s="16" t="s">
        <v>173</v>
      </c>
      <c r="C51" s="22" t="s">
        <v>200</v>
      </c>
    </row>
    <row r="52" s="7" customFormat="1" ht="16.5" customHeight="1" spans="2:3">
      <c r="B52" s="16" t="s">
        <v>174</v>
      </c>
      <c r="C52" s="22" t="s">
        <v>201</v>
      </c>
    </row>
    <row r="53" spans="2:3">
      <c r="B53" s="16" t="s">
        <v>175</v>
      </c>
      <c r="C53" s="22" t="s">
        <v>202</v>
      </c>
    </row>
    <row r="54" spans="2:3">
      <c r="B54" s="16" t="s">
        <v>181</v>
      </c>
      <c r="C54" s="22" t="s">
        <v>203</v>
      </c>
    </row>
    <row r="55" spans="2:3">
      <c r="B55" s="16" t="s">
        <v>182</v>
      </c>
      <c r="C55" s="22" t="s">
        <v>204</v>
      </c>
    </row>
    <row r="56" spans="2:3">
      <c r="B56" s="16" t="s">
        <v>183</v>
      </c>
      <c r="C56" s="22" t="s">
        <v>205</v>
      </c>
    </row>
    <row r="57" spans="2:3">
      <c r="B57" s="16" t="s">
        <v>184</v>
      </c>
      <c r="C57" s="22" t="s">
        <v>205</v>
      </c>
    </row>
    <row r="58" spans="2:3">
      <c r="B58" s="16" t="s">
        <v>185</v>
      </c>
      <c r="C58" s="22" t="s">
        <v>206</v>
      </c>
    </row>
    <row r="59" spans="2:3">
      <c r="B59" s="16" t="s">
        <v>186</v>
      </c>
      <c r="C59" s="22" t="s">
        <v>207</v>
      </c>
    </row>
    <row r="60" spans="2:3">
      <c r="B60" s="16" t="s">
        <v>187</v>
      </c>
      <c r="C60" s="22" t="s">
        <v>208</v>
      </c>
    </row>
    <row r="61" spans="2:3">
      <c r="B61" s="16" t="s">
        <v>176</v>
      </c>
      <c r="C61" s="22" t="s">
        <v>209</v>
      </c>
    </row>
    <row r="62" spans="2:3">
      <c r="B62" s="16" t="s">
        <v>177</v>
      </c>
      <c r="C62" s="22" t="s">
        <v>210</v>
      </c>
    </row>
    <row r="63" spans="2:3">
      <c r="B63" s="16" t="s">
        <v>178</v>
      </c>
      <c r="C63" s="22" t="s">
        <v>211</v>
      </c>
    </row>
    <row r="64" spans="2:3">
      <c r="B64" s="16" t="s">
        <v>179</v>
      </c>
      <c r="C64" s="22" t="s">
        <v>212</v>
      </c>
    </row>
    <row r="65" spans="2:3">
      <c r="B65" s="16" t="s">
        <v>180</v>
      </c>
      <c r="C65" s="22" t="s">
        <v>213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Q290"/>
  <sheetViews>
    <sheetView topLeftCell="A8" workbookViewId="0">
      <pane xSplit="4" topLeftCell="E1" activePane="topRight" state="frozen"/>
      <selection/>
      <selection pane="topRight" activeCell="M28" sqref="M28"/>
    </sheetView>
  </sheetViews>
  <sheetFormatPr defaultColWidth="9" defaultRowHeight="16.5" customHeight="1"/>
  <cols>
    <col min="1" max="3" width="9" style="1"/>
    <col min="4" max="4" width="9.86666666666667" style="1" customWidth="1"/>
    <col min="5" max="5" width="16.7583333333333" style="1" customWidth="1"/>
    <col min="6" max="6" width="17" style="1" customWidth="1"/>
    <col min="7" max="9" width="14.7583333333333" style="1" customWidth="1"/>
    <col min="10" max="10" width="14.8666666666667" style="1" customWidth="1"/>
    <col min="11" max="12" width="15.3666666666667" style="1" customWidth="1"/>
    <col min="13" max="14" width="12.8666666666667" style="1" customWidth="1"/>
    <col min="15" max="16" width="15" style="1" customWidth="1"/>
    <col min="17" max="19" width="12.8666666666667" style="1" customWidth="1"/>
    <col min="20" max="21" width="15" style="1" customWidth="1"/>
    <col min="22" max="24" width="12.8666666666667" style="1" customWidth="1"/>
    <col min="25" max="26" width="13.2583333333333" style="1" customWidth="1"/>
    <col min="27" max="27" width="12.8666666666667" style="1" customWidth="1"/>
    <col min="28" max="28" width="17.1333333333333" style="1" customWidth="1"/>
    <col min="29" max="32" width="15" style="1" customWidth="1"/>
    <col min="33" max="33" width="10.8666666666667" style="1" customWidth="1"/>
    <col min="34" max="36" width="14.1333333333333" style="1" customWidth="1"/>
    <col min="37" max="37" width="10.8666666666667" style="1" customWidth="1"/>
    <col min="38" max="40" width="15" style="1" customWidth="1"/>
    <col min="41" max="41" width="12.6333333333333" style="1" customWidth="1"/>
    <col min="42" max="42" width="9" style="1"/>
    <col min="43" max="43" width="9" style="1" hidden="1" customWidth="1"/>
    <col min="44" max="16384" width="9" style="1"/>
  </cols>
  <sheetData>
    <row r="2" customHeight="1" spans="1:43">
      <c r="A2" s="2" t="s">
        <v>214</v>
      </c>
      <c r="E2" s="3" t="s">
        <v>215</v>
      </c>
      <c r="G2" s="3" t="s">
        <v>216</v>
      </c>
      <c r="H2" s="3" t="s">
        <v>217</v>
      </c>
      <c r="I2" s="3" t="s">
        <v>218</v>
      </c>
      <c r="J2" s="3" t="s">
        <v>219</v>
      </c>
      <c r="K2" s="3" t="s">
        <v>220</v>
      </c>
      <c r="L2" s="3" t="s">
        <v>221</v>
      </c>
      <c r="AM2" s="3" t="s">
        <v>222</v>
      </c>
      <c r="AN2" s="3"/>
    </row>
    <row r="3" customHeight="1" spans="1:43">
      <c r="A3" s="2" t="s">
        <v>223</v>
      </c>
      <c r="D3" s="1" t="s">
        <v>224</v>
      </c>
      <c r="E3" s="4">
        <v>1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AM3" s="4">
        <v>35</v>
      </c>
      <c r="AN3" s="4"/>
    </row>
    <row r="4" customHeight="1" spans="1:43">
      <c r="A4" s="2" t="s">
        <v>225</v>
      </c>
      <c r="C4" s="4">
        <v>20</v>
      </c>
      <c r="D4" s="1" t="s">
        <v>226</v>
      </c>
      <c r="E4" s="4">
        <v>1</v>
      </c>
      <c r="G4" s="4">
        <v>0.9</v>
      </c>
      <c r="H4" s="4">
        <v>0.7</v>
      </c>
      <c r="I4" s="4">
        <v>0.65</v>
      </c>
      <c r="J4" s="4">
        <v>0.6</v>
      </c>
      <c r="K4" s="4">
        <v>0.65</v>
      </c>
      <c r="L4" s="4">
        <v>0.7</v>
      </c>
      <c r="AM4" s="4">
        <v>55</v>
      </c>
      <c r="AN4" s="4"/>
    </row>
    <row r="5" customHeight="1" spans="1:43">
      <c r="A5" s="2" t="s">
        <v>227</v>
      </c>
      <c r="C5" s="1">
        <f>4+8+12+15*(C4-3)</f>
        <v>279</v>
      </c>
      <c r="D5" s="1" t="s">
        <v>228</v>
      </c>
      <c r="E5" s="4">
        <v>0.999999</v>
      </c>
      <c r="G5" s="4">
        <v>0.985</v>
      </c>
      <c r="H5" s="4">
        <v>0.98</v>
      </c>
      <c r="I5" s="4">
        <v>0.98</v>
      </c>
      <c r="J5" s="4">
        <v>0.98</v>
      </c>
      <c r="K5" s="4">
        <v>0.98</v>
      </c>
      <c r="L5" s="4">
        <v>0.98</v>
      </c>
      <c r="Z5" s="1">
        <v>1.2</v>
      </c>
      <c r="AA5" s="1">
        <v>1</v>
      </c>
      <c r="AB5" s="1">
        <v>1</v>
      </c>
      <c r="AC5" s="1">
        <v>1</v>
      </c>
      <c r="AL5" s="3" t="s">
        <v>229</v>
      </c>
      <c r="AM5" s="4">
        <v>1.01</v>
      </c>
      <c r="AN5" s="4"/>
    </row>
    <row r="6" customHeight="1" spans="1:43">
      <c r="A6" s="2"/>
      <c r="D6" s="1" t="s">
        <v>230</v>
      </c>
      <c r="E6" s="4"/>
      <c r="G6" s="4"/>
      <c r="H6" s="4"/>
      <c r="I6" s="4"/>
      <c r="J6" s="4"/>
      <c r="K6" s="4"/>
      <c r="L6" s="4"/>
      <c r="AL6" s="1">
        <f>MAX(AL12:AL290)</f>
        <v>2497204.47172538</v>
      </c>
      <c r="AM6" s="4"/>
      <c r="AN6" s="4"/>
    </row>
    <row r="7" customHeight="1" spans="1:43">
      <c r="A7" s="2"/>
      <c r="D7" s="1" t="s">
        <v>231</v>
      </c>
      <c r="E7" s="4"/>
      <c r="G7" s="4"/>
      <c r="H7" s="4"/>
      <c r="I7" s="4"/>
      <c r="J7" s="4"/>
      <c r="K7" s="4"/>
      <c r="L7" s="4"/>
      <c r="AM7" s="4"/>
      <c r="AN7" s="4"/>
    </row>
    <row r="8" customHeight="1" spans="1:43">
      <c r="A8" s="2"/>
      <c r="D8" s="1" t="s">
        <v>232</v>
      </c>
      <c r="E8" s="4">
        <v>1</v>
      </c>
      <c r="G8" s="4">
        <v>1</v>
      </c>
      <c r="H8" s="4">
        <v>14</v>
      </c>
      <c r="I8" s="4">
        <v>64</v>
      </c>
      <c r="J8" s="4">
        <v>30</v>
      </c>
      <c r="K8" s="4">
        <v>100</v>
      </c>
      <c r="L8" s="4">
        <v>15</v>
      </c>
      <c r="V8" s="4">
        <v>0.7</v>
      </c>
      <c r="W8" s="4">
        <v>0</v>
      </c>
      <c r="X8" s="1">
        <v>0.275</v>
      </c>
      <c r="Y8" s="4">
        <v>1</v>
      </c>
      <c r="Z8" s="4">
        <v>1</v>
      </c>
      <c r="AA8" s="4">
        <v>1</v>
      </c>
      <c r="AB8" s="4">
        <v>1</v>
      </c>
      <c r="AC8" s="4">
        <v>1</v>
      </c>
      <c r="AM8" s="4">
        <v>1</v>
      </c>
      <c r="AN8" s="4"/>
    </row>
    <row r="9" customHeight="1" spans="1:43">
      <c r="O9" s="5">
        <f>模块规划!$M$25</f>
        <v>3.8</v>
      </c>
      <c r="T9" s="5">
        <f>模块规划!$M$25</f>
        <v>3.8</v>
      </c>
      <c r="V9" s="1">
        <v>1</v>
      </c>
      <c r="W9" s="1">
        <v>0.4</v>
      </c>
      <c r="X9" s="1">
        <v>0.55</v>
      </c>
      <c r="Y9" s="4">
        <v>1</v>
      </c>
      <c r="Z9" s="1">
        <v>1</v>
      </c>
      <c r="AA9" s="1">
        <v>1</v>
      </c>
      <c r="AB9" s="1">
        <v>1</v>
      </c>
      <c r="AC9" s="1">
        <v>1</v>
      </c>
      <c r="AE9" s="5">
        <v>0</v>
      </c>
      <c r="AF9" s="5">
        <v>0.307692307692308</v>
      </c>
      <c r="AG9" s="1">
        <v>0.54529914529915</v>
      </c>
      <c r="AH9" s="1">
        <v>0.7</v>
      </c>
      <c r="AI9" s="1">
        <v>1.95</v>
      </c>
      <c r="AJ9" s="1">
        <v>1.6</v>
      </c>
    </row>
    <row r="10" customHeight="1" spans="1:43">
      <c r="H10" s="6">
        <f>模块规划!V13+模块规划!V14</f>
        <v>0.12</v>
      </c>
      <c r="I10" s="6">
        <f>模块规划!V15</f>
        <v>0.06</v>
      </c>
      <c r="J10" s="6">
        <f>模块规划!V17</f>
        <v>0.55</v>
      </c>
      <c r="K10" s="6">
        <f>模块规划!V16</f>
        <v>0.21</v>
      </c>
      <c r="L10" s="6">
        <f>模块规划!V18+模块规划!V19</f>
        <v>0.15</v>
      </c>
      <c r="M10" s="7" t="s">
        <v>233</v>
      </c>
      <c r="N10" s="7" t="s">
        <v>234</v>
      </c>
      <c r="O10" s="7" t="s">
        <v>235</v>
      </c>
      <c r="P10" s="8" t="s">
        <v>236</v>
      </c>
      <c r="Q10" s="7"/>
      <c r="R10" s="7" t="s">
        <v>233</v>
      </c>
      <c r="S10" s="7" t="s">
        <v>234</v>
      </c>
      <c r="T10" s="7" t="s">
        <v>235</v>
      </c>
      <c r="U10" s="8" t="s">
        <v>236</v>
      </c>
      <c r="Y10" s="9" t="s">
        <v>237</v>
      </c>
      <c r="Z10" s="9"/>
      <c r="AA10" s="9"/>
      <c r="AB10" s="9"/>
      <c r="AC10" s="9"/>
      <c r="AD10" s="10"/>
      <c r="AK10" s="10"/>
    </row>
    <row r="11" customHeight="1" spans="1:43">
      <c r="A11" s="3" t="s">
        <v>238</v>
      </c>
      <c r="B11" s="3" t="s">
        <v>239</v>
      </c>
      <c r="C11" s="3" t="s">
        <v>240</v>
      </c>
      <c r="D11" s="3" t="s">
        <v>241</v>
      </c>
      <c r="E11" s="3" t="s">
        <v>215</v>
      </c>
      <c r="F11" s="3" t="s">
        <v>242</v>
      </c>
      <c r="G11" s="3" t="s">
        <v>216</v>
      </c>
      <c r="H11" s="3" t="s">
        <v>217</v>
      </c>
      <c r="I11" s="3" t="s">
        <v>218</v>
      </c>
      <c r="J11" s="3" t="s">
        <v>219</v>
      </c>
      <c r="K11" s="3" t="s">
        <v>220</v>
      </c>
      <c r="L11" s="3" t="s">
        <v>221</v>
      </c>
      <c r="M11" s="3" t="s">
        <v>3</v>
      </c>
      <c r="N11" s="3" t="s">
        <v>3</v>
      </c>
      <c r="O11" s="3" t="s">
        <v>243</v>
      </c>
      <c r="P11" s="3" t="s">
        <v>3</v>
      </c>
      <c r="Q11" s="3" t="s">
        <v>244</v>
      </c>
      <c r="R11" s="3" t="s">
        <v>2</v>
      </c>
      <c r="S11" s="3" t="s">
        <v>2</v>
      </c>
      <c r="T11" s="3" t="s">
        <v>245</v>
      </c>
      <c r="U11" s="3" t="s">
        <v>2</v>
      </c>
      <c r="V11" s="3" t="s">
        <v>246</v>
      </c>
      <c r="W11" s="3" t="s">
        <v>247</v>
      </c>
      <c r="X11" s="3" t="s">
        <v>248</v>
      </c>
      <c r="Y11" s="3" t="s">
        <v>249</v>
      </c>
      <c r="Z11" s="3" t="s">
        <v>250</v>
      </c>
      <c r="AA11" s="3" t="s">
        <v>251</v>
      </c>
      <c r="AB11" s="3" t="s">
        <v>252</v>
      </c>
      <c r="AC11" s="3" t="s">
        <v>253</v>
      </c>
      <c r="AD11" s="3" t="s">
        <v>254</v>
      </c>
      <c r="AE11" s="3" t="s">
        <v>255</v>
      </c>
      <c r="AF11" s="3" t="s">
        <v>256</v>
      </c>
      <c r="AG11" s="3" t="s">
        <v>257</v>
      </c>
      <c r="AH11" s="3" t="s">
        <v>258</v>
      </c>
      <c r="AI11" s="3" t="s">
        <v>259</v>
      </c>
      <c r="AJ11" s="3" t="s">
        <v>260</v>
      </c>
      <c r="AK11" s="3" t="s">
        <v>261</v>
      </c>
      <c r="AL11" s="3" t="s">
        <v>262</v>
      </c>
      <c r="AM11" s="3" t="s">
        <v>222</v>
      </c>
      <c r="AN11" s="3" t="s">
        <v>263</v>
      </c>
      <c r="AO11" s="3" t="s">
        <v>264</v>
      </c>
      <c r="AP11" s="3" t="s">
        <v>265</v>
      </c>
      <c r="AQ11" s="3" t="s">
        <v>266</v>
      </c>
    </row>
    <row r="12" customHeight="1" spans="1:43">
      <c r="A12" s="1">
        <f>IFERROR(_xlfn.XLOOKUP(B12,_曲线基线!$G$3:$G$107,_曲线基线!$J$3:$J$107,""),"")</f>
        <v>1</v>
      </c>
      <c r="B12" s="1">
        <f t="array" ref="B12:B290">_xlfn.SEQUENCE(C5,1,1,1)</f>
        <v>1</v>
      </c>
      <c r="C12" s="1">
        <v>0</v>
      </c>
      <c r="D12" s="1">
        <v>1</v>
      </c>
      <c r="E12" s="1">
        <f t="shared" ref="E12:E75" si="0">IF($B12&lt;E$8,0,E$3+(E$4-E$3)*(POWER(E$5,$B12-E$8)-1)/(POWER(E$5,$C$5-E$8)-1))</f>
        <v>1</v>
      </c>
      <c r="F12" s="11">
        <f>1+IF(B12&lt;3,0,MIN(1,(B12-2)/4))+IF(B12&lt;7,0,MIN(1,(B12-6)/3))+IF(B12&lt;10,0,MIN(1,(B12-9)/5))+IF(B12&lt;20,0,MIN(1,(B12-19)/10))</f>
        <v>1</v>
      </c>
      <c r="G12" s="12">
        <f t="shared" ref="G12:L12" si="1">IF($B12&lt;G$8,0,G$3+(G$4-G$3)*(POWER(G$5,$B12-G$8)-1)/(POWER(G$5,$C$5-G$8)-1))</f>
        <v>0</v>
      </c>
      <c r="H12" s="12">
        <f t="shared" si="1"/>
        <v>0</v>
      </c>
      <c r="I12" s="12">
        <f t="shared" si="1"/>
        <v>0</v>
      </c>
      <c r="J12" s="12">
        <f t="shared" si="1"/>
        <v>0</v>
      </c>
      <c r="K12" s="12">
        <f t="shared" si="1"/>
        <v>0</v>
      </c>
      <c r="L12" s="12">
        <f t="shared" si="1"/>
        <v>0</v>
      </c>
      <c r="M12" s="2">
        <f>E12*模块规划!$F$10+G12*模块规划!$F$11+H12*模块规划!$F$13</f>
        <v>1000</v>
      </c>
      <c r="N12" s="2">
        <f>I12*模块规划!$F$15+J12*模块规划!$F$17+K12*模块规划!$F$16+L12*模块规划!$F$18</f>
        <v>0</v>
      </c>
      <c r="O12" s="2">
        <f t="shared" ref="O12:O75" si="2">1+O$9*SUMPRODUCT($H$10:$L$10,H12:L12)/SUM($H$10:$L$10)</f>
        <v>1</v>
      </c>
      <c r="P12" s="13">
        <f t="shared" ref="P12:P75" si="3">M12*O12+N12</f>
        <v>1000</v>
      </c>
      <c r="Q12" s="7">
        <f>P12/(P12+_曲线基线!$L$2)</f>
        <v>0.04</v>
      </c>
      <c r="R12" s="2">
        <f>E12*模块规划!$E$10+G12*模块规划!$E$11+H12*模块规划!$E$13</f>
        <v>1500</v>
      </c>
      <c r="S12" s="2">
        <f>I12*模块规划!$E$15+J12*模块规划!$E$17+K12*模块规划!$E$16+L12*模块规划!$E$18</f>
        <v>0</v>
      </c>
      <c r="T12" s="2">
        <f t="shared" ref="T12:T75" si="4">1+T$9*SUMPRODUCT($H$10:$L$10,H12:L12)/SUM($H$10:$L$10)</f>
        <v>1</v>
      </c>
      <c r="U12" s="13">
        <f t="shared" ref="U12:U75" si="5">R12*T12+S12</f>
        <v>1500</v>
      </c>
      <c r="V12" s="2">
        <f t="shared" ref="V12:V75" si="6">V$8+(V$9-V$8)*H12</f>
        <v>0.7</v>
      </c>
      <c r="W12" s="2">
        <f t="shared" ref="W12:W75" si="7">IF(B12&lt;$H$8,0,W$8+(W$9-W$8)*H12)</f>
        <v>0</v>
      </c>
      <c r="X12" s="2">
        <f t="shared" ref="X12:X75" si="8">X$8+(X$9-X$8)*H12</f>
        <v>0.275</v>
      </c>
      <c r="Y12" s="2">
        <f t="shared" ref="Y12:Y75" si="9">Y$8+(Y$9-Y$8)*G12</f>
        <v>1</v>
      </c>
      <c r="Z12" s="2">
        <f t="shared" ref="Z12:Z75" si="10">Z$8+(Z$9-Z$8)*H12</f>
        <v>1</v>
      </c>
      <c r="AA12" s="2">
        <f t="shared" ref="AA12:AA75" si="11">AA$8+(AA$9-AA$8)*I12</f>
        <v>1</v>
      </c>
      <c r="AB12" s="2">
        <f t="shared" ref="AB12:AB75" si="12">AB$8+(AB$9-AB$8)*J12</f>
        <v>1</v>
      </c>
      <c r="AC12" s="2">
        <f t="shared" ref="AC12:AC75" si="13">AC$8+(AC$9-AC$8)*MAX(K12,L12)</f>
        <v>1</v>
      </c>
      <c r="AD12" s="1">
        <f t="shared" ref="AD12:AD75" si="14">(V12*AE12+W12*AF12+X12*AG12)*PRODUCT(Y12:AC12)</f>
        <v>0.975</v>
      </c>
      <c r="AE12" s="2">
        <f t="shared" ref="AE12:AE75" si="15">1+AE$9*($H$10*H12+$I$10*I12+$J$10*J12+$K$10*K12+$L$10*L12)</f>
        <v>1</v>
      </c>
      <c r="AF12" s="2">
        <f t="shared" ref="AF12:AF75" si="16">1+AF$9*($H$10*H12+$I$10*I12+$J$10*J12+$K$10*K12+$L$10*L12)</f>
        <v>1</v>
      </c>
      <c r="AG12" s="2">
        <f t="shared" ref="AG12:AG75" si="17">1+AG$9*($H$10*H12+$I$10*I12+$J$10*J12+$K$10*K12+$L$10*L12)</f>
        <v>1</v>
      </c>
      <c r="AH12" s="2">
        <f>MIN(1,_曲线基线!$L$3+AH$9*($H$10*H12+$I$10*I12+$J$10*J12+$K$10*K12+$L$10*L12))</f>
        <v>0.05</v>
      </c>
      <c r="AI12" s="2">
        <f>_曲线基线!$L$4+AI$9*($H$10*H12+$I$10*I12+$J$10*J12+$K$10*K12+$L$10*L12)</f>
        <v>2</v>
      </c>
      <c r="AJ12" s="2">
        <f t="shared" ref="AJ12:AJ75" si="18">1+AJ$9*($H$10*H12+$I$10*I12+$J$10*J12+$K$10*K12+$L$10*L12)</f>
        <v>1</v>
      </c>
      <c r="AK12" s="1">
        <f t="shared" ref="AK12:AK75" si="19">(1+AH12*(AI12-1))*AJ12</f>
        <v>1.05</v>
      </c>
      <c r="AL12" s="1">
        <f t="shared" ref="AL12:AL75" si="20">U12*AD12*AK12*F12</f>
        <v>1535.625</v>
      </c>
      <c r="AM12" s="14">
        <f t="shared" ref="AM12:AM75" si="21">IF($B12&lt;AM$8,0,AM$3+(AM$4-AM$3)*(POWER(AM$5,$B12-AM$8)-1)/(POWER(AM$5,$C$5-AM$8)-1))</f>
        <v>35</v>
      </c>
      <c r="AN12" s="14">
        <f>(((E12*模块规划!$D$10+G12*模块规划!$D$11+H12*模块规划!$D$13)*(1+模块规划!$G$14*H12)+(I12*模块规划!$D$15+J12*模块规划!$D$17+K12*模块规划!$D$16+L12*模块规划!$D$18))*(1+模块规划!$J$17*J12))*F12/(1-Q12)</f>
        <v>5208.33333333333</v>
      </c>
      <c r="AO12" s="1">
        <f t="shared" ref="AO12:AO75" si="22">AL12*AM12</f>
        <v>53746.875</v>
      </c>
      <c r="AP12" s="1">
        <f>IF(AO12="","",_xlfn.XLOOKUP(AO12,_曲线基线!$E$3:$E$502,_曲线基线!$A$3:$A$502,500,1))</f>
        <v>5</v>
      </c>
      <c r="AQ12" s="15">
        <f>IF(B12&lt;=2,1,IF(B12&lt;=6,2,IF(B12&lt;=9,3,IF(B12&lt;=19,4,5))))</f>
        <v>1</v>
      </c>
    </row>
    <row r="13" customHeight="1" spans="1:43">
      <c r="A13" s="1">
        <f>IFERROR(_xlfn.XLOOKUP(B13,_曲线基线!$G$3:$G$107,_曲线基线!$J$3:$J$107,""),"")</f>
        <v>2</v>
      </c>
      <c r="B13" s="1">
        <v>2</v>
      </c>
      <c r="C13" s="1">
        <v>0</v>
      </c>
      <c r="D13" s="1">
        <v>2</v>
      </c>
      <c r="E13" s="1">
        <f t="shared" si="0"/>
        <v>1</v>
      </c>
      <c r="F13" s="11">
        <f t="shared" ref="F13:F76" si="23">1+IF(B13&lt;3,0,MIN(1,(B13-2)/4))+IF(B13&lt;7,0,MIN(1,(B13-6)/3))+IF(B13&lt;10,0,MIN(1,(B13-9)/5))+IF(B13&lt;20,0,MIN(1,(B13-19)/10))</f>
        <v>1</v>
      </c>
      <c r="G13" s="12">
        <f t="shared" ref="G13:L13" si="24">IF($B13&lt;G$8,0,G$3+(G$4-G$3)*(POWER(G$5,$B13-G$8)-1)/(POWER(G$5,$C$5-G$8)-1))</f>
        <v>0.0137051904544959</v>
      </c>
      <c r="H13" s="12">
        <f t="shared" si="24"/>
        <v>0</v>
      </c>
      <c r="I13" s="12">
        <f t="shared" si="24"/>
        <v>0</v>
      </c>
      <c r="J13" s="12">
        <f t="shared" si="24"/>
        <v>0</v>
      </c>
      <c r="K13" s="12">
        <f t="shared" si="24"/>
        <v>0</v>
      </c>
      <c r="L13" s="12">
        <f t="shared" si="24"/>
        <v>0</v>
      </c>
      <c r="M13" s="2">
        <f>E13*模块规划!$F$10+G13*模块规划!$F$11+H13*模块规划!$F$13</f>
        <v>1065.78491418158</v>
      </c>
      <c r="N13" s="2">
        <f>I13*模块规划!$F$15+J13*模块规划!$F$17+K13*模块规划!$F$16+L13*模块规划!$F$18</f>
        <v>0</v>
      </c>
      <c r="O13" s="2">
        <f t="shared" si="2"/>
        <v>1</v>
      </c>
      <c r="P13" s="13">
        <f t="shared" si="3"/>
        <v>1065.78491418158</v>
      </c>
      <c r="Q13" s="7">
        <f>P13/(P13+_曲线基线!$L$2)</f>
        <v>0.0425195108723121</v>
      </c>
      <c r="R13" s="2">
        <f>E13*模块规划!$E$10+G13*模块规划!$E$11+H13*模块规划!$E$13</f>
        <v>1598.67737127237</v>
      </c>
      <c r="S13" s="2">
        <f>I13*模块规划!$E$15+J13*模块规划!$E$17+K13*模块规划!$E$16+L13*模块规划!$E$18</f>
        <v>0</v>
      </c>
      <c r="T13" s="2">
        <f t="shared" si="4"/>
        <v>1</v>
      </c>
      <c r="U13" s="13">
        <f t="shared" si="5"/>
        <v>1598.67737127237</v>
      </c>
      <c r="V13" s="2">
        <f t="shared" si="6"/>
        <v>0.7</v>
      </c>
      <c r="W13" s="2">
        <f t="shared" si="7"/>
        <v>0</v>
      </c>
      <c r="X13" s="2">
        <f t="shared" si="8"/>
        <v>0.275</v>
      </c>
      <c r="Y13" s="2">
        <f t="shared" si="9"/>
        <v>1</v>
      </c>
      <c r="Z13" s="2">
        <f t="shared" si="10"/>
        <v>1</v>
      </c>
      <c r="AA13" s="2">
        <f t="shared" si="11"/>
        <v>1</v>
      </c>
      <c r="AB13" s="2">
        <f t="shared" si="12"/>
        <v>1</v>
      </c>
      <c r="AC13" s="2">
        <f t="shared" si="13"/>
        <v>1</v>
      </c>
      <c r="AD13" s="1">
        <f t="shared" si="14"/>
        <v>0.975</v>
      </c>
      <c r="AE13" s="2">
        <f t="shared" si="15"/>
        <v>1</v>
      </c>
      <c r="AF13" s="2">
        <f t="shared" si="16"/>
        <v>1</v>
      </c>
      <c r="AG13" s="2">
        <f t="shared" si="17"/>
        <v>1</v>
      </c>
      <c r="AH13" s="2">
        <f>MIN(1,_曲线基线!$L$3+AH$9*($H$10*H13+$I$10*I13+$J$10*J13+$K$10*K13+$L$10*L13))</f>
        <v>0.05</v>
      </c>
      <c r="AI13" s="2">
        <f>_曲线基线!$L$4+AI$9*($H$10*H13+$I$10*I13+$J$10*J13+$K$10*K13+$L$10*L13)</f>
        <v>2</v>
      </c>
      <c r="AJ13" s="2">
        <f t="shared" si="18"/>
        <v>1</v>
      </c>
      <c r="AK13" s="1">
        <f t="shared" si="19"/>
        <v>1.05</v>
      </c>
      <c r="AL13" s="1">
        <f t="shared" si="20"/>
        <v>1636.64595884009</v>
      </c>
      <c r="AM13" s="14">
        <f t="shared" si="21"/>
        <v>35.0134246399219</v>
      </c>
      <c r="AN13" s="14">
        <f>(((E13*模块规划!$D$10+G13*模块规划!$D$11+H13*模块规划!$D$13)*(1+模块规划!$G$14*H13)+(I13*模块规划!$D$15+J13*模块规划!$D$17+K13*模块规划!$D$16+L13*模块规划!$D$18))*(1+模块规划!$J$17*J13))*F13/(1-Q13)</f>
        <v>5565.56987992812</v>
      </c>
      <c r="AO13" s="1">
        <f t="shared" si="22"/>
        <v>57304.5799420802</v>
      </c>
      <c r="AP13" s="1">
        <f>IF(AO13="","",_xlfn.XLOOKUP(AO13,_曲线基线!$E$3:$E$502,_曲线基线!$A$3:$A$502,500,1))</f>
        <v>6</v>
      </c>
      <c r="AQ13" s="15">
        <f t="shared" ref="AQ13:AQ76" si="25">IF(B13&lt;=2,1,IF(B13&lt;=6,2,IF(B13&lt;=9,3,IF(B13&lt;=19,4,5))))</f>
        <v>1</v>
      </c>
    </row>
    <row r="14" customHeight="1" spans="1:43">
      <c r="A14" s="1">
        <f>IFERROR(_xlfn.XLOOKUP(B14,_曲线基线!$G$3:$G$107,_曲线基线!$J$3:$J$107,""),"")</f>
        <v>3</v>
      </c>
      <c r="B14" s="1">
        <v>3</v>
      </c>
      <c r="C14" s="1">
        <v>0</v>
      </c>
      <c r="D14" s="1">
        <v>3</v>
      </c>
      <c r="E14" s="1">
        <f t="shared" si="0"/>
        <v>1</v>
      </c>
      <c r="F14" s="11">
        <f t="shared" si="23"/>
        <v>1.25</v>
      </c>
      <c r="G14" s="12">
        <f t="shared" ref="G14:L14" si="26">IF($B14&lt;G$8,0,G$3+(G$4-G$3)*(POWER(G$5,$B14-G$8)-1)/(POWER(G$5,$C$5-G$8)-1))</f>
        <v>0.0272048030521742</v>
      </c>
      <c r="H14" s="12">
        <f t="shared" si="26"/>
        <v>0</v>
      </c>
      <c r="I14" s="12">
        <f t="shared" si="26"/>
        <v>0</v>
      </c>
      <c r="J14" s="12">
        <f t="shared" si="26"/>
        <v>0</v>
      </c>
      <c r="K14" s="12">
        <f t="shared" si="26"/>
        <v>0</v>
      </c>
      <c r="L14" s="12">
        <f t="shared" si="26"/>
        <v>0</v>
      </c>
      <c r="M14" s="2">
        <f>E14*模块规划!$F$10+G14*模块规划!$F$11+H14*模块规划!$F$13</f>
        <v>1130.58305465044</v>
      </c>
      <c r="N14" s="2">
        <f>I14*模块规划!$F$15+J14*模块规划!$F$17+K14*模块规划!$F$16+L14*模块规划!$F$18</f>
        <v>0</v>
      </c>
      <c r="O14" s="2">
        <f t="shared" si="2"/>
        <v>1</v>
      </c>
      <c r="P14" s="13">
        <f t="shared" si="3"/>
        <v>1130.58305465044</v>
      </c>
      <c r="Q14" s="7">
        <f>P14/(P14+_曲线基线!$L$2)</f>
        <v>0.0449883336248828</v>
      </c>
      <c r="R14" s="2">
        <f>E14*模块规划!$E$10+G14*模块规划!$E$11+H14*模块规划!$E$13</f>
        <v>1695.87458197565</v>
      </c>
      <c r="S14" s="2">
        <f>I14*模块规划!$E$15+J14*模块规划!$E$17+K14*模块规划!$E$16+L14*模块规划!$E$18</f>
        <v>0</v>
      </c>
      <c r="T14" s="2">
        <f t="shared" si="4"/>
        <v>1</v>
      </c>
      <c r="U14" s="13">
        <f t="shared" si="5"/>
        <v>1695.87458197565</v>
      </c>
      <c r="V14" s="2">
        <f t="shared" si="6"/>
        <v>0.7</v>
      </c>
      <c r="W14" s="2">
        <f t="shared" si="7"/>
        <v>0</v>
      </c>
      <c r="X14" s="2">
        <f t="shared" si="8"/>
        <v>0.275</v>
      </c>
      <c r="Y14" s="2">
        <f t="shared" si="9"/>
        <v>1</v>
      </c>
      <c r="Z14" s="2">
        <f t="shared" si="10"/>
        <v>1</v>
      </c>
      <c r="AA14" s="2">
        <f t="shared" si="11"/>
        <v>1</v>
      </c>
      <c r="AB14" s="2">
        <f t="shared" si="12"/>
        <v>1</v>
      </c>
      <c r="AC14" s="2">
        <f t="shared" si="13"/>
        <v>1</v>
      </c>
      <c r="AD14" s="1">
        <f t="shared" si="14"/>
        <v>0.975</v>
      </c>
      <c r="AE14" s="2">
        <f t="shared" si="15"/>
        <v>1</v>
      </c>
      <c r="AF14" s="2">
        <f t="shared" si="16"/>
        <v>1</v>
      </c>
      <c r="AG14" s="2">
        <f t="shared" si="17"/>
        <v>1</v>
      </c>
      <c r="AH14" s="2">
        <f>MIN(1,_曲线基线!$L$3+AH$9*($H$10*H14+$I$10*I14+$J$10*J14+$K$10*K14+$L$10*L14))</f>
        <v>0.05</v>
      </c>
      <c r="AI14" s="2">
        <f>_曲线基线!$L$4+AI$9*($H$10*H14+$I$10*I14+$J$10*J14+$K$10*K14+$L$10*L14)</f>
        <v>2</v>
      </c>
      <c r="AJ14" s="2">
        <f t="shared" si="18"/>
        <v>1</v>
      </c>
      <c r="AK14" s="1">
        <f t="shared" si="19"/>
        <v>1.05</v>
      </c>
      <c r="AL14" s="1">
        <f t="shared" si="20"/>
        <v>2170.18950412196</v>
      </c>
      <c r="AM14" s="14">
        <f t="shared" si="21"/>
        <v>35.026983526243</v>
      </c>
      <c r="AN14" s="14">
        <f>(((E14*模块规划!$D$10+G14*模块规划!$D$11+H14*模块规划!$D$13)*(1+模块规划!$G$14*H14)+(I14*模块规划!$D$15+J14*模块规划!$D$17+K14*模块规划!$D$16+L14*模块规划!$D$18))*(1+模块规划!$J$17*J14))*F14/(1-Q14)</f>
        <v>7399.01337371697</v>
      </c>
      <c r="AO14" s="1">
        <f t="shared" si="22"/>
        <v>76015.1920097055</v>
      </c>
      <c r="AP14" s="1">
        <f>IF(AO14="","",_xlfn.XLOOKUP(AO14,_曲线基线!$E$3:$E$502,_曲线基线!$A$3:$A$502,500,1))</f>
        <v>7</v>
      </c>
      <c r="AQ14" s="15">
        <f t="shared" si="25"/>
        <v>2</v>
      </c>
    </row>
    <row r="15" customHeight="1" spans="1:43">
      <c r="A15" s="1">
        <f>IFERROR(_xlfn.XLOOKUP(B15,_曲线基线!$G$3:$G$107,_曲线基线!$J$3:$J$107,""),"")</f>
        <v>4</v>
      </c>
      <c r="B15" s="1">
        <v>4</v>
      </c>
      <c r="C15" s="1">
        <v>0</v>
      </c>
      <c r="D15" s="1">
        <v>4</v>
      </c>
      <c r="E15" s="1">
        <f t="shared" si="0"/>
        <v>1</v>
      </c>
      <c r="F15" s="11">
        <f t="shared" si="23"/>
        <v>1.5</v>
      </c>
      <c r="G15" s="12">
        <f t="shared" ref="G15:L15" si="27">IF($B15&lt;G$8,0,G$3+(G$4-G$3)*(POWER(G$5,$B15-G$8)-1)/(POWER(G$5,$C$5-G$8)-1))</f>
        <v>0.0405019214608875</v>
      </c>
      <c r="H15" s="12">
        <f t="shared" si="27"/>
        <v>0</v>
      </c>
      <c r="I15" s="12">
        <f t="shared" si="27"/>
        <v>0</v>
      </c>
      <c r="J15" s="12">
        <f t="shared" si="27"/>
        <v>0</v>
      </c>
      <c r="K15" s="12">
        <f t="shared" si="27"/>
        <v>0</v>
      </c>
      <c r="L15" s="12">
        <f t="shared" si="27"/>
        <v>0</v>
      </c>
      <c r="M15" s="2">
        <f>E15*模块规划!$F$10+G15*模块规划!$F$11+H15*模块规划!$F$13</f>
        <v>1194.40922301226</v>
      </c>
      <c r="N15" s="2">
        <f>I15*模块规划!$F$15+J15*模块规划!$F$17+K15*模块规划!$F$16+L15*模块规划!$F$18</f>
        <v>0</v>
      </c>
      <c r="O15" s="2">
        <f t="shared" si="2"/>
        <v>1</v>
      </c>
      <c r="P15" s="13">
        <f t="shared" si="3"/>
        <v>1194.40922301226</v>
      </c>
      <c r="Q15" s="7">
        <f>P15/(P15+_曲线基线!$L$2)</f>
        <v>0.0474077090849704</v>
      </c>
      <c r="R15" s="2">
        <f>E15*模块规划!$E$10+G15*模块规划!$E$11+H15*模块规划!$E$13</f>
        <v>1791.61383451839</v>
      </c>
      <c r="S15" s="2">
        <f>I15*模块规划!$E$15+J15*模块规划!$E$17+K15*模块规划!$E$16+L15*模块规划!$E$18</f>
        <v>0</v>
      </c>
      <c r="T15" s="2">
        <f t="shared" si="4"/>
        <v>1</v>
      </c>
      <c r="U15" s="13">
        <f t="shared" si="5"/>
        <v>1791.61383451839</v>
      </c>
      <c r="V15" s="2">
        <f t="shared" si="6"/>
        <v>0.7</v>
      </c>
      <c r="W15" s="2">
        <f t="shared" si="7"/>
        <v>0</v>
      </c>
      <c r="X15" s="2">
        <f t="shared" si="8"/>
        <v>0.275</v>
      </c>
      <c r="Y15" s="2">
        <f t="shared" si="9"/>
        <v>1</v>
      </c>
      <c r="Z15" s="2">
        <f t="shared" si="10"/>
        <v>1</v>
      </c>
      <c r="AA15" s="2">
        <f t="shared" si="11"/>
        <v>1</v>
      </c>
      <c r="AB15" s="2">
        <f t="shared" si="12"/>
        <v>1</v>
      </c>
      <c r="AC15" s="2">
        <f t="shared" si="13"/>
        <v>1</v>
      </c>
      <c r="AD15" s="1">
        <f t="shared" si="14"/>
        <v>0.975</v>
      </c>
      <c r="AE15" s="2">
        <f t="shared" si="15"/>
        <v>1</v>
      </c>
      <c r="AF15" s="2">
        <f t="shared" si="16"/>
        <v>1</v>
      </c>
      <c r="AG15" s="2">
        <f t="shared" si="17"/>
        <v>1</v>
      </c>
      <c r="AH15" s="2">
        <f>MIN(1,_曲线基线!$L$3+AH$9*($H$10*H15+$I$10*I15+$J$10*J15+$K$10*K15+$L$10*L15))</f>
        <v>0.05</v>
      </c>
      <c r="AI15" s="2">
        <f>_曲线基线!$L$4+AI$9*($H$10*H15+$I$10*I15+$J$10*J15+$K$10*K15+$L$10*L15)</f>
        <v>2</v>
      </c>
      <c r="AJ15" s="2">
        <f t="shared" si="18"/>
        <v>1</v>
      </c>
      <c r="AK15" s="1">
        <f t="shared" si="19"/>
        <v>1.05</v>
      </c>
      <c r="AL15" s="1">
        <f t="shared" si="20"/>
        <v>2751.2469946323</v>
      </c>
      <c r="AM15" s="14">
        <f t="shared" si="21"/>
        <v>35.0406780014273</v>
      </c>
      <c r="AN15" s="14">
        <f>(((E15*模块规划!$D$10+G15*模块规划!$D$11+H15*模块规划!$D$13)*(1+模块规划!$G$14*H15)+(I15*模块规划!$D$15+J15*模块规划!$D$17+K15*模块规划!$D$16+L15*模块规划!$D$18))*(1+模块规划!$J$17*J15))*F15/(1-Q15)</f>
        <v>9403.88585759718</v>
      </c>
      <c r="AO15" s="1">
        <f t="shared" si="22"/>
        <v>96405.5600413051</v>
      </c>
      <c r="AP15" s="1">
        <f>IF(AO15="","",_xlfn.XLOOKUP(AO15,_曲线基线!$E$3:$E$502,_曲线基线!$A$3:$A$502,500,1))</f>
        <v>9</v>
      </c>
      <c r="AQ15" s="15">
        <f t="shared" si="25"/>
        <v>2</v>
      </c>
    </row>
    <row r="16" customHeight="1" spans="1:43">
      <c r="A16" s="1">
        <f>IFERROR(_xlfn.XLOOKUP(B16,_曲线基线!$G$3:$G$107,_曲线基线!$J$3:$J$107,""),"")</f>
        <v>5</v>
      </c>
      <c r="B16" s="1">
        <v>5</v>
      </c>
      <c r="C16" s="1">
        <v>1</v>
      </c>
      <c r="D16" s="1">
        <v>1</v>
      </c>
      <c r="E16" s="1">
        <f t="shared" si="0"/>
        <v>1</v>
      </c>
      <c r="F16" s="11">
        <f t="shared" si="23"/>
        <v>1.75</v>
      </c>
      <c r="G16" s="12">
        <f t="shared" ref="G16:L16" si="28">IF($B16&lt;G$8,0,G$3+(G$4-G$3)*(POWER(G$5,$B16-G$8)-1)/(POWER(G$5,$C$5-G$8)-1))</f>
        <v>0.05359958309347</v>
      </c>
      <c r="H16" s="12">
        <f t="shared" si="28"/>
        <v>0</v>
      </c>
      <c r="I16" s="12">
        <f t="shared" si="28"/>
        <v>0</v>
      </c>
      <c r="J16" s="12">
        <f t="shared" si="28"/>
        <v>0</v>
      </c>
      <c r="K16" s="12">
        <f t="shared" si="28"/>
        <v>0</v>
      </c>
      <c r="L16" s="12">
        <f t="shared" si="28"/>
        <v>0</v>
      </c>
      <c r="M16" s="2">
        <f>E16*模块规划!$F$10+G16*模块规划!$F$11+H16*模块规划!$F$13</f>
        <v>1257.27799884866</v>
      </c>
      <c r="N16" s="2">
        <f>I16*模块规划!$F$15+J16*模块规划!$F$17+K16*模块规划!$F$16+L16*模块规划!$F$18</f>
        <v>0</v>
      </c>
      <c r="O16" s="2">
        <f t="shared" si="2"/>
        <v>1</v>
      </c>
      <c r="P16" s="13">
        <f t="shared" si="3"/>
        <v>1257.27799884866</v>
      </c>
      <c r="Q16" s="7">
        <f>P16/(P16+_曲线基线!$L$2)</f>
        <v>0.0497788399409458</v>
      </c>
      <c r="R16" s="2">
        <f>E16*模块规划!$E$10+G16*模块规划!$E$11+H16*模块规划!$E$13</f>
        <v>1885.91699827298</v>
      </c>
      <c r="S16" s="2">
        <f>I16*模块规划!$E$15+J16*模块规划!$E$17+K16*模块规划!$E$16+L16*模块规划!$E$18</f>
        <v>0</v>
      </c>
      <c r="T16" s="2">
        <f t="shared" si="4"/>
        <v>1</v>
      </c>
      <c r="U16" s="13">
        <f t="shared" si="5"/>
        <v>1885.91699827298</v>
      </c>
      <c r="V16" s="2">
        <f t="shared" si="6"/>
        <v>0.7</v>
      </c>
      <c r="W16" s="2">
        <f t="shared" si="7"/>
        <v>0</v>
      </c>
      <c r="X16" s="2">
        <f t="shared" si="8"/>
        <v>0.275</v>
      </c>
      <c r="Y16" s="2">
        <f t="shared" si="9"/>
        <v>1</v>
      </c>
      <c r="Z16" s="2">
        <f t="shared" si="10"/>
        <v>1</v>
      </c>
      <c r="AA16" s="2">
        <f t="shared" si="11"/>
        <v>1</v>
      </c>
      <c r="AB16" s="2">
        <f t="shared" si="12"/>
        <v>1</v>
      </c>
      <c r="AC16" s="2">
        <f t="shared" si="13"/>
        <v>1</v>
      </c>
      <c r="AD16" s="1">
        <f t="shared" si="14"/>
        <v>0.975</v>
      </c>
      <c r="AE16" s="2">
        <f t="shared" si="15"/>
        <v>1</v>
      </c>
      <c r="AF16" s="2">
        <f t="shared" si="16"/>
        <v>1</v>
      </c>
      <c r="AG16" s="2">
        <f t="shared" si="17"/>
        <v>1</v>
      </c>
      <c r="AH16" s="2">
        <f>MIN(1,_曲线基线!$L$3+AH$9*($H$10*H16+$I$10*I16+$J$10*J16+$K$10*K16+$L$10*L16))</f>
        <v>0.05</v>
      </c>
      <c r="AI16" s="2">
        <f>_曲线基线!$L$4+AI$9*($H$10*H16+$I$10*I16+$J$10*J16+$K$10*K16+$L$10*L16)</f>
        <v>2</v>
      </c>
      <c r="AJ16" s="2">
        <f t="shared" si="18"/>
        <v>1</v>
      </c>
      <c r="AK16" s="1">
        <f t="shared" si="19"/>
        <v>1.05</v>
      </c>
      <c r="AL16" s="1">
        <f t="shared" si="20"/>
        <v>3378.73817221844</v>
      </c>
      <c r="AM16" s="14">
        <f t="shared" si="21"/>
        <v>35.0545094213634</v>
      </c>
      <c r="AN16" s="14">
        <f>(((E16*模块规划!$D$10+G16*模块规划!$D$11+H16*模块规划!$D$13)*(1+模块规划!$G$14*H16)+(I16*模块规划!$D$15+J16*模块规划!$D$17+K16*模块规划!$D$16+L16*模块规划!$D$18))*(1+模块规划!$J$17*J16))*F16/(1-Q16)</f>
        <v>11577.4968526717</v>
      </c>
      <c r="AO16" s="1">
        <f t="shared" si="22"/>
        <v>118440.009090351</v>
      </c>
      <c r="AP16" s="1">
        <f>IF(AO16="","",_xlfn.XLOOKUP(AO16,_曲线基线!$E$3:$E$502,_曲线基线!$A$3:$A$502,500,1))</f>
        <v>10</v>
      </c>
      <c r="AQ16" s="15">
        <f t="shared" si="25"/>
        <v>2</v>
      </c>
    </row>
    <row r="17" customHeight="1" spans="1:43">
      <c r="A17" s="1">
        <f>IFERROR(_xlfn.XLOOKUP(B17,_曲线基线!$G$3:$G$107,_曲线基线!$J$3:$J$107,""),"")</f>
        <v>6</v>
      </c>
      <c r="B17" s="1">
        <v>6</v>
      </c>
      <c r="C17" s="1">
        <v>1</v>
      </c>
      <c r="D17" s="1">
        <v>2</v>
      </c>
      <c r="E17" s="1">
        <f t="shared" si="0"/>
        <v>1</v>
      </c>
      <c r="F17" s="11">
        <f t="shared" si="23"/>
        <v>2</v>
      </c>
      <c r="G17" s="12">
        <f t="shared" ref="G17:L17" si="29">IF($B17&lt;G$8,0,G$3+(G$4-G$3)*(POWER(G$5,$B17-G$8)-1)/(POWER(G$5,$C$5-G$8)-1))</f>
        <v>0.0665007798015639</v>
      </c>
      <c r="H17" s="12">
        <f t="shared" si="29"/>
        <v>0</v>
      </c>
      <c r="I17" s="12">
        <f t="shared" si="29"/>
        <v>0</v>
      </c>
      <c r="J17" s="12">
        <f t="shared" si="29"/>
        <v>0</v>
      </c>
      <c r="K17" s="12">
        <f t="shared" si="29"/>
        <v>0</v>
      </c>
      <c r="L17" s="12">
        <f t="shared" si="29"/>
        <v>0</v>
      </c>
      <c r="M17" s="2">
        <f>E17*模块规划!$F$10+G17*模块规划!$F$11+H17*模块规划!$F$13</f>
        <v>1319.20374304751</v>
      </c>
      <c r="N17" s="2">
        <f>I17*模块规划!$F$15+J17*模块规划!$F$17+K17*模块规划!$F$16+L17*模块规划!$F$18</f>
        <v>0</v>
      </c>
      <c r="O17" s="2">
        <f t="shared" si="2"/>
        <v>1</v>
      </c>
      <c r="P17" s="13">
        <f t="shared" si="3"/>
        <v>1319.20374304751</v>
      </c>
      <c r="Q17" s="7">
        <f>P17/(P17+_曲线基线!$L$2)</f>
        <v>0.0521028921934306</v>
      </c>
      <c r="R17" s="2">
        <f>E17*模块规划!$E$10+G17*模块规划!$E$11+H17*模块规划!$E$13</f>
        <v>1978.80561457126</v>
      </c>
      <c r="S17" s="2">
        <f>I17*模块规划!$E$15+J17*模块规划!$E$17+K17*模块规划!$E$16+L17*模块规划!$E$18</f>
        <v>0</v>
      </c>
      <c r="T17" s="2">
        <f t="shared" si="4"/>
        <v>1</v>
      </c>
      <c r="U17" s="13">
        <f t="shared" si="5"/>
        <v>1978.80561457126</v>
      </c>
      <c r="V17" s="2">
        <f t="shared" si="6"/>
        <v>0.7</v>
      </c>
      <c r="W17" s="2">
        <f t="shared" si="7"/>
        <v>0</v>
      </c>
      <c r="X17" s="2">
        <f t="shared" si="8"/>
        <v>0.275</v>
      </c>
      <c r="Y17" s="2">
        <f t="shared" si="9"/>
        <v>1</v>
      </c>
      <c r="Z17" s="2">
        <f t="shared" si="10"/>
        <v>1</v>
      </c>
      <c r="AA17" s="2">
        <f t="shared" si="11"/>
        <v>1</v>
      </c>
      <c r="AB17" s="2">
        <f t="shared" si="12"/>
        <v>1</v>
      </c>
      <c r="AC17" s="2">
        <f t="shared" si="13"/>
        <v>1</v>
      </c>
      <c r="AD17" s="1">
        <f t="shared" si="14"/>
        <v>0.975</v>
      </c>
      <c r="AE17" s="2">
        <f t="shared" si="15"/>
        <v>1</v>
      </c>
      <c r="AF17" s="2">
        <f t="shared" si="16"/>
        <v>1</v>
      </c>
      <c r="AG17" s="2">
        <f t="shared" si="17"/>
        <v>1</v>
      </c>
      <c r="AH17" s="2">
        <f>MIN(1,_曲线基线!$L$3+AH$9*($H$10*H17+$I$10*I17+$J$10*J17+$K$10*K17+$L$10*L17))</f>
        <v>0.05</v>
      </c>
      <c r="AI17" s="2">
        <f>_曲线基线!$L$4+AI$9*($H$10*H17+$I$10*I17+$J$10*J17+$K$10*K17+$L$10*L17)</f>
        <v>2</v>
      </c>
      <c r="AJ17" s="2">
        <f t="shared" si="18"/>
        <v>1</v>
      </c>
      <c r="AK17" s="1">
        <f t="shared" si="19"/>
        <v>1.05</v>
      </c>
      <c r="AL17" s="1">
        <f t="shared" si="20"/>
        <v>4051.60449583466</v>
      </c>
      <c r="AM17" s="14">
        <f t="shared" si="21"/>
        <v>35.0684791554989</v>
      </c>
      <c r="AN17" s="14">
        <f>(((E17*模块规划!$D$10+G17*模块规划!$D$11+H17*模块规划!$D$13)*(1+模块规划!$G$14*H17)+(I17*模块规划!$D$15+J17*模块规划!$D$17+K17*模块规划!$D$16+L17*模块规划!$D$18))*(1+模块规划!$J$17*J17))*F17/(1-Q17)</f>
        <v>13917.1618120045</v>
      </c>
      <c r="AO17" s="1">
        <f t="shared" si="22"/>
        <v>142083.607808503</v>
      </c>
      <c r="AP17" s="1">
        <f>IF(AO17="","",_xlfn.XLOOKUP(AO17,_曲线基线!$E$3:$E$502,_曲线基线!$A$3:$A$502,500,1))</f>
        <v>12</v>
      </c>
      <c r="AQ17" s="15">
        <f t="shared" si="25"/>
        <v>2</v>
      </c>
    </row>
    <row r="18" customHeight="1" spans="1:43">
      <c r="A18" s="1">
        <f>IFERROR(_xlfn.XLOOKUP(B18,_曲线基线!$G$3:$G$107,_曲线基线!$J$3:$J$107,""),"")</f>
        <v>6</v>
      </c>
      <c r="B18" s="1">
        <v>7</v>
      </c>
      <c r="C18" s="1">
        <v>1</v>
      </c>
      <c r="D18" s="1">
        <v>3</v>
      </c>
      <c r="E18" s="1">
        <f t="shared" si="0"/>
        <v>1</v>
      </c>
      <c r="F18" s="11">
        <f t="shared" si="23"/>
        <v>2.33333333333333</v>
      </c>
      <c r="G18" s="12">
        <f t="shared" ref="G18:L18" si="30">IF($B18&lt;G$8,0,G$3+(G$4-G$3)*(POWER(G$5,$B18-G$8)-1)/(POWER(G$5,$C$5-G$8)-1))</f>
        <v>0.0792084585590362</v>
      </c>
      <c r="H18" s="12">
        <f t="shared" si="30"/>
        <v>0</v>
      </c>
      <c r="I18" s="12">
        <f t="shared" si="30"/>
        <v>0</v>
      </c>
      <c r="J18" s="12">
        <f t="shared" si="30"/>
        <v>0</v>
      </c>
      <c r="K18" s="12">
        <f t="shared" si="30"/>
        <v>0</v>
      </c>
      <c r="L18" s="12">
        <f t="shared" si="30"/>
        <v>0</v>
      </c>
      <c r="M18" s="2">
        <f>E18*模块规划!$F$10+G18*模块规划!$F$11+H18*模块规划!$F$13</f>
        <v>1380.20060108337</v>
      </c>
      <c r="N18" s="2">
        <f>I18*模块规划!$F$15+J18*模块规划!$F$17+K18*模块规划!$F$16+L18*模块规划!$F$18</f>
        <v>0</v>
      </c>
      <c r="O18" s="2">
        <f t="shared" si="2"/>
        <v>1</v>
      </c>
      <c r="P18" s="13">
        <f t="shared" si="3"/>
        <v>1380.20060108337</v>
      </c>
      <c r="Q18" s="7">
        <f>P18/(P18+_曲线基线!$L$2)</f>
        <v>0.0543809965404472</v>
      </c>
      <c r="R18" s="2">
        <f>E18*模块规划!$E$10+G18*模块规划!$E$11+H18*模块规划!$E$13</f>
        <v>2070.30090162506</v>
      </c>
      <c r="S18" s="2">
        <f>I18*模块规划!$E$15+J18*模块规划!$E$17+K18*模块规划!$E$16+L18*模块规划!$E$18</f>
        <v>0</v>
      </c>
      <c r="T18" s="2">
        <f t="shared" si="4"/>
        <v>1</v>
      </c>
      <c r="U18" s="13">
        <f t="shared" si="5"/>
        <v>2070.30090162506</v>
      </c>
      <c r="V18" s="2">
        <f t="shared" si="6"/>
        <v>0.7</v>
      </c>
      <c r="W18" s="2">
        <f t="shared" si="7"/>
        <v>0</v>
      </c>
      <c r="X18" s="2">
        <f t="shared" si="8"/>
        <v>0.275</v>
      </c>
      <c r="Y18" s="2">
        <f t="shared" si="9"/>
        <v>1</v>
      </c>
      <c r="Z18" s="2">
        <f t="shared" si="10"/>
        <v>1</v>
      </c>
      <c r="AA18" s="2">
        <f t="shared" si="11"/>
        <v>1</v>
      </c>
      <c r="AB18" s="2">
        <f t="shared" si="12"/>
        <v>1</v>
      </c>
      <c r="AC18" s="2">
        <f t="shared" si="13"/>
        <v>1</v>
      </c>
      <c r="AD18" s="1">
        <f t="shared" si="14"/>
        <v>0.975</v>
      </c>
      <c r="AE18" s="2">
        <f t="shared" si="15"/>
        <v>1</v>
      </c>
      <c r="AF18" s="2">
        <f t="shared" si="16"/>
        <v>1</v>
      </c>
      <c r="AG18" s="2">
        <f t="shared" si="17"/>
        <v>1</v>
      </c>
      <c r="AH18" s="2">
        <f>MIN(1,_曲线基线!$L$3+AH$9*($H$10*H18+$I$10*I18+$J$10*J18+$K$10*K18+$L$10*L18))</f>
        <v>0.05</v>
      </c>
      <c r="AI18" s="2">
        <f>_曲线基线!$L$4+AI$9*($H$10*H18+$I$10*I18+$J$10*J18+$K$10*K18+$L$10*L18)</f>
        <v>2</v>
      </c>
      <c r="AJ18" s="2">
        <f t="shared" si="18"/>
        <v>1</v>
      </c>
      <c r="AK18" s="1">
        <f t="shared" si="19"/>
        <v>1.05</v>
      </c>
      <c r="AL18" s="1">
        <f t="shared" si="20"/>
        <v>4945.43127875686</v>
      </c>
      <c r="AM18" s="14">
        <f t="shared" si="21"/>
        <v>35.0825885869758</v>
      </c>
      <c r="AN18" s="14">
        <f>(((E18*模块规划!$D$10+G18*模块规划!$D$11+H18*模块规划!$D$13)*(1+模块规划!$G$14*H18)+(I18*模块规划!$D$15+J18*模块规划!$D$17+K18*模块规划!$D$16+L18*模块规划!$D$18))*(1+模块规划!$J$17*J18))*F18/(1-Q18)</f>
        <v>17028.359505321</v>
      </c>
      <c r="AO18" s="1">
        <f t="shared" si="22"/>
        <v>173498.530937788</v>
      </c>
      <c r="AP18" s="1">
        <f>IF(AO18="","",_xlfn.XLOOKUP(AO18,_曲线基线!$E$3:$E$502,_曲线基线!$A$3:$A$502,500,1))</f>
        <v>14</v>
      </c>
      <c r="AQ18" s="15">
        <f t="shared" si="25"/>
        <v>3</v>
      </c>
    </row>
    <row r="19" customHeight="1" spans="1:43">
      <c r="A19" s="1">
        <f>IFERROR(_xlfn.XLOOKUP(B19,_曲线基线!$G$3:$G$107,_曲线基线!$J$3:$J$107,""),"")</f>
        <v>7</v>
      </c>
      <c r="B19" s="1">
        <v>8</v>
      </c>
      <c r="C19" s="1">
        <v>1</v>
      </c>
      <c r="D19" s="1">
        <v>4</v>
      </c>
      <c r="E19" s="1">
        <f t="shared" si="0"/>
        <v>1</v>
      </c>
      <c r="F19" s="11">
        <f t="shared" si="23"/>
        <v>2.66666666666667</v>
      </c>
      <c r="G19" s="12">
        <f t="shared" ref="G19:L19" si="31">IF($B19&lt;G$8,0,G$3+(G$4-G$3)*(POWER(G$5,$B19-G$8)-1)/(POWER(G$5,$C$5-G$8)-1))</f>
        <v>0.0917255221351466</v>
      </c>
      <c r="H19" s="12">
        <f t="shared" si="31"/>
        <v>0</v>
      </c>
      <c r="I19" s="12">
        <f t="shared" si="31"/>
        <v>0</v>
      </c>
      <c r="J19" s="12">
        <f t="shared" si="31"/>
        <v>0</v>
      </c>
      <c r="K19" s="12">
        <f t="shared" si="31"/>
        <v>0</v>
      </c>
      <c r="L19" s="12">
        <f t="shared" si="31"/>
        <v>0</v>
      </c>
      <c r="M19" s="2">
        <f>E19*模块规划!$F$10+G19*模块规划!$F$11+H19*模块规划!$F$13</f>
        <v>1440.2825062487</v>
      </c>
      <c r="N19" s="2">
        <f>I19*模块规划!$F$15+J19*模块规划!$F$17+K19*模块规划!$F$16+L19*模块规划!$F$18</f>
        <v>0</v>
      </c>
      <c r="O19" s="2">
        <f t="shared" si="2"/>
        <v>1</v>
      </c>
      <c r="P19" s="13">
        <f t="shared" si="3"/>
        <v>1440.2825062487</v>
      </c>
      <c r="Q19" s="7">
        <f>P19/(P19+_曲线基线!$L$2)</f>
        <v>0.0566142497000548</v>
      </c>
      <c r="R19" s="2">
        <f>E19*模块规划!$E$10+G19*模块规划!$E$11+H19*模块规划!$E$13</f>
        <v>2160.42375937306</v>
      </c>
      <c r="S19" s="2">
        <f>I19*模块规划!$E$15+J19*模块规划!$E$17+K19*模块规划!$E$16+L19*模块规划!$E$18</f>
        <v>0</v>
      </c>
      <c r="T19" s="2">
        <f t="shared" si="4"/>
        <v>1</v>
      </c>
      <c r="U19" s="13">
        <f t="shared" si="5"/>
        <v>2160.42375937306</v>
      </c>
      <c r="V19" s="2">
        <f t="shared" si="6"/>
        <v>0.7</v>
      </c>
      <c r="W19" s="2">
        <f t="shared" si="7"/>
        <v>0</v>
      </c>
      <c r="X19" s="2">
        <f t="shared" si="8"/>
        <v>0.275</v>
      </c>
      <c r="Y19" s="2">
        <f t="shared" si="9"/>
        <v>1</v>
      </c>
      <c r="Z19" s="2">
        <f t="shared" si="10"/>
        <v>1</v>
      </c>
      <c r="AA19" s="2">
        <f t="shared" si="11"/>
        <v>1</v>
      </c>
      <c r="AB19" s="2">
        <f t="shared" si="12"/>
        <v>1</v>
      </c>
      <c r="AC19" s="2">
        <f t="shared" si="13"/>
        <v>1</v>
      </c>
      <c r="AD19" s="1">
        <f t="shared" si="14"/>
        <v>0.975</v>
      </c>
      <c r="AE19" s="2">
        <f t="shared" si="15"/>
        <v>1</v>
      </c>
      <c r="AF19" s="2">
        <f t="shared" si="16"/>
        <v>1</v>
      </c>
      <c r="AG19" s="2">
        <f t="shared" si="17"/>
        <v>1</v>
      </c>
      <c r="AH19" s="2">
        <f>MIN(1,_曲线基线!$L$3+AH$9*($H$10*H19+$I$10*I19+$J$10*J19+$K$10*K19+$L$10*L19))</f>
        <v>0.05</v>
      </c>
      <c r="AI19" s="2">
        <f>_曲线基线!$L$4+AI$9*($H$10*H19+$I$10*I19+$J$10*J19+$K$10*K19+$L$10*L19)</f>
        <v>2</v>
      </c>
      <c r="AJ19" s="2">
        <f t="shared" si="18"/>
        <v>1</v>
      </c>
      <c r="AK19" s="1">
        <f t="shared" si="19"/>
        <v>1.05</v>
      </c>
      <c r="AL19" s="1">
        <f t="shared" si="20"/>
        <v>5897.95686308846</v>
      </c>
      <c r="AM19" s="14">
        <f t="shared" si="21"/>
        <v>35.0968391127674</v>
      </c>
      <c r="AN19" s="14">
        <f>(((E19*模块规划!$D$10+G19*模块规划!$D$11+H19*模块规划!$D$13)*(1+模块规划!$G$14*H19)+(I19*模块规划!$D$15+J19*模块规划!$D$17+K19*模块规划!$D$16+L19*模块规划!$D$18))*(1+模块规划!$J$17*J19))*F19/(1-Q19)</f>
        <v>20356.2188043194</v>
      </c>
      <c r="AO19" s="1">
        <f t="shared" si="22"/>
        <v>206999.643117858</v>
      </c>
      <c r="AP19" s="1">
        <f>IF(AO19="","",_xlfn.XLOOKUP(AO19,_曲线基线!$E$3:$E$502,_曲线基线!$A$3:$A$502,500,1))</f>
        <v>17</v>
      </c>
      <c r="AQ19" s="15">
        <f t="shared" si="25"/>
        <v>3</v>
      </c>
    </row>
    <row r="20" customHeight="1" spans="1:43">
      <c r="A20" s="1">
        <f>IFERROR(_xlfn.XLOOKUP(B20,_曲线基线!$G$3:$G$107,_曲线基线!$J$3:$J$107,""),"")</f>
        <v>8</v>
      </c>
      <c r="B20" s="1">
        <v>9</v>
      </c>
      <c r="C20" s="1">
        <v>1</v>
      </c>
      <c r="D20" s="1">
        <v>5</v>
      </c>
      <c r="E20" s="1">
        <f t="shared" si="0"/>
        <v>1</v>
      </c>
      <c r="F20" s="11">
        <f t="shared" si="23"/>
        <v>3</v>
      </c>
      <c r="G20" s="12">
        <f t="shared" ref="G20:L20" si="32">IF($B20&lt;G$8,0,G$3+(G$4-G$3)*(POWER(G$5,$B20-G$8)-1)/(POWER(G$5,$C$5-G$8)-1))</f>
        <v>0.104054829757615</v>
      </c>
      <c r="H20" s="12">
        <f t="shared" si="32"/>
        <v>0</v>
      </c>
      <c r="I20" s="12">
        <f t="shared" si="32"/>
        <v>0</v>
      </c>
      <c r="J20" s="12">
        <f t="shared" si="32"/>
        <v>0</v>
      </c>
      <c r="K20" s="12">
        <f t="shared" si="32"/>
        <v>0</v>
      </c>
      <c r="L20" s="12">
        <f t="shared" si="32"/>
        <v>0</v>
      </c>
      <c r="M20" s="2">
        <f>E20*模块规划!$F$10+G20*模块规划!$F$11+H20*模块规划!$F$13</f>
        <v>1499.46318283655</v>
      </c>
      <c r="N20" s="2">
        <f>I20*模块规划!$F$15+J20*模块规划!$F$17+K20*模块规划!$F$16+L20*模块规划!$F$18</f>
        <v>0</v>
      </c>
      <c r="O20" s="2">
        <f t="shared" si="2"/>
        <v>1</v>
      </c>
      <c r="P20" s="13">
        <f t="shared" si="3"/>
        <v>1499.46318283655</v>
      </c>
      <c r="Q20" s="7">
        <f>P20/(P20+_曲线基线!$L$2)</f>
        <v>0.0588037156737411</v>
      </c>
      <c r="R20" s="2">
        <f>E20*模块规划!$E$10+G20*模块规划!$E$11+H20*模块规划!$E$13</f>
        <v>2249.19477425483</v>
      </c>
      <c r="S20" s="2">
        <f>I20*模块规划!$E$15+J20*模块规划!$E$17+K20*模块规划!$E$16+L20*模块规划!$E$18</f>
        <v>0</v>
      </c>
      <c r="T20" s="2">
        <f t="shared" si="4"/>
        <v>1</v>
      </c>
      <c r="U20" s="13">
        <f t="shared" si="5"/>
        <v>2249.19477425483</v>
      </c>
      <c r="V20" s="2">
        <f t="shared" si="6"/>
        <v>0.7</v>
      </c>
      <c r="W20" s="2">
        <f t="shared" si="7"/>
        <v>0</v>
      </c>
      <c r="X20" s="2">
        <f t="shared" si="8"/>
        <v>0.275</v>
      </c>
      <c r="Y20" s="2">
        <f t="shared" si="9"/>
        <v>1</v>
      </c>
      <c r="Z20" s="2">
        <f t="shared" si="10"/>
        <v>1</v>
      </c>
      <c r="AA20" s="2">
        <f t="shared" si="11"/>
        <v>1</v>
      </c>
      <c r="AB20" s="2">
        <f t="shared" si="12"/>
        <v>1</v>
      </c>
      <c r="AC20" s="2">
        <f t="shared" si="13"/>
        <v>1</v>
      </c>
      <c r="AD20" s="1">
        <f t="shared" si="14"/>
        <v>0.975</v>
      </c>
      <c r="AE20" s="2">
        <f t="shared" si="15"/>
        <v>1</v>
      </c>
      <c r="AF20" s="2">
        <f t="shared" si="16"/>
        <v>1</v>
      </c>
      <c r="AG20" s="2">
        <f t="shared" si="17"/>
        <v>1</v>
      </c>
      <c r="AH20" s="2">
        <f>MIN(1,_曲线基线!$L$3+AH$9*($H$10*H20+$I$10*I20+$J$10*J20+$K$10*K20+$L$10*L20))</f>
        <v>0.05</v>
      </c>
      <c r="AI20" s="2">
        <f>_曲线基线!$L$4+AI$9*($H$10*H20+$I$10*I20+$J$10*J20+$K$10*K20+$L$10*L20)</f>
        <v>2</v>
      </c>
      <c r="AJ20" s="2">
        <f t="shared" si="18"/>
        <v>1</v>
      </c>
      <c r="AK20" s="1">
        <f t="shared" si="19"/>
        <v>1.05</v>
      </c>
      <c r="AL20" s="1">
        <f t="shared" si="20"/>
        <v>6907.83945043015</v>
      </c>
      <c r="AM20" s="14">
        <f t="shared" si="21"/>
        <v>35.1112321438169</v>
      </c>
      <c r="AN20" s="14">
        <f>(((E20*模块规划!$D$10+G20*模块规划!$D$11+H20*模块规划!$D$13)*(1+模块规划!$G$14*H20)+(I20*模块规划!$D$15+J20*模块规划!$D$17+K20*模块规划!$D$16+L20*模块规划!$D$18))*(1+模块规划!$J$17*J20))*F20/(1-Q20)</f>
        <v>23897.1913904747</v>
      </c>
      <c r="AO20" s="1">
        <f t="shared" si="22"/>
        <v>242542.754556269</v>
      </c>
      <c r="AP20" s="1">
        <f>IF(AO20="","",_xlfn.XLOOKUP(AO20,_曲线基线!$E$3:$E$502,_曲线基线!$A$3:$A$502,500,1))</f>
        <v>19</v>
      </c>
      <c r="AQ20" s="15">
        <f t="shared" si="25"/>
        <v>3</v>
      </c>
    </row>
    <row r="21" customHeight="1" spans="1:43">
      <c r="A21" s="1">
        <f>IFERROR(_xlfn.XLOOKUP(B21,_曲线基线!$G$3:$G$107,_曲线基线!$J$3:$J$107,""),"")</f>
        <v>9</v>
      </c>
      <c r="B21" s="1">
        <v>10</v>
      </c>
      <c r="C21" s="1">
        <v>1</v>
      </c>
      <c r="D21" s="1">
        <v>6</v>
      </c>
      <c r="E21" s="1">
        <f t="shared" si="0"/>
        <v>1</v>
      </c>
      <c r="F21" s="11">
        <f t="shared" si="23"/>
        <v>3.2</v>
      </c>
      <c r="G21" s="12">
        <f t="shared" ref="G21:L21" si="33">IF($B21&lt;G$8,0,G$3+(G$4-G$3)*(POWER(G$5,$B21-G$8)-1)/(POWER(G$5,$C$5-G$8)-1))</f>
        <v>0.116199197765747</v>
      </c>
      <c r="H21" s="12">
        <f t="shared" si="33"/>
        <v>0</v>
      </c>
      <c r="I21" s="12">
        <f t="shared" si="33"/>
        <v>0</v>
      </c>
      <c r="J21" s="12">
        <f t="shared" si="33"/>
        <v>0</v>
      </c>
      <c r="K21" s="12">
        <f t="shared" si="33"/>
        <v>0</v>
      </c>
      <c r="L21" s="12">
        <f t="shared" si="33"/>
        <v>0</v>
      </c>
      <c r="M21" s="2">
        <f>E21*模块规划!$F$10+G21*模块规划!$F$11+H21*模块规划!$F$13</f>
        <v>1557.75614927558</v>
      </c>
      <c r="N21" s="2">
        <f>I21*模块规划!$F$15+J21*模块规划!$F$17+K21*模块规划!$F$16+L21*模块规划!$F$18</f>
        <v>0</v>
      </c>
      <c r="O21" s="2">
        <f t="shared" si="2"/>
        <v>1</v>
      </c>
      <c r="P21" s="13">
        <f t="shared" si="3"/>
        <v>1557.75614927558</v>
      </c>
      <c r="Q21" s="7">
        <f>P21/(P21+_曲线基线!$L$2)</f>
        <v>0.0609504269536484</v>
      </c>
      <c r="R21" s="2">
        <f>E21*模块规划!$E$10+G21*模块规划!$E$11+H21*模块规划!$E$13</f>
        <v>2336.63422391338</v>
      </c>
      <c r="S21" s="2">
        <f>I21*模块规划!$E$15+J21*模块规划!$E$17+K21*模块规划!$E$16+L21*模块规划!$E$18</f>
        <v>0</v>
      </c>
      <c r="T21" s="2">
        <f t="shared" si="4"/>
        <v>1</v>
      </c>
      <c r="U21" s="13">
        <f t="shared" si="5"/>
        <v>2336.63422391338</v>
      </c>
      <c r="V21" s="2">
        <f t="shared" si="6"/>
        <v>0.7</v>
      </c>
      <c r="W21" s="2">
        <f t="shared" si="7"/>
        <v>0</v>
      </c>
      <c r="X21" s="2">
        <f t="shared" si="8"/>
        <v>0.275</v>
      </c>
      <c r="Y21" s="2">
        <f t="shared" si="9"/>
        <v>1</v>
      </c>
      <c r="Z21" s="2">
        <f t="shared" si="10"/>
        <v>1</v>
      </c>
      <c r="AA21" s="2">
        <f t="shared" si="11"/>
        <v>1</v>
      </c>
      <c r="AB21" s="2">
        <f t="shared" si="12"/>
        <v>1</v>
      </c>
      <c r="AC21" s="2">
        <f t="shared" si="13"/>
        <v>1</v>
      </c>
      <c r="AD21" s="1">
        <f t="shared" si="14"/>
        <v>0.975</v>
      </c>
      <c r="AE21" s="2">
        <f t="shared" si="15"/>
        <v>1</v>
      </c>
      <c r="AF21" s="2">
        <f t="shared" si="16"/>
        <v>1</v>
      </c>
      <c r="AG21" s="2">
        <f t="shared" si="17"/>
        <v>1</v>
      </c>
      <c r="AH21" s="2">
        <f>MIN(1,_曲线基线!$L$3+AH$9*($H$10*H21+$I$10*I21+$J$10*J21+$K$10*K21+$L$10*L21))</f>
        <v>0.05</v>
      </c>
      <c r="AI21" s="2">
        <f>_曲线基线!$L$4+AI$9*($H$10*H21+$I$10*I21+$J$10*J21+$K$10*K21+$L$10*L21)</f>
        <v>2</v>
      </c>
      <c r="AJ21" s="2">
        <f t="shared" si="18"/>
        <v>1</v>
      </c>
      <c r="AK21" s="1">
        <f t="shared" si="19"/>
        <v>1.05</v>
      </c>
      <c r="AL21" s="1">
        <f t="shared" si="20"/>
        <v>7654.81371754023</v>
      </c>
      <c r="AM21" s="14">
        <f t="shared" si="21"/>
        <v>35.125769105177</v>
      </c>
      <c r="AN21" s="14">
        <f>(((E21*模块规划!$D$10+G21*模块规划!$D$11+H21*模块规划!$D$13)*(1+模块规划!$G$14*H21)+(I21*模块规划!$D$15+J21*模块规划!$D$17+K21*模块规划!$D$16+L21*模块规划!$D$18))*(1+模块规划!$J$17*J21))*F21/(1-Q21)</f>
        <v>26541.83453548</v>
      </c>
      <c r="AO21" s="1">
        <f t="shared" si="22"/>
        <v>268881.21918546</v>
      </c>
      <c r="AP21" s="1">
        <f>IF(AO21="","",_xlfn.XLOOKUP(AO21,_曲线基线!$E$3:$E$502,_曲线基线!$A$3:$A$502,500,1))</f>
        <v>21</v>
      </c>
      <c r="AQ21" s="15">
        <f t="shared" si="25"/>
        <v>4</v>
      </c>
    </row>
    <row r="22" spans="1:43">
      <c r="A22" s="1">
        <f>IFERROR(_xlfn.XLOOKUP(B22,_曲线基线!$G$3:$G$107,_曲线基线!$J$3:$J$107,""),"")</f>
        <v>10</v>
      </c>
      <c r="B22" s="1">
        <v>11</v>
      </c>
      <c r="C22" s="1">
        <v>1</v>
      </c>
      <c r="D22" s="1">
        <v>7</v>
      </c>
      <c r="E22" s="1">
        <f t="shared" si="0"/>
        <v>1</v>
      </c>
      <c r="F22" s="11">
        <f t="shared" si="23"/>
        <v>3.4</v>
      </c>
      <c r="G22" s="12">
        <f t="shared" ref="G22:L22" si="34">IF($B22&lt;G$8,0,G$3+(G$4-G$3)*(POWER(G$5,$B22-G$8)-1)/(POWER(G$5,$C$5-G$8)-1))</f>
        <v>0.128161400253756</v>
      </c>
      <c r="H22" s="12">
        <f t="shared" si="34"/>
        <v>0</v>
      </c>
      <c r="I22" s="12">
        <f t="shared" si="34"/>
        <v>0</v>
      </c>
      <c r="J22" s="12">
        <f t="shared" si="34"/>
        <v>0</v>
      </c>
      <c r="K22" s="12">
        <f t="shared" si="34"/>
        <v>0</v>
      </c>
      <c r="L22" s="12">
        <f t="shared" si="34"/>
        <v>0</v>
      </c>
      <c r="M22" s="2">
        <f>E22*模块规划!$F$10+G22*模块规划!$F$11+H22*模块规划!$F$13</f>
        <v>1615.17472121803</v>
      </c>
      <c r="N22" s="2">
        <f>I22*模块规划!$F$15+J22*模块规划!$F$17+K22*模块规划!$F$16+L22*模块规划!$F$18</f>
        <v>0</v>
      </c>
      <c r="O22" s="2">
        <f t="shared" si="2"/>
        <v>1</v>
      </c>
      <c r="P22" s="13">
        <f t="shared" si="3"/>
        <v>1615.17472121803</v>
      </c>
      <c r="Q22" s="7">
        <f>P22/(P22+_曲线基线!$L$2)</f>
        <v>0.0630553856765271</v>
      </c>
      <c r="R22" s="2">
        <f>E22*模块规划!$E$10+G22*模块规划!$E$11+H22*模块规划!$E$13</f>
        <v>2422.76208182705</v>
      </c>
      <c r="S22" s="2">
        <f>I22*模块规划!$E$15+J22*模块规划!$E$17+K22*模块规划!$E$16+L22*模块规划!$E$18</f>
        <v>0</v>
      </c>
      <c r="T22" s="2">
        <f t="shared" si="4"/>
        <v>1</v>
      </c>
      <c r="U22" s="13">
        <f t="shared" si="5"/>
        <v>2422.76208182705</v>
      </c>
      <c r="V22" s="2">
        <f t="shared" si="6"/>
        <v>0.7</v>
      </c>
      <c r="W22" s="2">
        <f t="shared" si="7"/>
        <v>0</v>
      </c>
      <c r="X22" s="2">
        <f t="shared" si="8"/>
        <v>0.275</v>
      </c>
      <c r="Y22" s="2">
        <f t="shared" si="9"/>
        <v>1</v>
      </c>
      <c r="Z22" s="2">
        <f t="shared" si="10"/>
        <v>1</v>
      </c>
      <c r="AA22" s="2">
        <f t="shared" si="11"/>
        <v>1</v>
      </c>
      <c r="AB22" s="2">
        <f t="shared" si="12"/>
        <v>1</v>
      </c>
      <c r="AC22" s="2">
        <f t="shared" si="13"/>
        <v>1</v>
      </c>
      <c r="AD22" s="1">
        <f t="shared" si="14"/>
        <v>0.975</v>
      </c>
      <c r="AE22" s="2">
        <f t="shared" si="15"/>
        <v>1</v>
      </c>
      <c r="AF22" s="2">
        <f t="shared" si="16"/>
        <v>1</v>
      </c>
      <c r="AG22" s="2">
        <f t="shared" si="17"/>
        <v>1</v>
      </c>
      <c r="AH22" s="2">
        <f>MIN(1,_曲线基线!$L$3+AH$9*($H$10*H22+$I$10*I22+$J$10*J22+$K$10*K22+$L$10*L22))</f>
        <v>0.05</v>
      </c>
      <c r="AI22" s="2">
        <f>_曲线基线!$L$4+AI$9*($H$10*H22+$I$10*I22+$J$10*J22+$K$10*K22+$L$10*L22)</f>
        <v>2</v>
      </c>
      <c r="AJ22" s="2">
        <f t="shared" si="18"/>
        <v>1</v>
      </c>
      <c r="AK22" s="1">
        <f t="shared" si="19"/>
        <v>1.05</v>
      </c>
      <c r="AL22" s="1">
        <f t="shared" si="20"/>
        <v>8433.0291163195</v>
      </c>
      <c r="AM22" s="14">
        <f t="shared" si="21"/>
        <v>35.1404514361506</v>
      </c>
      <c r="AN22" s="14">
        <f>(((E22*模块规划!$D$10+G22*模块规划!$D$11+H22*模块规划!$D$13)*(1+模块规划!$G$14*H22)+(I22*模块规划!$D$15+J22*模块规划!$D$17+K22*模块规划!$D$16+L22*模块规划!$D$18))*(1+模块规划!$J$17*J22))*F22/(1-Q22)</f>
        <v>29305.8627382502</v>
      </c>
      <c r="AO22" s="1">
        <f t="shared" si="22"/>
        <v>296340.45012167</v>
      </c>
      <c r="AP22" s="1">
        <f>IF(AO22="","",_xlfn.XLOOKUP(AO22,_曲线基线!$E$3:$E$502,_曲线基线!$A$3:$A$502,500,1))</f>
        <v>22</v>
      </c>
      <c r="AQ22" s="15">
        <f t="shared" si="25"/>
        <v>4</v>
      </c>
    </row>
    <row r="23" customHeight="1" spans="1:43">
      <c r="A23" s="1">
        <f>IFERROR(_xlfn.XLOOKUP(B23,_曲线基线!$G$3:$G$107,_曲线基线!$J$3:$J$107,""),"")</f>
        <v>10</v>
      </c>
      <c r="B23" s="1">
        <v>12</v>
      </c>
      <c r="C23" s="1">
        <v>1</v>
      </c>
      <c r="D23" s="1">
        <v>8</v>
      </c>
      <c r="E23" s="1">
        <f t="shared" si="0"/>
        <v>1</v>
      </c>
      <c r="F23" s="11">
        <f t="shared" si="23"/>
        <v>3.6</v>
      </c>
      <c r="G23" s="12">
        <f t="shared" ref="G23:L23" si="35">IF($B23&lt;G$8,0,G$3+(G$4-G$3)*(POWER(G$5,$B23-G$8)-1)/(POWER(G$5,$C$5-G$8)-1))</f>
        <v>0.139944169704446</v>
      </c>
      <c r="H23" s="12">
        <f t="shared" si="35"/>
        <v>0</v>
      </c>
      <c r="I23" s="12">
        <f t="shared" si="35"/>
        <v>0</v>
      </c>
      <c r="J23" s="12">
        <f t="shared" si="35"/>
        <v>0</v>
      </c>
      <c r="K23" s="12">
        <f t="shared" si="35"/>
        <v>0</v>
      </c>
      <c r="L23" s="12">
        <f t="shared" si="35"/>
        <v>0</v>
      </c>
      <c r="M23" s="2">
        <f>E23*模块规划!$F$10+G23*模块规划!$F$11+H23*模块规划!$F$13</f>
        <v>1671.73201458134</v>
      </c>
      <c r="N23" s="2">
        <f>I23*模块规划!$F$15+J23*模块规划!$F$17+K23*模块规划!$F$16+L23*模块规划!$F$18</f>
        <v>0</v>
      </c>
      <c r="O23" s="2">
        <f t="shared" si="2"/>
        <v>1</v>
      </c>
      <c r="P23" s="13">
        <f t="shared" si="3"/>
        <v>1671.73201458134</v>
      </c>
      <c r="Q23" s="7">
        <f>P23/(P23+_曲线基线!$L$2)</f>
        <v>0.0651195647271407</v>
      </c>
      <c r="R23" s="2">
        <f>E23*模块规划!$E$10+G23*模块规划!$E$11+H23*模块规划!$E$13</f>
        <v>2507.59802187201</v>
      </c>
      <c r="S23" s="2">
        <f>I23*模块规划!$E$15+J23*模块规划!$E$17+K23*模块规划!$E$16+L23*模块规划!$E$18</f>
        <v>0</v>
      </c>
      <c r="T23" s="2">
        <f t="shared" si="4"/>
        <v>1</v>
      </c>
      <c r="U23" s="13">
        <f t="shared" si="5"/>
        <v>2507.59802187201</v>
      </c>
      <c r="V23" s="2">
        <f t="shared" si="6"/>
        <v>0.7</v>
      </c>
      <c r="W23" s="2">
        <f t="shared" si="7"/>
        <v>0</v>
      </c>
      <c r="X23" s="2">
        <f t="shared" si="8"/>
        <v>0.275</v>
      </c>
      <c r="Y23" s="2">
        <f t="shared" si="9"/>
        <v>1</v>
      </c>
      <c r="Z23" s="2">
        <f t="shared" si="10"/>
        <v>1</v>
      </c>
      <c r="AA23" s="2">
        <f t="shared" si="11"/>
        <v>1</v>
      </c>
      <c r="AB23" s="2">
        <f t="shared" si="12"/>
        <v>1</v>
      </c>
      <c r="AC23" s="2">
        <f t="shared" si="13"/>
        <v>1</v>
      </c>
      <c r="AD23" s="1">
        <f t="shared" si="14"/>
        <v>0.975</v>
      </c>
      <c r="AE23" s="2">
        <f t="shared" si="15"/>
        <v>1</v>
      </c>
      <c r="AF23" s="2">
        <f t="shared" si="16"/>
        <v>1</v>
      </c>
      <c r="AG23" s="2">
        <f t="shared" si="17"/>
        <v>1</v>
      </c>
      <c r="AH23" s="2">
        <f>MIN(1,_曲线基线!$L$3+AH$9*($H$10*H23+$I$10*I23+$J$10*J23+$K$10*K23+$L$10*L23))</f>
        <v>0.05</v>
      </c>
      <c r="AI23" s="2">
        <f>_曲线基线!$L$4+AI$9*($H$10*H23+$I$10*I23+$J$10*J23+$K$10*K23+$L$10*L23)</f>
        <v>2</v>
      </c>
      <c r="AJ23" s="2">
        <f t="shared" si="18"/>
        <v>1</v>
      </c>
      <c r="AK23" s="1">
        <f t="shared" si="19"/>
        <v>1.05</v>
      </c>
      <c r="AL23" s="1">
        <f t="shared" si="20"/>
        <v>9241.75250960929</v>
      </c>
      <c r="AM23" s="14">
        <f t="shared" si="21"/>
        <v>35.155280590434</v>
      </c>
      <c r="AN23" s="14">
        <f>(((E23*模块规划!$D$10+G23*模块规划!$D$11+H23*模块规划!$D$13)*(1+模块规划!$G$14*H23)+(I23*模块规划!$D$15+J23*模块规划!$D$17+K23*模块规划!$D$16+L23*模块规划!$D$18))*(1+模块规划!$J$17*J23))*F23/(1-Q23)</f>
        <v>32187.1922088963</v>
      </c>
      <c r="AO23" s="1">
        <f t="shared" si="22"/>
        <v>324896.402622662</v>
      </c>
      <c r="AP23" s="1">
        <f>IF(AO23="","",_xlfn.XLOOKUP(AO23,_曲线基线!$E$3:$E$502,_曲线基线!$A$3:$A$502,500,1))</f>
        <v>24</v>
      </c>
      <c r="AQ23" s="15">
        <f t="shared" si="25"/>
        <v>4</v>
      </c>
    </row>
    <row r="24" customHeight="1" spans="1:43">
      <c r="A24" s="1">
        <f>IFERROR(_xlfn.XLOOKUP(B24,_曲线基线!$G$3:$G$107,_曲线基线!$J$3:$J$107,""),"")</f>
        <v>11</v>
      </c>
      <c r="B24" s="1">
        <v>13</v>
      </c>
      <c r="C24" s="1">
        <v>2</v>
      </c>
      <c r="D24" s="1">
        <v>1</v>
      </c>
      <c r="E24" s="1">
        <f t="shared" si="0"/>
        <v>1</v>
      </c>
      <c r="F24" s="11">
        <f t="shared" si="23"/>
        <v>3.8</v>
      </c>
      <c r="G24" s="12">
        <f t="shared" ref="G24:L24" si="36">IF($B24&lt;G$8,0,G$3+(G$4-G$3)*(POWER(G$5,$B24-G$8)-1)/(POWER(G$5,$C$5-G$8)-1))</f>
        <v>0.151550197613375</v>
      </c>
      <c r="H24" s="12">
        <f t="shared" si="36"/>
        <v>0</v>
      </c>
      <c r="I24" s="12">
        <f t="shared" si="36"/>
        <v>0</v>
      </c>
      <c r="J24" s="12">
        <f t="shared" si="36"/>
        <v>0</v>
      </c>
      <c r="K24" s="12">
        <f t="shared" si="36"/>
        <v>0</v>
      </c>
      <c r="L24" s="12">
        <f t="shared" si="36"/>
        <v>0</v>
      </c>
      <c r="M24" s="2">
        <f>E24*模块规划!$F$10+G24*模块规划!$F$11+H24*模块规划!$F$13</f>
        <v>1727.4409485442</v>
      </c>
      <c r="N24" s="2">
        <f>I24*模块规划!$F$15+J24*模块规划!$F$17+K24*模块规划!$F$16+L24*模块规划!$F$18</f>
        <v>0</v>
      </c>
      <c r="O24" s="2">
        <f t="shared" si="2"/>
        <v>1</v>
      </c>
      <c r="P24" s="13">
        <f t="shared" si="3"/>
        <v>1727.4409485442</v>
      </c>
      <c r="Q24" s="7">
        <f>P24/(P24+_曲线基线!$L$2)</f>
        <v>0.067143908793694</v>
      </c>
      <c r="R24" s="2">
        <f>E24*模块规划!$E$10+G24*模块规划!$E$11+H24*模块规划!$E$13</f>
        <v>2591.1614228163</v>
      </c>
      <c r="S24" s="2">
        <f>I24*模块规划!$E$15+J24*模块规划!$E$17+K24*模块规划!$E$16+L24*模块规划!$E$18</f>
        <v>0</v>
      </c>
      <c r="T24" s="2">
        <f t="shared" si="4"/>
        <v>1</v>
      </c>
      <c r="U24" s="13">
        <f t="shared" si="5"/>
        <v>2591.1614228163</v>
      </c>
      <c r="V24" s="2">
        <f t="shared" si="6"/>
        <v>0.7</v>
      </c>
      <c r="W24" s="2">
        <f t="shared" si="7"/>
        <v>0</v>
      </c>
      <c r="X24" s="2">
        <f t="shared" si="8"/>
        <v>0.275</v>
      </c>
      <c r="Y24" s="2">
        <f t="shared" si="9"/>
        <v>1</v>
      </c>
      <c r="Z24" s="2">
        <f t="shared" si="10"/>
        <v>1</v>
      </c>
      <c r="AA24" s="2">
        <f t="shared" si="11"/>
        <v>1</v>
      </c>
      <c r="AB24" s="2">
        <f t="shared" si="12"/>
        <v>1</v>
      </c>
      <c r="AC24" s="2">
        <f t="shared" si="13"/>
        <v>1</v>
      </c>
      <c r="AD24" s="1">
        <f t="shared" si="14"/>
        <v>0.975</v>
      </c>
      <c r="AE24" s="2">
        <f t="shared" si="15"/>
        <v>1</v>
      </c>
      <c r="AF24" s="2">
        <f t="shared" si="16"/>
        <v>1</v>
      </c>
      <c r="AG24" s="2">
        <f t="shared" si="17"/>
        <v>1</v>
      </c>
      <c r="AH24" s="2">
        <f>MIN(1,_曲线基线!$L$3+AH$9*($H$10*H24+$I$10*I24+$J$10*J24+$K$10*K24+$L$10*L24))</f>
        <v>0.05</v>
      </c>
      <c r="AI24" s="2">
        <f>_曲线基线!$L$4+AI$9*($H$10*H24+$I$10*I24+$J$10*J24+$K$10*K24+$L$10*L24)</f>
        <v>2</v>
      </c>
      <c r="AJ24" s="2">
        <f t="shared" si="18"/>
        <v>1</v>
      </c>
      <c r="AK24" s="1">
        <f t="shared" si="19"/>
        <v>1.05</v>
      </c>
      <c r="AL24" s="1">
        <f t="shared" si="20"/>
        <v>10080.2657251111</v>
      </c>
      <c r="AM24" s="14">
        <f t="shared" si="21"/>
        <v>35.1702580362602</v>
      </c>
      <c r="AN24" s="14">
        <f>(((E24*模块规划!$D$10+G24*模块规划!$D$11+H24*模块规划!$D$13)*(1+模块规划!$G$14*H24)+(I24*模块规划!$D$15+J24*模块规划!$D$17+K24*模块规划!$D$16+L24*模块规划!$D$18))*(1+模块规划!$J$17*J24))*F24/(1-Q24)</f>
        <v>35183.7527049831</v>
      </c>
      <c r="AO24" s="1">
        <f t="shared" si="22"/>
        <v>354525.546626227</v>
      </c>
      <c r="AP24" s="1">
        <f>IF(AO24="","",_xlfn.XLOOKUP(AO24,_曲线基线!$E$3:$E$502,_曲线基线!$A$3:$A$502,500,1))</f>
        <v>25</v>
      </c>
      <c r="AQ24" s="15">
        <f t="shared" si="25"/>
        <v>4</v>
      </c>
    </row>
    <row r="25" customHeight="1" spans="1:43">
      <c r="A25" s="1">
        <f>IFERROR(_xlfn.XLOOKUP(B25,_曲线基线!$G$3:$G$107,_曲线基线!$J$3:$J$107,""),"")</f>
        <v>12</v>
      </c>
      <c r="B25" s="1">
        <v>14</v>
      </c>
      <c r="C25" s="1">
        <v>2</v>
      </c>
      <c r="D25" s="1">
        <v>2</v>
      </c>
      <c r="E25" s="1">
        <f t="shared" si="0"/>
        <v>1</v>
      </c>
      <c r="F25" s="11">
        <f t="shared" si="23"/>
        <v>4</v>
      </c>
      <c r="G25" s="12">
        <f t="shared" ref="G25:L25" si="37">IF($B25&lt;G$8,0,G$3+(G$4-G$3)*(POWER(G$5,$B25-G$8)-1)/(POWER(G$5,$C$5-G$8)-1))</f>
        <v>0.16298213510367</v>
      </c>
      <c r="H25" s="12">
        <f t="shared" si="37"/>
        <v>0</v>
      </c>
      <c r="I25" s="12">
        <f t="shared" si="37"/>
        <v>0</v>
      </c>
      <c r="J25" s="12">
        <f t="shared" si="37"/>
        <v>0</v>
      </c>
      <c r="K25" s="12">
        <f t="shared" si="37"/>
        <v>0</v>
      </c>
      <c r="L25" s="12">
        <f t="shared" si="37"/>
        <v>0</v>
      </c>
      <c r="M25" s="2">
        <f>E25*模块规划!$F$10+G25*模块规划!$F$11+H25*模块规划!$F$13</f>
        <v>1782.31424849762</v>
      </c>
      <c r="N25" s="2">
        <f>I25*模块规划!$F$15+J25*模块规划!$F$17+K25*模块规划!$F$16+L25*模块规划!$F$18</f>
        <v>0</v>
      </c>
      <c r="O25" s="2">
        <f t="shared" si="2"/>
        <v>1</v>
      </c>
      <c r="P25" s="13">
        <f t="shared" si="3"/>
        <v>1782.31424849762</v>
      </c>
      <c r="Q25" s="7">
        <f>P25/(P25+_曲线基线!$L$2)</f>
        <v>0.069129335377699</v>
      </c>
      <c r="R25" s="2">
        <f>E25*模块规划!$E$10+G25*模块规划!$E$11+H25*模块规划!$E$13</f>
        <v>2673.47137274643</v>
      </c>
      <c r="S25" s="2">
        <f>I25*模块规划!$E$15+J25*模块规划!$E$17+K25*模块规划!$E$16+L25*模块规划!$E$18</f>
        <v>0</v>
      </c>
      <c r="T25" s="2">
        <f t="shared" si="4"/>
        <v>1</v>
      </c>
      <c r="U25" s="13">
        <f t="shared" si="5"/>
        <v>2673.47137274643</v>
      </c>
      <c r="V25" s="2">
        <f t="shared" si="6"/>
        <v>0.7</v>
      </c>
      <c r="W25" s="2">
        <f t="shared" si="7"/>
        <v>0</v>
      </c>
      <c r="X25" s="2">
        <f t="shared" si="8"/>
        <v>0.275</v>
      </c>
      <c r="Y25" s="2">
        <f t="shared" si="9"/>
        <v>1</v>
      </c>
      <c r="Z25" s="2">
        <f t="shared" si="10"/>
        <v>1</v>
      </c>
      <c r="AA25" s="2">
        <f t="shared" si="11"/>
        <v>1</v>
      </c>
      <c r="AB25" s="2">
        <f t="shared" si="12"/>
        <v>1</v>
      </c>
      <c r="AC25" s="2">
        <f t="shared" si="13"/>
        <v>1</v>
      </c>
      <c r="AD25" s="1">
        <f t="shared" si="14"/>
        <v>0.975</v>
      </c>
      <c r="AE25" s="2">
        <f t="shared" si="15"/>
        <v>1</v>
      </c>
      <c r="AF25" s="2">
        <f t="shared" si="16"/>
        <v>1</v>
      </c>
      <c r="AG25" s="2">
        <f t="shared" si="17"/>
        <v>1</v>
      </c>
      <c r="AH25" s="2">
        <f>MIN(1,_曲线基线!$L$3+AH$9*($H$10*H25+$I$10*I25+$J$10*J25+$K$10*K25+$L$10*L25))</f>
        <v>0.05</v>
      </c>
      <c r="AI25" s="2">
        <f>_曲线基线!$L$4+AI$9*($H$10*H25+$I$10*I25+$J$10*J25+$K$10*K25+$L$10*L25)</f>
        <v>2</v>
      </c>
      <c r="AJ25" s="2">
        <f t="shared" si="18"/>
        <v>1</v>
      </c>
      <c r="AK25" s="1">
        <f t="shared" si="19"/>
        <v>1.05</v>
      </c>
      <c r="AL25" s="1">
        <f t="shared" si="20"/>
        <v>10947.8652713966</v>
      </c>
      <c r="AM25" s="14">
        <f t="shared" si="21"/>
        <v>35.1853852565447</v>
      </c>
      <c r="AN25" s="14">
        <f>(((E25*模块规划!$D$10+G25*模块规划!$D$11+H25*模块规划!$D$13)*(1+模块规划!$G$14*H25)+(I25*模块规划!$D$15+J25*模块规划!$D$17+K25*模块规划!$D$16+L25*模块规划!$D$18))*(1+模块规划!$J$17*J25))*F25/(1-Q25)</f>
        <v>38293.4883702837</v>
      </c>
      <c r="AO25" s="1">
        <f t="shared" si="22"/>
        <v>385204.857310837</v>
      </c>
      <c r="AP25" s="1">
        <f>IF(AO25="","",_xlfn.XLOOKUP(AO25,_曲线基线!$E$3:$E$502,_曲线基线!$A$3:$A$502,500,1))</f>
        <v>27</v>
      </c>
      <c r="AQ25" s="15">
        <f t="shared" si="25"/>
        <v>4</v>
      </c>
    </row>
    <row r="26" customHeight="1" spans="1:43">
      <c r="A26" s="1">
        <f>IFERROR(_xlfn.XLOOKUP(B26,_曲线基线!$G$3:$G$107,_曲线基线!$J$3:$J$107,""),"")</f>
        <v>13</v>
      </c>
      <c r="B26" s="1">
        <v>15</v>
      </c>
      <c r="C26" s="1">
        <v>2</v>
      </c>
      <c r="D26" s="1">
        <v>3</v>
      </c>
      <c r="E26" s="1">
        <f t="shared" si="0"/>
        <v>1</v>
      </c>
      <c r="F26" s="11">
        <f t="shared" si="23"/>
        <v>4</v>
      </c>
      <c r="G26" s="12">
        <f t="shared" ref="G26:L26" si="38">IF($B26&lt;G$8,0,G$3+(G$4-G$3)*(POWER(G$5,$B26-G$8)-1)/(POWER(G$5,$C$5-G$8)-1))</f>
        <v>0.174242593531611</v>
      </c>
      <c r="H26" s="12">
        <f t="shared" si="38"/>
        <v>0.0140665422395114</v>
      </c>
      <c r="I26" s="12">
        <f t="shared" si="38"/>
        <v>0</v>
      </c>
      <c r="J26" s="12">
        <f t="shared" si="38"/>
        <v>0</v>
      </c>
      <c r="K26" s="12">
        <f t="shared" si="38"/>
        <v>0</v>
      </c>
      <c r="L26" s="12">
        <f t="shared" si="38"/>
        <v>0</v>
      </c>
      <c r="M26" s="2">
        <f>E26*模块规划!$F$10+G26*模块规划!$F$11+H26*模块规划!$F$13</f>
        <v>1836.36444895173</v>
      </c>
      <c r="N26" s="2">
        <f>I26*模块规划!$F$15+J26*模块规划!$F$17+K26*模块规划!$F$16+L26*模块规划!$F$18</f>
        <v>0</v>
      </c>
      <c r="O26" s="2">
        <f t="shared" si="2"/>
        <v>1.00588471858827</v>
      </c>
      <c r="P26" s="13">
        <f t="shared" si="3"/>
        <v>1847.17093695931</v>
      </c>
      <c r="Q26" s="7">
        <f>P26/(P26+_曲线基线!$L$2)</f>
        <v>0.0714651108805882</v>
      </c>
      <c r="R26" s="2">
        <f>E26*模块规划!$E$10+G26*模块规划!$E$11+H26*模块规划!$E$13</f>
        <v>2754.5466734276</v>
      </c>
      <c r="S26" s="2">
        <f>I26*模块规划!$E$15+J26*模块规划!$E$17+K26*模块规划!$E$16+L26*模块规划!$E$18</f>
        <v>0</v>
      </c>
      <c r="T26" s="2">
        <f t="shared" si="4"/>
        <v>1.00588471858827</v>
      </c>
      <c r="U26" s="13">
        <f t="shared" si="5"/>
        <v>2770.75640543898</v>
      </c>
      <c r="V26" s="2">
        <f t="shared" si="6"/>
        <v>0.704219962671853</v>
      </c>
      <c r="W26" s="2">
        <f t="shared" si="7"/>
        <v>0.00562661689580455</v>
      </c>
      <c r="X26" s="2">
        <f t="shared" si="8"/>
        <v>0.278868299115866</v>
      </c>
      <c r="Y26" s="2">
        <f t="shared" si="9"/>
        <v>1</v>
      </c>
      <c r="Z26" s="2">
        <f t="shared" si="10"/>
        <v>1</v>
      </c>
      <c r="AA26" s="2">
        <f t="shared" si="11"/>
        <v>1</v>
      </c>
      <c r="AB26" s="2">
        <f t="shared" si="12"/>
        <v>1</v>
      </c>
      <c r="AC26" s="2">
        <f t="shared" si="13"/>
        <v>1</v>
      </c>
      <c r="AD26" s="1">
        <f t="shared" si="14"/>
        <v>0.988974487262408</v>
      </c>
      <c r="AE26" s="2">
        <f t="shared" si="15"/>
        <v>1</v>
      </c>
      <c r="AF26" s="2">
        <f t="shared" si="16"/>
        <v>1.00051938002115</v>
      </c>
      <c r="AG26" s="2">
        <f t="shared" si="17"/>
        <v>1.00092045681526</v>
      </c>
      <c r="AH26" s="2">
        <f>MIN(1,_曲线基线!$L$3+AH$9*($H$10*H26+$I$10*I26+$J$10*J26+$K$10*K26+$L$10*L26))</f>
        <v>0.051181589548119</v>
      </c>
      <c r="AI26" s="2">
        <f>_曲线基线!$L$4+AI$9*($H$10*H26+$I$10*I26+$J$10*J26+$K$10*K26+$L$10*L26)</f>
        <v>2.00329157088405</v>
      </c>
      <c r="AJ26" s="2">
        <f t="shared" si="18"/>
        <v>1.00270077610999</v>
      </c>
      <c r="AK26" s="1">
        <f t="shared" si="19"/>
        <v>1.05418951849627</v>
      </c>
      <c r="AL26" s="1">
        <f t="shared" si="20"/>
        <v>11554.7916589383</v>
      </c>
      <c r="AM26" s="14">
        <f t="shared" si="21"/>
        <v>35.200663749032</v>
      </c>
      <c r="AN26" s="14">
        <f>(((E26*模块规划!$D$10+G26*模块规划!$D$11+H26*模块规划!$D$13)*(1+模块规划!$G$14*H26)+(I26*模块规划!$D$15+J26*模块规划!$D$17+K26*模块规划!$D$16+L26*模块规划!$D$18))*(1+模块规划!$J$17*J26))*F26/(1-Q26)</f>
        <v>40054.7709950846</v>
      </c>
      <c r="AO26" s="1">
        <f t="shared" si="22"/>
        <v>406736.335876408</v>
      </c>
      <c r="AP26" s="1">
        <f>IF(AO26="","",_xlfn.XLOOKUP(AO26,_曲线基线!$E$3:$E$502,_曲线基线!$A$3:$A$502,500,1))</f>
        <v>28</v>
      </c>
      <c r="AQ26" s="15">
        <f t="shared" si="25"/>
        <v>4</v>
      </c>
    </row>
    <row r="27" customHeight="1" spans="1:43">
      <c r="A27" s="1">
        <f>IFERROR(_xlfn.XLOOKUP(B27,_曲线基线!$G$3:$G$107,_曲线基线!$J$3:$J$107,""),"")</f>
        <v>13</v>
      </c>
      <c r="B27" s="1">
        <v>16</v>
      </c>
      <c r="C27" s="1">
        <v>2</v>
      </c>
      <c r="D27" s="1">
        <v>4</v>
      </c>
      <c r="E27" s="1">
        <f t="shared" si="0"/>
        <v>1</v>
      </c>
      <c r="F27" s="11">
        <f t="shared" si="23"/>
        <v>4</v>
      </c>
      <c r="G27" s="12">
        <f t="shared" ref="G27:L27" si="39">IF($B27&lt;G$8,0,G$3+(G$4-G$3)*(POWER(G$5,$B27-G$8)-1)/(POWER(G$5,$C$5-G$8)-1))</f>
        <v>0.185334145083133</v>
      </c>
      <c r="H27" s="12">
        <f t="shared" si="39"/>
        <v>0.0278517536342325</v>
      </c>
      <c r="I27" s="12">
        <f t="shared" si="39"/>
        <v>0</v>
      </c>
      <c r="J27" s="12">
        <f t="shared" si="39"/>
        <v>0</v>
      </c>
      <c r="K27" s="12">
        <f t="shared" si="39"/>
        <v>0</v>
      </c>
      <c r="L27" s="12">
        <f t="shared" si="39"/>
        <v>0.0140679068313857</v>
      </c>
      <c r="M27" s="2">
        <f>E27*模块规划!$F$10+G27*模块规划!$F$11+H27*模块规划!$F$13</f>
        <v>1889.60389639904</v>
      </c>
      <c r="N27" s="2">
        <f>I27*模块规划!$F$15+J27*模块规划!$F$17+K27*模块规划!$F$16+L27*模块规划!$F$18</f>
        <v>70.3395341569285</v>
      </c>
      <c r="O27" s="2">
        <f t="shared" si="2"/>
        <v>1.01900835463404</v>
      </c>
      <c r="P27" s="13">
        <f t="shared" si="3"/>
        <v>1995.86169153659</v>
      </c>
      <c r="Q27" s="7">
        <f>P27/(P27+_曲线基线!$L$2)</f>
        <v>0.0767761313404115</v>
      </c>
      <c r="R27" s="2">
        <f>E27*模块规划!$E$10+G27*模块规划!$E$11+H27*模块规划!$E$13</f>
        <v>2834.40584459856</v>
      </c>
      <c r="S27" s="2">
        <f>I27*模块规划!$E$15+J27*模块规划!$E$17+K27*模块规划!$E$16+L27*模块规划!$E$18</f>
        <v>105.509301235393</v>
      </c>
      <c r="T27" s="2">
        <f t="shared" si="4"/>
        <v>1.01900835463404</v>
      </c>
      <c r="U27" s="13">
        <f t="shared" si="5"/>
        <v>2993.79253730488</v>
      </c>
      <c r="V27" s="2">
        <f t="shared" si="6"/>
        <v>0.70835552609027</v>
      </c>
      <c r="W27" s="2">
        <f t="shared" si="7"/>
        <v>0.011140701453693</v>
      </c>
      <c r="X27" s="2">
        <f t="shared" si="8"/>
        <v>0.282659232249414</v>
      </c>
      <c r="Y27" s="2">
        <f t="shared" si="9"/>
        <v>1</v>
      </c>
      <c r="Z27" s="2">
        <f t="shared" si="10"/>
        <v>1</v>
      </c>
      <c r="AA27" s="2">
        <f t="shared" si="11"/>
        <v>1</v>
      </c>
      <c r="AB27" s="2">
        <f t="shared" si="12"/>
        <v>1</v>
      </c>
      <c r="AC27" s="2">
        <f t="shared" si="13"/>
        <v>1</v>
      </c>
      <c r="AD27" s="1">
        <f t="shared" si="14"/>
        <v>1.00301454889906</v>
      </c>
      <c r="AE27" s="2">
        <f t="shared" si="15"/>
        <v>1</v>
      </c>
      <c r="AF27" s="2">
        <f t="shared" si="16"/>
        <v>1.00167766044948</v>
      </c>
      <c r="AG27" s="2">
        <f t="shared" si="17"/>
        <v>1.00297318712992</v>
      </c>
      <c r="AH27" s="2">
        <f>MIN(1,_曲线基线!$L$3+AH$9*($H$10*H27+$I$10*I27+$J$10*J27+$K$10*K27+$L$10*L27))</f>
        <v>0.053816677522571</v>
      </c>
      <c r="AI27" s="2">
        <f>_曲线基线!$L$4+AI$9*($H$10*H27+$I$10*I27+$J$10*J27+$K$10*K27+$L$10*L27)</f>
        <v>2.01063217309859</v>
      </c>
      <c r="AJ27" s="2">
        <f t="shared" si="18"/>
        <v>1.00872383433731</v>
      </c>
      <c r="AK27" s="1">
        <f t="shared" si="19"/>
        <v>1.06358717954552</v>
      </c>
      <c r="AL27" s="1">
        <f t="shared" si="20"/>
        <v>12775.0326599694</v>
      </c>
      <c r="AM27" s="14">
        <f t="shared" si="21"/>
        <v>35.2160950264442</v>
      </c>
      <c r="AN27" s="14">
        <f>(((E27*模块规划!$D$10+G27*模块规划!$D$11+H27*模块规划!$D$13)*(1+模块规划!$G$14*H27)+(I27*模块规划!$D$15+J27*模块规划!$D$17+K27*模块规划!$D$16+L27*模块规划!$D$18))*(1+模块规划!$J$17*J27))*F27/(1-Q27)</f>
        <v>43484.7798603876</v>
      </c>
      <c r="AO27" s="1">
        <f t="shared" si="22"/>
        <v>449886.76411941</v>
      </c>
      <c r="AP27" s="1">
        <f>IF(AO27="","",_xlfn.XLOOKUP(AO27,_曲线基线!$E$3:$E$502,_曲线基线!$A$3:$A$502,500,1))</f>
        <v>30</v>
      </c>
      <c r="AQ27" s="15">
        <f t="shared" si="25"/>
        <v>4</v>
      </c>
    </row>
    <row r="28" customHeight="1" spans="1:43">
      <c r="A28" s="1">
        <f>IFERROR(_xlfn.XLOOKUP(B28,_曲线基线!$G$3:$G$107,_曲线基线!$J$3:$J$107,""),"")</f>
        <v>13</v>
      </c>
      <c r="B28" s="1">
        <v>17</v>
      </c>
      <c r="C28" s="1">
        <v>2</v>
      </c>
      <c r="D28" s="1">
        <v>5</v>
      </c>
      <c r="E28" s="1">
        <f t="shared" si="0"/>
        <v>1</v>
      </c>
      <c r="F28" s="11">
        <f t="shared" si="23"/>
        <v>4</v>
      </c>
      <c r="G28" s="12">
        <f t="shared" ref="G28:L28" si="40">IF($B28&lt;G$8,0,G$3+(G$4-G$3)*(POWER(G$5,$B28-G$8)-1)/(POWER(G$5,$C$5-G$8)-1))</f>
        <v>0.196259323361382</v>
      </c>
      <c r="H28" s="12">
        <f t="shared" si="40"/>
        <v>0.0413612608010592</v>
      </c>
      <c r="I28" s="12">
        <f t="shared" si="40"/>
        <v>0</v>
      </c>
      <c r="J28" s="12">
        <f t="shared" si="40"/>
        <v>0</v>
      </c>
      <c r="K28" s="12">
        <f t="shared" si="40"/>
        <v>0</v>
      </c>
      <c r="L28" s="12">
        <f t="shared" si="40"/>
        <v>0.0278544555261437</v>
      </c>
      <c r="M28" s="2">
        <f>E28*模块规划!$F$10+G28*模块规划!$F$11+H28*模块规划!$F$13</f>
        <v>1942.04475213463</v>
      </c>
      <c r="N28" s="2">
        <f>I28*模块规划!$F$15+J28*模块规划!$F$17+K28*模块规划!$F$16+L28*模块规划!$F$18</f>
        <v>139.272277630719</v>
      </c>
      <c r="O28" s="2">
        <f t="shared" si="2"/>
        <v>1.03186951795889</v>
      </c>
      <c r="P28" s="13">
        <f t="shared" si="3"/>
        <v>2143.20905987047</v>
      </c>
      <c r="Q28" s="7">
        <f>P28/(P28+_曲线基线!$L$2)</f>
        <v>0.081979570869143</v>
      </c>
      <c r="R28" s="2">
        <f>E28*模块规划!$E$10+G28*模块规划!$E$11+H28*模块规划!$E$13</f>
        <v>2913.06712820195</v>
      </c>
      <c r="S28" s="2">
        <f>I28*模块规划!$E$15+J28*模块规划!$E$17+K28*模块规划!$E$16+L28*模块规划!$E$18</f>
        <v>208.908416446078</v>
      </c>
      <c r="T28" s="2">
        <f t="shared" si="4"/>
        <v>1.03186951795889</v>
      </c>
      <c r="U28" s="13">
        <f t="shared" si="5"/>
        <v>3214.81358980571</v>
      </c>
      <c r="V28" s="2">
        <f t="shared" si="6"/>
        <v>0.712408378240318</v>
      </c>
      <c r="W28" s="2">
        <f t="shared" si="7"/>
        <v>0.0165445043204237</v>
      </c>
      <c r="X28" s="2">
        <f t="shared" si="8"/>
        <v>0.286374346720291</v>
      </c>
      <c r="Y28" s="2">
        <f t="shared" si="9"/>
        <v>1</v>
      </c>
      <c r="Z28" s="2">
        <f t="shared" si="10"/>
        <v>1</v>
      </c>
      <c r="AA28" s="2">
        <f t="shared" si="11"/>
        <v>1</v>
      </c>
      <c r="AB28" s="2">
        <f t="shared" si="12"/>
        <v>1</v>
      </c>
      <c r="AC28" s="2">
        <f t="shared" si="13"/>
        <v>1</v>
      </c>
      <c r="AD28" s="1">
        <f t="shared" si="14"/>
        <v>1.01680130209243</v>
      </c>
      <c r="AE28" s="2">
        <f t="shared" si="15"/>
        <v>1</v>
      </c>
      <c r="AF28" s="2">
        <f t="shared" si="16"/>
        <v>1.00281277526925</v>
      </c>
      <c r="AG28" s="2">
        <f t="shared" si="17"/>
        <v>1.00498486283827</v>
      </c>
      <c r="AH28" s="2">
        <f>MIN(1,_曲线基线!$L$3+AH$9*($H$10*H28+$I$10*I28+$J$10*J28+$K$10*K28+$L$10*L28))</f>
        <v>0.0563990637375341</v>
      </c>
      <c r="AI28" s="2">
        <f>_曲线基线!$L$4+AI$9*($H$10*H28+$I$10*I28+$J$10*J28+$K$10*K28+$L$10*L28)</f>
        <v>2.01782596326884</v>
      </c>
      <c r="AJ28" s="2">
        <f t="shared" si="18"/>
        <v>1.01462643140008</v>
      </c>
      <c r="AK28" s="1">
        <f t="shared" si="19"/>
        <v>1.07287048475378</v>
      </c>
      <c r="AL28" s="1">
        <f t="shared" si="20"/>
        <v>14028.1105049218</v>
      </c>
      <c r="AM28" s="14">
        <f t="shared" si="21"/>
        <v>35.2316806166305</v>
      </c>
      <c r="AN28" s="14">
        <f>(((E28*模块规划!$D$10+G28*模块规划!$D$11+H28*模块规划!$D$13)*(1+模块规划!$G$14*H28)+(I28*模块规划!$D$15+J28*模块规划!$D$17+K28*模块规划!$D$16+L28*模块规划!$D$18))*(1+模块规划!$J$17*J28))*F28/(1-Q28)</f>
        <v>46918.5616999097</v>
      </c>
      <c r="AO28" s="1">
        <f t="shared" si="22"/>
        <v>494233.908964203</v>
      </c>
      <c r="AP28" s="1">
        <f>IF(AO28="","",_xlfn.XLOOKUP(AO28,_曲线基线!$E$3:$E$502,_曲线基线!$A$3:$A$502,500,1))</f>
        <v>32</v>
      </c>
      <c r="AQ28" s="15">
        <f t="shared" si="25"/>
        <v>4</v>
      </c>
    </row>
    <row r="29" customHeight="1" spans="1:43">
      <c r="A29" s="1">
        <f>IFERROR(_xlfn.XLOOKUP(B29,_曲线基线!$G$3:$G$107,_曲线基线!$J$3:$J$107,""),"")</f>
        <v>14</v>
      </c>
      <c r="B29" s="1">
        <v>18</v>
      </c>
      <c r="C29" s="1">
        <v>2</v>
      </c>
      <c r="D29" s="1">
        <v>6</v>
      </c>
      <c r="E29" s="1">
        <f t="shared" si="0"/>
        <v>1</v>
      </c>
      <c r="F29" s="11">
        <f t="shared" si="23"/>
        <v>4</v>
      </c>
      <c r="G29" s="12">
        <f t="shared" ref="G29:L29" si="41">IF($B29&lt;G$8,0,G$3+(G$4-G$3)*(POWER(G$5,$B29-G$8)-1)/(POWER(G$5,$C$5-G$8)-1))</f>
        <v>0.207020623965457</v>
      </c>
      <c r="H29" s="12">
        <f t="shared" si="41"/>
        <v>0.0546005778245494</v>
      </c>
      <c r="I29" s="12">
        <f t="shared" si="41"/>
        <v>0</v>
      </c>
      <c r="J29" s="12">
        <f t="shared" si="41"/>
        <v>0</v>
      </c>
      <c r="K29" s="12">
        <f t="shared" si="41"/>
        <v>0</v>
      </c>
      <c r="L29" s="12">
        <f t="shared" si="41"/>
        <v>0.0413652732470065</v>
      </c>
      <c r="M29" s="2">
        <f>E29*模块规划!$F$10+G29*模块规划!$F$11+H29*模块规划!$F$13</f>
        <v>1993.69899503419</v>
      </c>
      <c r="N29" s="2">
        <f>I29*模块规划!$F$15+J29*模块规划!$F$17+K29*模块规划!$F$16+L29*模块规划!$F$18</f>
        <v>206.826366235033</v>
      </c>
      <c r="O29" s="2">
        <f t="shared" si="2"/>
        <v>1.04447345801724</v>
      </c>
      <c r="P29" s="13">
        <f t="shared" si="3"/>
        <v>2289.19204982389</v>
      </c>
      <c r="Q29" s="7">
        <f>P29/(P29+_曲线基线!$L$2)</f>
        <v>0.08707730711105</v>
      </c>
      <c r="R29" s="2">
        <f>E29*模块规划!$E$10+G29*模块规划!$E$11+H29*模块规划!$E$13</f>
        <v>2990.54849255129</v>
      </c>
      <c r="S29" s="2">
        <f>I29*模块规划!$E$15+J29*模块规划!$E$17+K29*模块规划!$E$16+L29*模块规划!$E$18</f>
        <v>310.239549352549</v>
      </c>
      <c r="T29" s="2">
        <f t="shared" si="4"/>
        <v>1.04447345801724</v>
      </c>
      <c r="U29" s="13">
        <f t="shared" si="5"/>
        <v>3433.78807473584</v>
      </c>
      <c r="V29" s="2">
        <f t="shared" si="6"/>
        <v>0.716380173347365</v>
      </c>
      <c r="W29" s="2">
        <f t="shared" si="7"/>
        <v>0.0218402311298198</v>
      </c>
      <c r="X29" s="2">
        <f t="shared" si="8"/>
        <v>0.290015158901751</v>
      </c>
      <c r="Y29" s="2">
        <f t="shared" si="9"/>
        <v>1</v>
      </c>
      <c r="Z29" s="2">
        <f t="shared" si="10"/>
        <v>1</v>
      </c>
      <c r="AA29" s="2">
        <f t="shared" si="11"/>
        <v>1</v>
      </c>
      <c r="AB29" s="2">
        <f t="shared" si="12"/>
        <v>1</v>
      </c>
      <c r="AC29" s="2">
        <f t="shared" si="13"/>
        <v>1</v>
      </c>
      <c r="AD29" s="1">
        <f t="shared" si="14"/>
        <v>1.03033872429691</v>
      </c>
      <c r="AE29" s="2">
        <f t="shared" si="15"/>
        <v>1</v>
      </c>
      <c r="AF29" s="2">
        <f t="shared" si="16"/>
        <v>1.00392518779261</v>
      </c>
      <c r="AG29" s="2">
        <f t="shared" si="17"/>
        <v>1.00695630503247</v>
      </c>
      <c r="AH29" s="2">
        <f>MIN(1,_曲线基线!$L$3+AH$9*($H$10*H29+$I$10*I29+$J$10*J29+$K$10*K29+$L$10*L29))</f>
        <v>0.0589298022281978</v>
      </c>
      <c r="AI29" s="2">
        <f>_曲线基线!$L$4+AI$9*($H$10*H29+$I$10*I29+$J$10*J29+$K$10*K29+$L$10*L29)</f>
        <v>2.02487587763569</v>
      </c>
      <c r="AJ29" s="2">
        <f t="shared" si="18"/>
        <v>1.02041097652159</v>
      </c>
      <c r="AK29" s="1">
        <f t="shared" si="19"/>
        <v>1.08203944518284</v>
      </c>
      <c r="AL29" s="1">
        <f t="shared" si="20"/>
        <v>15312.8699828074</v>
      </c>
      <c r="AM29" s="14">
        <f t="shared" si="21"/>
        <v>35.2474220627186</v>
      </c>
      <c r="AN29" s="14">
        <f>(((E29*模块规划!$D$10+G29*模块规划!$D$11+H29*模块规划!$D$13)*(1+模块规划!$G$14*H29)+(I29*模块规划!$D$15+J29*模块规划!$D$17+K29*模块规划!$D$16+L29*模块规划!$D$18))*(1+模块规划!$J$17*J29))*F29/(1-Q29)</f>
        <v>50354.6857712343</v>
      </c>
      <c r="AO29" s="1">
        <f t="shared" si="22"/>
        <v>539739.191275547</v>
      </c>
      <c r="AP29" s="1">
        <f>IF(AO29="","",_xlfn.XLOOKUP(AO29,_曲线基线!$E$3:$E$502,_曲线基线!$A$3:$A$502,500,1))</f>
        <v>34</v>
      </c>
      <c r="AQ29" s="15">
        <f t="shared" si="25"/>
        <v>4</v>
      </c>
    </row>
    <row r="30" customHeight="1" spans="1:43">
      <c r="A30" s="1">
        <f>IFERROR(_xlfn.XLOOKUP(B30,_曲线基线!$G$3:$G$107,_曲线基线!$J$3:$J$107,""),"")</f>
        <v>14</v>
      </c>
      <c r="B30" s="1">
        <v>19</v>
      </c>
      <c r="C30" s="1">
        <v>2</v>
      </c>
      <c r="D30" s="1">
        <v>7</v>
      </c>
      <c r="E30" s="1">
        <f t="shared" si="0"/>
        <v>1</v>
      </c>
      <c r="F30" s="11">
        <f t="shared" si="23"/>
        <v>4</v>
      </c>
      <c r="G30" s="12">
        <f t="shared" ref="G30:L30" si="42">IF($B30&lt;G$8,0,G$3+(G$4-G$3)*(POWER(G$5,$B30-G$8)-1)/(POWER(G$5,$C$5-G$8)-1))</f>
        <v>0.217620505060471</v>
      </c>
      <c r="H30" s="12">
        <f t="shared" si="42"/>
        <v>0.0675751085075698</v>
      </c>
      <c r="I30" s="12">
        <f t="shared" si="42"/>
        <v>0</v>
      </c>
      <c r="J30" s="12">
        <f t="shared" si="42"/>
        <v>0</v>
      </c>
      <c r="K30" s="12">
        <f t="shared" si="42"/>
        <v>0</v>
      </c>
      <c r="L30" s="12">
        <f t="shared" si="42"/>
        <v>0.0546058746134521</v>
      </c>
      <c r="M30" s="2">
        <f>E30*模块规划!$F$10+G30*模块规划!$F$11+H30*模块规划!$F$13</f>
        <v>2044.57842429026</v>
      </c>
      <c r="N30" s="2">
        <f>I30*模块规划!$F$15+J30*模块规划!$F$17+K30*模块规划!$F$16+L30*模块规划!$F$18</f>
        <v>273.029373067261</v>
      </c>
      <c r="O30" s="2">
        <f t="shared" si="2"/>
        <v>1.05682531927442</v>
      </c>
      <c r="P30" s="13">
        <f t="shared" si="3"/>
        <v>2433.79161909941</v>
      </c>
      <c r="Q30" s="7">
        <f>P30/(P30+_曲线基线!$L$2)</f>
        <v>0.0920712266393482</v>
      </c>
      <c r="R30" s="2">
        <f>E30*模块规划!$E$10+G30*模块规划!$E$11+H30*模块规划!$E$13</f>
        <v>3066.86763643539</v>
      </c>
      <c r="S30" s="2">
        <f>I30*模块规划!$E$15+J30*模块规划!$E$17+K30*模块规划!$E$16+L30*模块规划!$E$18</f>
        <v>409.544059600891</v>
      </c>
      <c r="T30" s="2">
        <f t="shared" si="4"/>
        <v>1.05682531927442</v>
      </c>
      <c r="U30" s="13">
        <f t="shared" si="5"/>
        <v>3650.68742864911</v>
      </c>
      <c r="V30" s="2">
        <f t="shared" si="6"/>
        <v>0.720272532552271</v>
      </c>
      <c r="W30" s="2">
        <f t="shared" si="7"/>
        <v>0.0270300434030279</v>
      </c>
      <c r="X30" s="2">
        <f t="shared" si="8"/>
        <v>0.293583154839582</v>
      </c>
      <c r="Y30" s="2">
        <f t="shared" si="9"/>
        <v>1</v>
      </c>
      <c r="Z30" s="2">
        <f t="shared" si="10"/>
        <v>1</v>
      </c>
      <c r="AA30" s="2">
        <f t="shared" si="11"/>
        <v>1</v>
      </c>
      <c r="AB30" s="2">
        <f t="shared" si="12"/>
        <v>1</v>
      </c>
      <c r="AC30" s="2">
        <f t="shared" si="13"/>
        <v>1</v>
      </c>
      <c r="AD30" s="1">
        <f t="shared" si="14"/>
        <v>1.04363075653093</v>
      </c>
      <c r="AE30" s="2">
        <f t="shared" si="15"/>
        <v>1</v>
      </c>
      <c r="AF30" s="2">
        <f t="shared" si="16"/>
        <v>1.00501535206552</v>
      </c>
      <c r="AG30" s="2">
        <f t="shared" si="17"/>
        <v>1.00888831838278</v>
      </c>
      <c r="AH30" s="2">
        <f>MIN(1,_曲线基线!$L$3+AH$9*($H$10*H30+$I$10*I30+$J$10*J30+$K$10*K30+$L$10*L30))</f>
        <v>0.0614099259490483</v>
      </c>
      <c r="AI30" s="2">
        <f>_曲线基线!$L$4+AI$9*($H$10*H30+$I$10*I30+$J$10*J30+$K$10*K30+$L$10*L30)</f>
        <v>2.03178479371521</v>
      </c>
      <c r="AJ30" s="2">
        <f t="shared" si="18"/>
        <v>1.02607983074068</v>
      </c>
      <c r="AK30" s="1">
        <f t="shared" si="19"/>
        <v>1.09109412426194</v>
      </c>
      <c r="AL30" s="1">
        <f t="shared" si="20"/>
        <v>16628.1421390327</v>
      </c>
      <c r="AM30" s="14">
        <f t="shared" si="21"/>
        <v>35.2633209232677</v>
      </c>
      <c r="AN30" s="14">
        <f>(((E30*模块规划!$D$10+G30*模块规划!$D$11+H30*模块规划!$D$13)*(1+模块规划!$G$14*H30)+(I30*模块规划!$D$15+J30*模块规划!$D$17+K30*模块规划!$D$16+L30*模块规划!$D$18))*(1+模块规划!$J$17*J30))*F30/(1-Q30)</f>
        <v>53791.7558511785</v>
      </c>
      <c r="AO30" s="1">
        <f t="shared" si="22"/>
        <v>586363.512606422</v>
      </c>
      <c r="AP30" s="1">
        <f>IF(AO30="","",_xlfn.XLOOKUP(AO30,_曲线基线!$E$3:$E$502,_曲线基线!$A$3:$A$502,500,1))</f>
        <v>36</v>
      </c>
      <c r="AQ30" s="15">
        <f t="shared" si="25"/>
        <v>4</v>
      </c>
    </row>
    <row r="31" customHeight="1" spans="1:43">
      <c r="A31" s="1">
        <f>IFERROR(_xlfn.XLOOKUP(B31,_曲线基线!$G$3:$G$107,_曲线基线!$J$3:$J$107,""),"")</f>
        <v>15</v>
      </c>
      <c r="B31" s="1">
        <v>20</v>
      </c>
      <c r="C31" s="1">
        <v>2</v>
      </c>
      <c r="D31" s="1">
        <v>8</v>
      </c>
      <c r="E31" s="1">
        <f t="shared" si="0"/>
        <v>1</v>
      </c>
      <c r="F31" s="11">
        <f t="shared" si="23"/>
        <v>4.1</v>
      </c>
      <c r="G31" s="12">
        <f t="shared" ref="G31:L31" si="43">IF($B31&lt;G$8,0,G$3+(G$4-G$3)*(POWER(G$5,$B31-G$8)-1)/(POWER(G$5,$C$5-G$8)-1))</f>
        <v>0.22806138793906</v>
      </c>
      <c r="H31" s="12">
        <f t="shared" si="43"/>
        <v>0.0802901485769297</v>
      </c>
      <c r="I31" s="12">
        <f t="shared" si="43"/>
        <v>0</v>
      </c>
      <c r="J31" s="12">
        <f t="shared" si="43"/>
        <v>0</v>
      </c>
      <c r="K31" s="12">
        <f t="shared" si="43"/>
        <v>0</v>
      </c>
      <c r="L31" s="12">
        <f t="shared" si="43"/>
        <v>0.0675816639525688</v>
      </c>
      <c r="M31" s="2">
        <f>E31*模块规划!$F$10+G31*模块规划!$F$11+H31*模块规划!$F$13</f>
        <v>2094.69466210749</v>
      </c>
      <c r="N31" s="2">
        <f>I31*模块规划!$F$15+J31*模块规划!$F$17+K31*模块规划!$F$16+L31*模块规划!$F$18</f>
        <v>337.908319762844</v>
      </c>
      <c r="O31" s="2">
        <f t="shared" si="2"/>
        <v>1.06893014330646</v>
      </c>
      <c r="P31" s="13">
        <f t="shared" si="3"/>
        <v>2576.99058511268</v>
      </c>
      <c r="Q31" s="7">
        <f>P31/(P31+_曲线基线!$L$2)</f>
        <v>0.0969632200026515</v>
      </c>
      <c r="R31" s="2">
        <f>E31*模块规划!$E$10+G31*模块规划!$E$11+H31*模块规划!$E$13</f>
        <v>3142.04199316123</v>
      </c>
      <c r="S31" s="2">
        <f>I31*模块规划!$E$15+J31*模块规划!$E$17+K31*模块规划!$E$16+L31*模块规划!$E$18</f>
        <v>506.862479644266</v>
      </c>
      <c r="T31" s="2">
        <f t="shared" si="4"/>
        <v>1.06893014330646</v>
      </c>
      <c r="U31" s="13">
        <f t="shared" si="5"/>
        <v>3865.48587766901</v>
      </c>
      <c r="V31" s="2">
        <f t="shared" si="6"/>
        <v>0.724087044573079</v>
      </c>
      <c r="W31" s="2">
        <f t="shared" si="7"/>
        <v>0.0321160594307719</v>
      </c>
      <c r="X31" s="2">
        <f t="shared" si="8"/>
        <v>0.297079790858656</v>
      </c>
      <c r="Y31" s="2">
        <f t="shared" si="9"/>
        <v>1</v>
      </c>
      <c r="Z31" s="2">
        <f t="shared" si="10"/>
        <v>1</v>
      </c>
      <c r="AA31" s="2">
        <f t="shared" si="11"/>
        <v>1</v>
      </c>
      <c r="AB31" s="2">
        <f t="shared" si="12"/>
        <v>1</v>
      </c>
      <c r="AC31" s="2">
        <f t="shared" si="13"/>
        <v>1</v>
      </c>
      <c r="AD31" s="1">
        <f t="shared" si="14"/>
        <v>1.05668130239832</v>
      </c>
      <c r="AE31" s="2">
        <f t="shared" si="15"/>
        <v>1</v>
      </c>
      <c r="AF31" s="2">
        <f t="shared" si="16"/>
        <v>1.00608371305296</v>
      </c>
      <c r="AG31" s="2">
        <f t="shared" si="17"/>
        <v>1.01078169146608</v>
      </c>
      <c r="AH31" s="2">
        <f>MIN(1,_曲线基线!$L$3+AH$9*($H$10*H31+$I$10*I31+$J$10*J31+$K$10*K31+$L$10*L31))</f>
        <v>0.0638404471954818</v>
      </c>
      <c r="AI31" s="2">
        <f>_曲线基线!$L$4+AI$9*($H$10*H31+$I$10*I31+$J$10*J31+$K$10*K31+$L$10*L31)</f>
        <v>2.03855553147313</v>
      </c>
      <c r="AJ31" s="2">
        <f t="shared" si="18"/>
        <v>1.03163530787539</v>
      </c>
      <c r="AK31" s="1">
        <f t="shared" si="19"/>
        <v>1.10003463686572</v>
      </c>
      <c r="AL31" s="1">
        <f t="shared" si="20"/>
        <v>18422.0658556408</v>
      </c>
      <c r="AM31" s="14">
        <f t="shared" si="21"/>
        <v>35.2793787724222</v>
      </c>
      <c r="AN31" s="14">
        <f>(((E31*模块规划!$D$10+G31*模块规划!$D$11+H31*模块规划!$D$13)*(1+模块规划!$G$14*H31)+(I31*模块规划!$D$15+J31*模块规划!$D$17+K31*模块规划!$D$16+L31*模块规划!$D$18))*(1+模块规划!$J$17*J31))*F31/(1-Q31)</f>
        <v>58659.1211219852</v>
      </c>
      <c r="AO31" s="1">
        <f t="shared" si="22"/>
        <v>649919.039091659</v>
      </c>
      <c r="AP31" s="1">
        <f>IF(AO31="","",_xlfn.XLOOKUP(AO31,_曲线基线!$E$3:$E$502,_曲线基线!$A$3:$A$502,500,1))</f>
        <v>39</v>
      </c>
      <c r="AQ31" s="15">
        <f t="shared" si="25"/>
        <v>5</v>
      </c>
    </row>
    <row r="32" customHeight="1" spans="1:43">
      <c r="A32" s="1">
        <f>IFERROR(_xlfn.XLOOKUP(B32,_曲线基线!$G$3:$G$107,_曲线基线!$J$3:$J$107,""),"")</f>
        <v>15</v>
      </c>
      <c r="B32" s="1">
        <v>21</v>
      </c>
      <c r="C32" s="1">
        <v>2</v>
      </c>
      <c r="D32" s="1">
        <v>9</v>
      </c>
      <c r="E32" s="1">
        <f t="shared" si="0"/>
        <v>1</v>
      </c>
      <c r="F32" s="11">
        <f t="shared" si="23"/>
        <v>4.2</v>
      </c>
      <c r="G32" s="12">
        <f t="shared" ref="G32:L32" si="44">IF($B32&lt;G$8,0,G$3+(G$4-G$3)*(POWER(G$5,$B32-G$8)-1)/(POWER(G$5,$C$5-G$8)-1))</f>
        <v>0.23834565757447</v>
      </c>
      <c r="H32" s="12">
        <f t="shared" si="44"/>
        <v>0.0927508878449025</v>
      </c>
      <c r="I32" s="12">
        <f t="shared" si="44"/>
        <v>0</v>
      </c>
      <c r="J32" s="12">
        <f t="shared" si="44"/>
        <v>0</v>
      </c>
      <c r="K32" s="12">
        <f t="shared" si="44"/>
        <v>0</v>
      </c>
      <c r="L32" s="12">
        <f t="shared" si="44"/>
        <v>0.0802979375049031</v>
      </c>
      <c r="M32" s="2">
        <f>E32*模块规划!$F$10+G32*模块规划!$F$11+H32*模块规划!$F$13</f>
        <v>2144.05915635745</v>
      </c>
      <c r="N32" s="2">
        <f>I32*模块规划!$F$15+J32*模块规划!$F$17+K32*模块规划!$F$16+L32*模块规划!$F$18</f>
        <v>401.489687524516</v>
      </c>
      <c r="O32" s="2">
        <f t="shared" si="2"/>
        <v>1.08079287085786</v>
      </c>
      <c r="P32" s="13">
        <f t="shared" si="3"/>
        <v>2718.77353841317</v>
      </c>
      <c r="Q32" s="7">
        <f>P32/(P32+_曲线基线!$L$2)</f>
        <v>0.101755177291519</v>
      </c>
      <c r="R32" s="2">
        <f>E32*模块规划!$E$10+G32*模块规划!$E$11+H32*模块规划!$E$13</f>
        <v>3216.08873453618</v>
      </c>
      <c r="S32" s="2">
        <f>I32*模块规划!$E$15+J32*模块规划!$E$17+K32*模块规划!$E$16+L32*模块规划!$E$18</f>
        <v>602.234531286773</v>
      </c>
      <c r="T32" s="2">
        <f t="shared" si="4"/>
        <v>1.08079287085786</v>
      </c>
      <c r="U32" s="13">
        <f t="shared" si="5"/>
        <v>4078.16030761975</v>
      </c>
      <c r="V32" s="2">
        <f t="shared" si="6"/>
        <v>0.727825266353471</v>
      </c>
      <c r="W32" s="2">
        <f t="shared" si="7"/>
        <v>0.037100355137961</v>
      </c>
      <c r="X32" s="2">
        <f t="shared" si="8"/>
        <v>0.300506494157348</v>
      </c>
      <c r="Y32" s="2">
        <f t="shared" si="9"/>
        <v>1</v>
      </c>
      <c r="Z32" s="2">
        <f t="shared" si="10"/>
        <v>1</v>
      </c>
      <c r="AA32" s="2">
        <f t="shared" si="11"/>
        <v>1</v>
      </c>
      <c r="AB32" s="2">
        <f t="shared" si="12"/>
        <v>1</v>
      </c>
      <c r="AC32" s="2">
        <f t="shared" si="13"/>
        <v>1</v>
      </c>
      <c r="AD32" s="1">
        <f t="shared" si="14"/>
        <v>1.06949422719702</v>
      </c>
      <c r="AE32" s="2">
        <f t="shared" si="15"/>
        <v>1</v>
      </c>
      <c r="AF32" s="2">
        <f t="shared" si="16"/>
        <v>1.00713070682065</v>
      </c>
      <c r="AG32" s="2">
        <f t="shared" si="17"/>
        <v>1.01263719708771</v>
      </c>
      <c r="AH32" s="2">
        <f>MIN(1,_曲线基线!$L$3+AH$9*($H$10*H32+$I$10*I32+$J$10*J32+$K$10*K32+$L$10*L32))</f>
        <v>0.0662223580169866</v>
      </c>
      <c r="AI32" s="2">
        <f>_曲线基线!$L$4+AI$9*($H$10*H32+$I$10*I32+$J$10*J32+$K$10*K32+$L$10*L32)</f>
        <v>2.04519085447589</v>
      </c>
      <c r="AJ32" s="2">
        <f t="shared" si="18"/>
        <v>1.0370796754674</v>
      </c>
      <c r="AK32" s="1">
        <f t="shared" si="19"/>
        <v>1.10886114827586</v>
      </c>
      <c r="AL32" s="1">
        <f t="shared" si="20"/>
        <v>20312.7720853609</v>
      </c>
      <c r="AM32" s="14">
        <f t="shared" si="21"/>
        <v>35.2955972000683</v>
      </c>
      <c r="AN32" s="14">
        <f>(((E32*模块规划!$D$10+G32*模块规划!$D$11+H32*模块规划!$D$13)*(1+模块规划!$G$14*H32)+(I32*模块规划!$D$15+J32*模块规划!$D$17+K32*模块规划!$D$16+L32*模块规划!$D$18))*(1+模块规划!$J$17*J32))*F32/(1-Q32)</f>
        <v>63696.4915940233</v>
      </c>
      <c r="AO32" s="1">
        <f t="shared" si="22"/>
        <v>716951.421541688</v>
      </c>
      <c r="AP32" s="1">
        <f>IF(AO32="","",_xlfn.XLOOKUP(AO32,_曲线基线!$E$3:$E$502,_曲线基线!$A$3:$A$502,500,1))</f>
        <v>41</v>
      </c>
      <c r="AQ32" s="15">
        <f t="shared" si="25"/>
        <v>5</v>
      </c>
    </row>
    <row r="33" customHeight="1" spans="1:43">
      <c r="A33" s="1">
        <f>IFERROR(_xlfn.XLOOKUP(B33,_曲线基线!$G$3:$G$107,_曲线基线!$J$3:$J$107,""),"")</f>
        <v>15</v>
      </c>
      <c r="B33" s="1">
        <v>22</v>
      </c>
      <c r="C33" s="1">
        <v>2</v>
      </c>
      <c r="D33" s="1">
        <v>10</v>
      </c>
      <c r="E33" s="1">
        <f t="shared" si="0"/>
        <v>1</v>
      </c>
      <c r="F33" s="11">
        <f t="shared" si="23"/>
        <v>4.3</v>
      </c>
      <c r="G33" s="12">
        <f t="shared" ref="G33:L33" si="45">IF($B33&lt;G$8,0,G$3+(G$4-G$3)*(POWER(G$5,$B33-G$8)-1)/(POWER(G$5,$C$5-G$8)-1))</f>
        <v>0.248475663165348</v>
      </c>
      <c r="H33" s="12">
        <f t="shared" si="45"/>
        <v>0.104962412327516</v>
      </c>
      <c r="I33" s="12">
        <f t="shared" si="45"/>
        <v>0</v>
      </c>
      <c r="J33" s="12">
        <f t="shared" si="45"/>
        <v>0</v>
      </c>
      <c r="K33" s="12">
        <f t="shared" si="45"/>
        <v>0</v>
      </c>
      <c r="L33" s="12">
        <f t="shared" si="45"/>
        <v>0.0927598855861907</v>
      </c>
      <c r="M33" s="2">
        <f>E33*模块规划!$F$10+G33*模块规划!$F$11+H33*模块规划!$F$13</f>
        <v>2192.68318319367</v>
      </c>
      <c r="N33" s="2">
        <f>I33*模块规划!$F$15+J33*模块规划!$F$17+K33*模块规划!$F$16+L33*模块规划!$F$18</f>
        <v>463.799427930953</v>
      </c>
      <c r="O33" s="2">
        <f t="shared" si="2"/>
        <v>1.09241834385823</v>
      </c>
      <c r="P33" s="13">
        <f t="shared" si="3"/>
        <v>2859.12675952117</v>
      </c>
      <c r="Q33" s="7">
        <f>P33/(P33+_曲线基线!$L$2)</f>
        <v>0.106448984180309</v>
      </c>
      <c r="R33" s="2">
        <f>E33*模块规划!$E$10+G33*模块规划!$E$11+H33*模块规划!$E$13</f>
        <v>3289.02477479051</v>
      </c>
      <c r="S33" s="2">
        <f>I33*模块规划!$E$15+J33*模块规划!$E$17+K33*模块规划!$E$16+L33*模块规划!$E$18</f>
        <v>695.69914189643</v>
      </c>
      <c r="T33" s="2">
        <f t="shared" si="4"/>
        <v>1.09241834385823</v>
      </c>
      <c r="U33" s="13">
        <f t="shared" si="5"/>
        <v>4288.69013928177</v>
      </c>
      <c r="V33" s="2">
        <f t="shared" si="6"/>
        <v>0.731488723698255</v>
      </c>
      <c r="W33" s="2">
        <f t="shared" si="7"/>
        <v>0.0419849649310063</v>
      </c>
      <c r="X33" s="2">
        <f t="shared" si="8"/>
        <v>0.303864663390067</v>
      </c>
      <c r="Y33" s="2">
        <f t="shared" si="9"/>
        <v>1</v>
      </c>
      <c r="Z33" s="2">
        <f t="shared" si="10"/>
        <v>1</v>
      </c>
      <c r="AA33" s="2">
        <f t="shared" si="11"/>
        <v>1</v>
      </c>
      <c r="AB33" s="2">
        <f t="shared" si="12"/>
        <v>1</v>
      </c>
      <c r="AC33" s="2">
        <f t="shared" si="13"/>
        <v>1</v>
      </c>
      <c r="AD33" s="1">
        <f t="shared" si="14"/>
        <v>1.08207335711038</v>
      </c>
      <c r="AE33" s="2">
        <f t="shared" si="15"/>
        <v>1</v>
      </c>
      <c r="AF33" s="2">
        <f t="shared" si="16"/>
        <v>1.00815676071299</v>
      </c>
      <c r="AG33" s="2">
        <f t="shared" si="17"/>
        <v>1.01445559259692</v>
      </c>
      <c r="AH33" s="2">
        <f>MIN(1,_曲线基线!$L$3+AH$9*($H$10*H33+$I$10*I33+$J$10*J33+$K$10*K33+$L$10*L33))</f>
        <v>0.0685566306220614</v>
      </c>
      <c r="AI33" s="2">
        <f>_曲线基线!$L$4+AI$9*($H$10*H33+$I$10*I33+$J$10*J33+$K$10*K33+$L$10*L33)</f>
        <v>2.0516934710186</v>
      </c>
      <c r="AJ33" s="2">
        <f t="shared" si="18"/>
        <v>1.04241515570757</v>
      </c>
      <c r="AK33" s="1">
        <f t="shared" si="19"/>
        <v>1.11757387304162</v>
      </c>
      <c r="AL33" s="1">
        <f t="shared" si="20"/>
        <v>22301.0889018727</v>
      </c>
      <c r="AM33" s="14">
        <f t="shared" si="21"/>
        <v>35.3119778119909</v>
      </c>
      <c r="AN33" s="14">
        <f>(((E33*模块规划!$D$10+G33*模块规划!$D$11+H33*模块规划!$D$13)*(1+模块规划!$G$14*H33)+(I33*模块规划!$D$15+J33*模块规划!$D$17+K33*模块规划!$D$16+L33*模块规划!$D$18))*(1+模块规划!$J$17*J33))*F33/(1-Q33)</f>
        <v>68902.3506448759</v>
      </c>
      <c r="AO33" s="1">
        <f t="shared" si="22"/>
        <v>787495.556486164</v>
      </c>
      <c r="AP33" s="1">
        <f>IF(AO33="","",_xlfn.XLOOKUP(AO33,_曲线基线!$E$3:$E$502,_曲线基线!$A$3:$A$502,500,1))</f>
        <v>43</v>
      </c>
      <c r="AQ33" s="15">
        <f t="shared" si="25"/>
        <v>5</v>
      </c>
    </row>
    <row r="34" customHeight="1" spans="1:43">
      <c r="A34" s="1">
        <f>IFERROR(_xlfn.XLOOKUP(B34,_曲线基线!$G$3:$G$107,_曲线基线!$J$3:$J$107,""),"")</f>
        <v>16</v>
      </c>
      <c r="B34" s="1">
        <v>23</v>
      </c>
      <c r="C34" s="1">
        <v>2</v>
      </c>
      <c r="D34" s="1">
        <v>11</v>
      </c>
      <c r="E34" s="1">
        <f t="shared" si="0"/>
        <v>1</v>
      </c>
      <c r="F34" s="11">
        <f t="shared" si="23"/>
        <v>4.4</v>
      </c>
      <c r="G34" s="12">
        <f t="shared" ref="G34:L34" si="46">IF($B34&lt;G$8,0,G$3+(G$4-G$3)*(POWER(G$5,$B34-G$8)-1)/(POWER(G$5,$C$5-G$8)-1))</f>
        <v>0.258453718672364</v>
      </c>
      <c r="H34" s="12">
        <f t="shared" si="46"/>
        <v>0.116929706320477</v>
      </c>
      <c r="I34" s="12">
        <f t="shared" si="46"/>
        <v>0</v>
      </c>
      <c r="J34" s="12">
        <f t="shared" si="46"/>
        <v>0</v>
      </c>
      <c r="K34" s="12">
        <f t="shared" si="46"/>
        <v>0</v>
      </c>
      <c r="L34" s="12">
        <f t="shared" si="46"/>
        <v>0.104972594705853</v>
      </c>
      <c r="M34" s="2">
        <f>E34*模块规划!$F$10+G34*模块规划!$F$11+H34*模块规划!$F$13</f>
        <v>2240.57784962735</v>
      </c>
      <c r="N34" s="2">
        <f>I34*模块规划!$F$15+J34*模块规划!$F$17+K34*模块规划!$F$16+L34*模块规划!$F$18</f>
        <v>524.862973529265</v>
      </c>
      <c r="O34" s="2">
        <f t="shared" si="2"/>
        <v>1.1038113073986</v>
      </c>
      <c r="P34" s="13">
        <f t="shared" si="3"/>
        <v>2998.03813905477</v>
      </c>
      <c r="Q34" s="7">
        <f>P34/(P34+_曲线基线!$L$2)</f>
        <v>0.111046518403049</v>
      </c>
      <c r="R34" s="2">
        <f>E34*模块规划!$E$10+G34*模块规划!$E$11+H34*模块规划!$E$13</f>
        <v>3360.86677444102</v>
      </c>
      <c r="S34" s="2">
        <f>I34*模块规划!$E$15+J34*模块规划!$E$17+K34*模块规划!$E$16+L34*模块规划!$E$18</f>
        <v>787.294460293897</v>
      </c>
      <c r="T34" s="2">
        <f t="shared" si="4"/>
        <v>1.1038113073986</v>
      </c>
      <c r="U34" s="13">
        <f t="shared" si="5"/>
        <v>4497.05720858216</v>
      </c>
      <c r="V34" s="2">
        <f t="shared" si="6"/>
        <v>0.735078911896143</v>
      </c>
      <c r="W34" s="2">
        <f t="shared" si="7"/>
        <v>0.0467718825281907</v>
      </c>
      <c r="X34" s="2">
        <f t="shared" si="8"/>
        <v>0.307155669238131</v>
      </c>
      <c r="Y34" s="2">
        <f t="shared" si="9"/>
        <v>1</v>
      </c>
      <c r="Z34" s="2">
        <f t="shared" si="10"/>
        <v>1</v>
      </c>
      <c r="AA34" s="2">
        <f t="shared" si="11"/>
        <v>1</v>
      </c>
      <c r="AB34" s="2">
        <f t="shared" si="12"/>
        <v>1</v>
      </c>
      <c r="AC34" s="2">
        <f t="shared" si="13"/>
        <v>1</v>
      </c>
      <c r="AD34" s="1">
        <f t="shared" si="14"/>
        <v>1.09442247847714</v>
      </c>
      <c r="AE34" s="2">
        <f t="shared" si="15"/>
        <v>1</v>
      </c>
      <c r="AF34" s="2">
        <f t="shared" si="16"/>
        <v>1.00916229352749</v>
      </c>
      <c r="AG34" s="2">
        <f t="shared" si="17"/>
        <v>1.01623762019594</v>
      </c>
      <c r="AH34" s="2">
        <f>MIN(1,_曲线基线!$L$3+AH$9*($H$10*H34+$I$10*I34+$J$10*J34+$K$10*K34+$L$10*L34))</f>
        <v>0.0708442177750346</v>
      </c>
      <c r="AI34" s="2">
        <f>_曲线基线!$L$4+AI$9*($H$10*H34+$I$10*I34+$J$10*J34+$K$10*K34+$L$10*L34)</f>
        <v>2.05806603523045</v>
      </c>
      <c r="AJ34" s="2">
        <f t="shared" si="18"/>
        <v>1.04764392634294</v>
      </c>
      <c r="AK34" s="1">
        <f t="shared" si="19"/>
        <v>1.12617307375338</v>
      </c>
      <c r="AL34" s="1">
        <f t="shared" si="20"/>
        <v>24387.7218300812</v>
      </c>
      <c r="AM34" s="14">
        <f t="shared" si="21"/>
        <v>35.3285222300327</v>
      </c>
      <c r="AN34" s="14">
        <f>(((E34*模块规划!$D$10+G34*模块规划!$D$11+H34*模块规划!$D$13)*(1+模块规划!$G$14*H34)+(I34*模块规划!$D$15+J34*模块规划!$D$17+K34*模块规划!$D$16+L34*模块规划!$D$18))*(1+模块规划!$J$17*J34))*F34/(1-Q34)</f>
        <v>74275.0927390988</v>
      </c>
      <c r="AO34" s="1">
        <f t="shared" si="22"/>
        <v>861582.172813877</v>
      </c>
      <c r="AP34" s="1">
        <f>IF(AO34="","",_xlfn.XLOOKUP(AO34,_曲线基线!$E$3:$E$502,_曲线基线!$A$3:$A$502,500,1))</f>
        <v>46</v>
      </c>
      <c r="AQ34" s="15">
        <f t="shared" si="25"/>
        <v>5</v>
      </c>
    </row>
    <row r="35" customHeight="1" spans="1:43">
      <c r="A35" s="1">
        <f>IFERROR(_xlfn.XLOOKUP(B35,_曲线基线!$G$3:$G$107,_曲线基线!$J$3:$J$107,""),"")</f>
        <v>16</v>
      </c>
      <c r="B35" s="1">
        <v>24</v>
      </c>
      <c r="C35" s="1">
        <v>2</v>
      </c>
      <c r="D35" s="1">
        <v>12</v>
      </c>
      <c r="E35" s="1">
        <f t="shared" si="0"/>
        <v>1</v>
      </c>
      <c r="F35" s="11">
        <f t="shared" si="23"/>
        <v>4.5</v>
      </c>
      <c r="G35" s="12">
        <f t="shared" ref="G35:L35" si="47">IF($B35&lt;G$8,0,G$3+(G$4-G$3)*(POWER(G$5,$B35-G$8)-1)/(POWER(G$5,$C$5-G$8)-1))</f>
        <v>0.268282103346774</v>
      </c>
      <c r="H35" s="12">
        <f t="shared" si="47"/>
        <v>0.128657654433579</v>
      </c>
      <c r="I35" s="12">
        <f t="shared" si="47"/>
        <v>0</v>
      </c>
      <c r="J35" s="12">
        <f t="shared" si="47"/>
        <v>0</v>
      </c>
      <c r="K35" s="12">
        <f t="shared" si="47"/>
        <v>0</v>
      </c>
      <c r="L35" s="12">
        <f t="shared" si="47"/>
        <v>0.116941049643121</v>
      </c>
      <c r="M35" s="2">
        <f>E35*模块规划!$F$10+G35*模块规划!$F$11+H35*模块规划!$F$13</f>
        <v>2287.75409606452</v>
      </c>
      <c r="N35" s="2">
        <f>I35*模块规划!$F$15+J35*模块规划!$F$17+K35*模块规划!$F$16+L35*模块规划!$F$18</f>
        <v>584.705248215605</v>
      </c>
      <c r="O35" s="2">
        <f t="shared" si="2"/>
        <v>1.11497641166816</v>
      </c>
      <c r="P35" s="13">
        <f t="shared" si="3"/>
        <v>3135.49710102476</v>
      </c>
      <c r="Q35" s="7">
        <f>P35/(P35+_曲线基线!$L$2)</f>
        <v>0.115549646625281</v>
      </c>
      <c r="R35" s="2">
        <f>E35*模块规划!$E$10+G35*模块规划!$E$11+H35*模块规划!$E$13</f>
        <v>3431.63114409678</v>
      </c>
      <c r="S35" s="2">
        <f>I35*模块规划!$E$15+J35*模块规划!$E$17+K35*模块规划!$E$16+L35*模块规划!$E$18</f>
        <v>877.057872323408</v>
      </c>
      <c r="T35" s="2">
        <f t="shared" si="4"/>
        <v>1.11497641166816</v>
      </c>
      <c r="U35" s="13">
        <f t="shared" si="5"/>
        <v>4703.24565153714</v>
      </c>
      <c r="V35" s="2">
        <f t="shared" si="6"/>
        <v>0.738597296330074</v>
      </c>
      <c r="W35" s="2">
        <f t="shared" si="7"/>
        <v>0.0514630617734315</v>
      </c>
      <c r="X35" s="2">
        <f t="shared" si="8"/>
        <v>0.310380854969234</v>
      </c>
      <c r="Y35" s="2">
        <f t="shared" si="9"/>
        <v>1</v>
      </c>
      <c r="Z35" s="2">
        <f t="shared" si="10"/>
        <v>1</v>
      </c>
      <c r="AA35" s="2">
        <f t="shared" si="11"/>
        <v>1</v>
      </c>
      <c r="AB35" s="2">
        <f t="shared" si="12"/>
        <v>1</v>
      </c>
      <c r="AC35" s="2">
        <f t="shared" si="13"/>
        <v>1</v>
      </c>
      <c r="AD35" s="1">
        <f t="shared" si="14"/>
        <v>1.10654533713578</v>
      </c>
      <c r="AE35" s="2">
        <f t="shared" si="15"/>
        <v>1</v>
      </c>
      <c r="AF35" s="2">
        <f t="shared" si="16"/>
        <v>1.01014771568569</v>
      </c>
      <c r="AG35" s="2">
        <f t="shared" si="17"/>
        <v>1.01798400724298</v>
      </c>
      <c r="AH35" s="2">
        <f>MIN(1,_曲线基线!$L$3+AH$9*($H$10*H35+$I$10*I35+$J$10*J35+$K$10*K35+$L$10*L35))</f>
        <v>0.0730860531849483</v>
      </c>
      <c r="AI35" s="2">
        <f>_曲线基线!$L$4+AI$9*($H$10*H35+$I$10*I35+$J$10*J35+$K$10*K35+$L$10*L35)</f>
        <v>2.06431114815807</v>
      </c>
      <c r="AJ35" s="2">
        <f t="shared" si="18"/>
        <v>1.0527681215656</v>
      </c>
      <c r="AK35" s="1">
        <f t="shared" si="19"/>
        <v>1.13465905974199</v>
      </c>
      <c r="AL35" s="1">
        <f t="shared" si="20"/>
        <v>26573.2561562461</v>
      </c>
      <c r="AM35" s="14">
        <f t="shared" si="21"/>
        <v>35.3452320922549</v>
      </c>
      <c r="AN35" s="14">
        <f>(((E35*模块规划!$D$10+G35*模块规划!$D$11+H35*模块规划!$D$13)*(1+模块规划!$G$14*H35)+(I35*模块规划!$D$15+J35*模块规划!$D$17+K35*模块规划!$D$16+L35*模块规划!$D$18))*(1+模块规划!$J$17*J35))*F35/(1-Q35)</f>
        <v>79813.0282432991</v>
      </c>
      <c r="AO35" s="1">
        <f t="shared" si="22"/>
        <v>939237.906289461</v>
      </c>
      <c r="AP35" s="1">
        <f>IF(AO35="","",_xlfn.XLOOKUP(AO35,_曲线基线!$E$3:$E$502,_曲线基线!$A$3:$A$502,500,1))</f>
        <v>48</v>
      </c>
      <c r="AQ35" s="15">
        <f t="shared" si="25"/>
        <v>5</v>
      </c>
    </row>
    <row r="36" customHeight="1" spans="1:43">
      <c r="A36" s="1">
        <f>IFERROR(_xlfn.XLOOKUP(B36,_曲线基线!$G$3:$G$107,_曲线基线!$J$3:$J$107,""),"")</f>
        <v>17</v>
      </c>
      <c r="B36" s="1">
        <v>25</v>
      </c>
      <c r="C36" s="1">
        <v>3</v>
      </c>
      <c r="D36" s="1">
        <v>1</v>
      </c>
      <c r="E36" s="1">
        <f t="shared" si="0"/>
        <v>1</v>
      </c>
      <c r="F36" s="11">
        <f t="shared" si="23"/>
        <v>4.6</v>
      </c>
      <c r="G36" s="12">
        <f t="shared" ref="G36:L36" si="48">IF($B36&lt;G$8,0,G$3+(G$4-G$3)*(POWER(G$5,$B36-G$8)-1)/(POWER(G$5,$C$5-G$8)-1))</f>
        <v>0.277963062251069</v>
      </c>
      <c r="H36" s="12">
        <f t="shared" si="48"/>
        <v>0.140151043584418</v>
      </c>
      <c r="I36" s="12">
        <f t="shared" si="48"/>
        <v>0</v>
      </c>
      <c r="J36" s="12">
        <f t="shared" si="48"/>
        <v>0</v>
      </c>
      <c r="K36" s="12">
        <f t="shared" si="48"/>
        <v>0</v>
      </c>
      <c r="L36" s="12">
        <f t="shared" si="48"/>
        <v>0.128670135481645</v>
      </c>
      <c r="M36" s="2">
        <f>E36*模块规划!$F$10+G36*模块规划!$F$11+H36*模块规划!$F$13</f>
        <v>2334.22269880513</v>
      </c>
      <c r="N36" s="2">
        <f>I36*模块规划!$F$15+J36*模块规划!$F$17+K36*模块规划!$F$16+L36*模块规划!$F$18</f>
        <v>643.350677408225</v>
      </c>
      <c r="O36" s="2">
        <f t="shared" si="2"/>
        <v>1.12591821385232</v>
      </c>
      <c r="P36" s="13">
        <f t="shared" si="3"/>
        <v>3271.49452918044</v>
      </c>
      <c r="Q36" s="7">
        <f>P36/(P36+_曲线基线!$L$2)</f>
        <v>0.119960221676885</v>
      </c>
      <c r="R36" s="2">
        <f>E36*模块规划!$E$10+G36*模块规划!$E$11+H36*模块规划!$E$13</f>
        <v>3501.33404820769</v>
      </c>
      <c r="S36" s="2">
        <f>I36*模块规划!$E$15+J36*模块规划!$E$17+K36*模块规划!$E$16+L36*模块规划!$E$18</f>
        <v>965.026016112337</v>
      </c>
      <c r="T36" s="2">
        <f t="shared" si="4"/>
        <v>1.12591821385232</v>
      </c>
      <c r="U36" s="13">
        <f t="shared" si="5"/>
        <v>4907.24179377065</v>
      </c>
      <c r="V36" s="2">
        <f t="shared" si="6"/>
        <v>0.742045313075326</v>
      </c>
      <c r="W36" s="2">
        <f t="shared" si="7"/>
        <v>0.0560604174337674</v>
      </c>
      <c r="X36" s="2">
        <f t="shared" si="8"/>
        <v>0.313541536985715</v>
      </c>
      <c r="Y36" s="2">
        <f t="shared" si="9"/>
        <v>1</v>
      </c>
      <c r="Z36" s="2">
        <f t="shared" si="10"/>
        <v>1</v>
      </c>
      <c r="AA36" s="2">
        <f t="shared" si="11"/>
        <v>1</v>
      </c>
      <c r="AB36" s="2">
        <f t="shared" si="12"/>
        <v>1</v>
      </c>
      <c r="AC36" s="2">
        <f t="shared" si="13"/>
        <v>1</v>
      </c>
      <c r="AD36" s="1">
        <f t="shared" si="14"/>
        <v>1.11844563783958</v>
      </c>
      <c r="AE36" s="2">
        <f t="shared" si="15"/>
        <v>1</v>
      </c>
      <c r="AF36" s="2">
        <f t="shared" si="16"/>
        <v>1.01111342940073</v>
      </c>
      <c r="AG36" s="2">
        <f t="shared" si="17"/>
        <v>1.01969546654907</v>
      </c>
      <c r="AH36" s="2">
        <f>MIN(1,_曲线基线!$L$3+AH$9*($H$10*H36+$I$10*I36+$J$10*J36+$K$10*K36+$L$10*L36))</f>
        <v>0.0752830518866638</v>
      </c>
      <c r="AI36" s="2">
        <f>_曲线基线!$L$4+AI$9*($H$10*H36+$I$10*I36+$J$10*J36+$K$10*K36+$L$10*L36)</f>
        <v>2.07043135882713</v>
      </c>
      <c r="AJ36" s="2">
        <f t="shared" si="18"/>
        <v>1.0577898328838</v>
      </c>
      <c r="AK36" s="1">
        <f t="shared" si="19"/>
        <v>1.14303218571569</v>
      </c>
      <c r="AL36" s="1">
        <f t="shared" si="20"/>
        <v>28858.159447132</v>
      </c>
      <c r="AM36" s="14">
        <f t="shared" si="21"/>
        <v>35.3621090530993</v>
      </c>
      <c r="AN36" s="14">
        <f>(((E36*模块规划!$D$10+G36*模块规划!$D$11+H36*模块规划!$D$13)*(1+模块规划!$G$14*H36)+(I36*模块规划!$D$15+J36*模块规划!$D$17+K36*模块规划!$D$16+L36*模块规划!$D$18))*(1+模块规划!$J$17*J36))*F36/(1-Q36)</f>
        <v>85514.3881828406</v>
      </c>
      <c r="AO36" s="1">
        <f t="shared" si="22"/>
        <v>1020485.38144121</v>
      </c>
      <c r="AP36" s="1">
        <f>IF(AO36="","",_xlfn.XLOOKUP(AO36,_曲线基线!$E$3:$E$502,_曲线基线!$A$3:$A$502,500,1))</f>
        <v>50</v>
      </c>
      <c r="AQ36" s="15">
        <f t="shared" si="25"/>
        <v>5</v>
      </c>
    </row>
    <row r="37" customHeight="1" spans="1:43">
      <c r="A37" s="1">
        <f>IFERROR(_xlfn.XLOOKUP(B37,_曲线基线!$G$3:$G$107,_曲线基线!$J$3:$J$107,""),"")</f>
        <v>17</v>
      </c>
      <c r="B37" s="1">
        <v>26</v>
      </c>
      <c r="C37" s="1">
        <v>3</v>
      </c>
      <c r="D37" s="1">
        <v>2</v>
      </c>
      <c r="E37" s="1">
        <f t="shared" si="0"/>
        <v>1</v>
      </c>
      <c r="F37" s="11">
        <f t="shared" si="23"/>
        <v>4.7</v>
      </c>
      <c r="G37" s="12">
        <f t="shared" ref="G37:L37" si="49">IF($B37&lt;G$8,0,G$3+(G$4-G$3)*(POWER(G$5,$B37-G$8)-1)/(POWER(G$5,$C$5-G$8)-1))</f>
        <v>0.287498806771798</v>
      </c>
      <c r="H37" s="12">
        <f t="shared" si="49"/>
        <v>0.151414564952242</v>
      </c>
      <c r="I37" s="12">
        <f t="shared" si="49"/>
        <v>0</v>
      </c>
      <c r="J37" s="12">
        <f t="shared" si="49"/>
        <v>0</v>
      </c>
      <c r="K37" s="12">
        <f t="shared" si="49"/>
        <v>0</v>
      </c>
      <c r="L37" s="12">
        <f t="shared" si="49"/>
        <v>0.140164639603397</v>
      </c>
      <c r="M37" s="2">
        <f>E37*模块规划!$F$10+G37*模块规划!$F$11+H37*模块规划!$F$13</f>
        <v>2379.99427250463</v>
      </c>
      <c r="N37" s="2">
        <f>I37*模块规划!$F$15+J37*模块规划!$F$17+K37*模块规划!$F$16+L37*模块规划!$F$18</f>
        <v>700.823198016985</v>
      </c>
      <c r="O37" s="2">
        <f t="shared" si="2"/>
        <v>1.13664117999281</v>
      </c>
      <c r="P37" s="13">
        <f t="shared" si="3"/>
        <v>3406.02269629278</v>
      </c>
      <c r="Q37" s="7">
        <f>P37/(P37+_曲线基线!$L$2)</f>
        <v>0.124280080113687</v>
      </c>
      <c r="R37" s="2">
        <f>E37*模块规划!$E$10+G37*模块规划!$E$11+H37*模块规划!$E$13</f>
        <v>3569.99140875695</v>
      </c>
      <c r="S37" s="2">
        <f>I37*模块规划!$E$15+J37*模块规划!$E$17+K37*模块规划!$E$16+L37*模块规划!$E$18</f>
        <v>1051.23479702548</v>
      </c>
      <c r="T37" s="2">
        <f t="shared" si="4"/>
        <v>1.13664117999281</v>
      </c>
      <c r="U37" s="13">
        <f t="shared" si="5"/>
        <v>5109.03404443917</v>
      </c>
      <c r="V37" s="2">
        <f t="shared" si="6"/>
        <v>0.745424369485672</v>
      </c>
      <c r="W37" s="2">
        <f t="shared" si="7"/>
        <v>0.0605658259808966</v>
      </c>
      <c r="X37" s="2">
        <f t="shared" si="8"/>
        <v>0.316639005361866</v>
      </c>
      <c r="Y37" s="2">
        <f t="shared" si="9"/>
        <v>1</v>
      </c>
      <c r="Z37" s="2">
        <f t="shared" si="10"/>
        <v>1</v>
      </c>
      <c r="AA37" s="2">
        <f t="shared" si="11"/>
        <v>1</v>
      </c>
      <c r="AB37" s="2">
        <f t="shared" si="12"/>
        <v>1</v>
      </c>
      <c r="AC37" s="2">
        <f t="shared" si="13"/>
        <v>1</v>
      </c>
      <c r="AD37" s="1">
        <f t="shared" si="14"/>
        <v>1.1301270437386</v>
      </c>
      <c r="AE37" s="2">
        <f t="shared" si="15"/>
        <v>1</v>
      </c>
      <c r="AF37" s="2">
        <f t="shared" si="16"/>
        <v>1.01205982884147</v>
      </c>
      <c r="AG37" s="2">
        <f t="shared" si="17"/>
        <v>1.02137269666905</v>
      </c>
      <c r="AH37" s="2">
        <f>MIN(1,_曲线基线!$L$3+AH$9*($H$10*H37+$I$10*I37+$J$10*J37+$K$10*K37+$L$10*L37))</f>
        <v>0.077436110614345</v>
      </c>
      <c r="AI37" s="2">
        <f>_曲线基线!$L$4+AI$9*($H$10*H37+$I$10*I37+$J$10*J37+$K$10*K37+$L$10*L37)</f>
        <v>2.07642916528282</v>
      </c>
      <c r="AJ37" s="2">
        <f t="shared" si="18"/>
        <v>1.06271110997565</v>
      </c>
      <c r="AK37" s="1">
        <f t="shared" si="19"/>
        <v>1.15129285034537</v>
      </c>
      <c r="AL37" s="1">
        <f t="shared" si="20"/>
        <v>31242.7842575805</v>
      </c>
      <c r="AM37" s="14">
        <f t="shared" si="21"/>
        <v>35.3791547835521</v>
      </c>
      <c r="AN37" s="14">
        <f>(((E37*模块规划!$D$10+G37*模块规划!$D$11+H37*模块规划!$D$13)*(1+模块规划!$G$14*H37)+(I37*模块规划!$D$15+J37*模块规划!$D$17+K37*模块规划!$D$16+L37*模块规划!$D$18))*(1+模块规划!$J$17*J37))*F37/(1-Q37)</f>
        <v>91377.328931621</v>
      </c>
      <c r="AO37" s="1">
        <f t="shared" si="22"/>
        <v>1105343.30011807</v>
      </c>
      <c r="AP37" s="1">
        <f>IF(AO37="","",_xlfn.XLOOKUP(AO37,_曲线基线!$E$3:$E$502,_曲线基线!$A$3:$A$502,500,1))</f>
        <v>53</v>
      </c>
      <c r="AQ37" s="15">
        <f t="shared" si="25"/>
        <v>5</v>
      </c>
    </row>
    <row r="38" customHeight="1" spans="1:43">
      <c r="A38" s="1">
        <f>IFERROR(_xlfn.XLOOKUP(B38,_曲线基线!$G$3:$G$107,_曲线基线!$J$3:$J$107,""),"")</f>
        <v>17</v>
      </c>
      <c r="B38" s="1">
        <v>27</v>
      </c>
      <c r="C38" s="1">
        <v>3</v>
      </c>
      <c r="D38" s="1">
        <v>3</v>
      </c>
      <c r="E38" s="1">
        <f t="shared" si="0"/>
        <v>1</v>
      </c>
      <c r="F38" s="11">
        <f t="shared" si="23"/>
        <v>4.8</v>
      </c>
      <c r="G38" s="12">
        <f t="shared" ref="G38:L38" si="50">IF($B38&lt;G$8,0,G$3+(G$4-G$3)*(POWER(G$5,$B38-G$8)-1)/(POWER(G$5,$C$5-G$8)-1))</f>
        <v>0.296891515124717</v>
      </c>
      <c r="H38" s="12">
        <f t="shared" si="50"/>
        <v>0.162452815892708</v>
      </c>
      <c r="I38" s="12">
        <f t="shared" si="50"/>
        <v>0</v>
      </c>
      <c r="J38" s="12">
        <f t="shared" si="50"/>
        <v>0</v>
      </c>
      <c r="K38" s="12">
        <f t="shared" si="50"/>
        <v>0</v>
      </c>
      <c r="L38" s="12">
        <f t="shared" si="50"/>
        <v>0.151429253642715</v>
      </c>
      <c r="M38" s="2">
        <f>E38*模块规划!$F$10+G38*模块规划!$F$11+H38*模块规划!$F$13</f>
        <v>2425.07927259864</v>
      </c>
      <c r="N38" s="2">
        <f>I38*模块规划!$F$15+J38*模块规划!$F$17+K38*模块规划!$F$16+L38*模块规划!$F$18</f>
        <v>757.146268213575</v>
      </c>
      <c r="O38" s="2">
        <f t="shared" si="2"/>
        <v>1.14714968681048</v>
      </c>
      <c r="P38" s="13">
        <f t="shared" si="3"/>
        <v>3539.07519626569</v>
      </c>
      <c r="Q38" s="7">
        <f>P38/(P38+_曲线基线!$L$2)</f>
        <v>0.128511040078266</v>
      </c>
      <c r="R38" s="2">
        <f>E38*模块规划!$E$10+G38*模块规划!$E$11+H38*模块规划!$E$13</f>
        <v>3637.61890889796</v>
      </c>
      <c r="S38" s="2">
        <f>I38*模块规划!$E$15+J38*模块规划!$E$17+K38*模块规划!$E$16+L38*模块规划!$E$18</f>
        <v>1135.71940232036</v>
      </c>
      <c r="T38" s="2">
        <f t="shared" si="4"/>
        <v>1.14714968681048</v>
      </c>
      <c r="U38" s="13">
        <f t="shared" si="5"/>
        <v>5308.61279439854</v>
      </c>
      <c r="V38" s="2">
        <f t="shared" si="6"/>
        <v>0.748735844767812</v>
      </c>
      <c r="W38" s="2">
        <f t="shared" si="7"/>
        <v>0.0649811263570832</v>
      </c>
      <c r="X38" s="2">
        <f t="shared" si="8"/>
        <v>0.319674524370495</v>
      </c>
      <c r="Y38" s="2">
        <f t="shared" si="9"/>
        <v>1</v>
      </c>
      <c r="Z38" s="2">
        <f t="shared" si="10"/>
        <v>1</v>
      </c>
      <c r="AA38" s="2">
        <f t="shared" si="11"/>
        <v>1</v>
      </c>
      <c r="AB38" s="2">
        <f t="shared" si="12"/>
        <v>1</v>
      </c>
      <c r="AC38" s="2">
        <f t="shared" si="13"/>
        <v>1</v>
      </c>
      <c r="AD38" s="1">
        <f t="shared" si="14"/>
        <v>1.14159317592503</v>
      </c>
      <c r="AE38" s="2">
        <f t="shared" si="15"/>
        <v>1</v>
      </c>
      <c r="AF38" s="2">
        <f t="shared" si="16"/>
        <v>1.01298730029339</v>
      </c>
      <c r="AG38" s="2">
        <f t="shared" si="17"/>
        <v>1.02301638218663</v>
      </c>
      <c r="AH38" s="2">
        <f>MIN(1,_曲线基线!$L$3+AH$9*($H$10*H38+$I$10*I38+$J$10*J38+$K$10*K38+$L$10*L38))</f>
        <v>0.0795461081674726</v>
      </c>
      <c r="AI38" s="2">
        <f>_曲线基线!$L$4+AI$9*($H$10*H38+$I$10*I38+$J$10*J38+$K$10*K38+$L$10*L38)</f>
        <v>2.08230701560939</v>
      </c>
      <c r="AJ38" s="2">
        <f t="shared" si="18"/>
        <v>1.06753396152565</v>
      </c>
      <c r="AK38" s="1">
        <f t="shared" si="19"/>
        <v>1.15944149480797</v>
      </c>
      <c r="AL38" s="1">
        <f t="shared" si="20"/>
        <v>33727.3710066178</v>
      </c>
      <c r="AM38" s="14">
        <f t="shared" si="21"/>
        <v>35.3963709713095</v>
      </c>
      <c r="AN38" s="14">
        <f>(((E38*模块规划!$D$10+G38*模块规划!$D$11+H38*模块规划!$D$13)*(1+模块规划!$G$14*H38)+(I38*模块规划!$D$15+J38*模块规划!$D$17+K38*模块规划!$D$16+L38*模块规划!$D$18))*(1+模块规划!$J$17*J38))*F38/(1-Q38)</f>
        <v>97399.936827203</v>
      </c>
      <c r="AO38" s="1">
        <f t="shared" si="22"/>
        <v>1193826.53603723</v>
      </c>
      <c r="AP38" s="1">
        <f>IF(AO38="","",_xlfn.XLOOKUP(AO38,_曲线基线!$E$3:$E$502,_曲线基线!$A$3:$A$502,500,1))</f>
        <v>55</v>
      </c>
      <c r="AQ38" s="15">
        <f t="shared" si="25"/>
        <v>5</v>
      </c>
    </row>
    <row r="39" customHeight="1" spans="1:43">
      <c r="A39" s="1">
        <f>IFERROR(_xlfn.XLOOKUP(B39,_曲线基线!$G$3:$G$107,_曲线基线!$J$3:$J$107,""),"")</f>
        <v>18</v>
      </c>
      <c r="B39" s="1">
        <v>28</v>
      </c>
      <c r="C39" s="1">
        <v>3</v>
      </c>
      <c r="D39" s="1">
        <v>4</v>
      </c>
      <c r="E39" s="1">
        <f t="shared" si="0"/>
        <v>1</v>
      </c>
      <c r="F39" s="11">
        <f t="shared" si="23"/>
        <v>4.9</v>
      </c>
      <c r="G39" s="12">
        <f t="shared" ref="G39:L39" si="51">IF($B39&lt;G$8,0,G$3+(G$4-G$3)*(POWER(G$5,$B39-G$8)-1)/(POWER(G$5,$C$5-G$8)-1))</f>
        <v>0.306143332852342</v>
      </c>
      <c r="H39" s="12">
        <f t="shared" si="51"/>
        <v>0.173270301814365</v>
      </c>
      <c r="I39" s="12">
        <f t="shared" si="51"/>
        <v>0</v>
      </c>
      <c r="J39" s="12">
        <f t="shared" si="51"/>
        <v>0</v>
      </c>
      <c r="K39" s="12">
        <f t="shared" si="51"/>
        <v>0</v>
      </c>
      <c r="L39" s="12">
        <f t="shared" si="51"/>
        <v>0.162468575401247</v>
      </c>
      <c r="M39" s="2">
        <f>E39*模块规划!$F$10+G39*模块规划!$F$11+H39*模块规划!$F$13</f>
        <v>2469.48799769124</v>
      </c>
      <c r="N39" s="2">
        <f>I39*模块规划!$F$15+J39*模块规划!$F$17+K39*模块规划!$F$16+L39*模块规划!$F$18</f>
        <v>812.342877006235</v>
      </c>
      <c r="O39" s="2">
        <f t="shared" si="2"/>
        <v>1.1574480234918</v>
      </c>
      <c r="P39" s="13">
        <f t="shared" si="3"/>
        <v>3670.64687897068</v>
      </c>
      <c r="Q39" s="7">
        <f>P39/(P39+_曲线基线!$L$2)</f>
        <v>0.132654899432811</v>
      </c>
      <c r="R39" s="2">
        <f>E39*模块规划!$E$10+G39*模块规划!$E$11+H39*模块规划!$E$13</f>
        <v>3704.23199653687</v>
      </c>
      <c r="S39" s="2">
        <f>I39*模块规划!$E$15+J39*模块规划!$E$17+K39*模块规划!$E$16+L39*模块规划!$E$18</f>
        <v>1218.51431550935</v>
      </c>
      <c r="T39" s="2">
        <f t="shared" si="4"/>
        <v>1.1574480234918</v>
      </c>
      <c r="U39" s="13">
        <f t="shared" si="5"/>
        <v>5505.97031845604</v>
      </c>
      <c r="V39" s="2">
        <f t="shared" si="6"/>
        <v>0.75198109054431</v>
      </c>
      <c r="W39" s="2">
        <f t="shared" si="7"/>
        <v>0.0693081207257461</v>
      </c>
      <c r="X39" s="2">
        <f t="shared" si="8"/>
        <v>0.32264933299895</v>
      </c>
      <c r="Y39" s="2">
        <f t="shared" si="9"/>
        <v>1</v>
      </c>
      <c r="Z39" s="2">
        <f t="shared" si="10"/>
        <v>1</v>
      </c>
      <c r="AA39" s="2">
        <f t="shared" si="11"/>
        <v>1</v>
      </c>
      <c r="AB39" s="2">
        <f t="shared" si="12"/>
        <v>1</v>
      </c>
      <c r="AC39" s="2">
        <f t="shared" si="13"/>
        <v>1</v>
      </c>
      <c r="AD39" s="1">
        <f t="shared" si="14"/>
        <v>1.15284761303869</v>
      </c>
      <c r="AE39" s="2">
        <f t="shared" si="15"/>
        <v>1</v>
      </c>
      <c r="AF39" s="2">
        <f t="shared" si="16"/>
        <v>1.01389622231628</v>
      </c>
      <c r="AG39" s="2">
        <f t="shared" si="17"/>
        <v>1.02462719399385</v>
      </c>
      <c r="AH39" s="2">
        <f>MIN(1,_曲线基线!$L$3+AH$9*($H$10*H39+$I$10*I39+$J$10*J39+$K$10*K39+$L$10*L39))</f>
        <v>0.0816139057695376</v>
      </c>
      <c r="AI39" s="2">
        <f>_曲线基线!$L$4+AI$9*($H$10*H39+$I$10*I39+$J$10*J39+$K$10*K39+$L$10*L39)</f>
        <v>2.08806730892943</v>
      </c>
      <c r="AJ39" s="2">
        <f t="shared" si="18"/>
        <v>1.07226035604466</v>
      </c>
      <c r="AK39" s="1">
        <f t="shared" si="19"/>
        <v>1.16747860129692</v>
      </c>
      <c r="AL39" s="1">
        <f t="shared" si="20"/>
        <v>36312.0510029683</v>
      </c>
      <c r="AM39" s="14">
        <f t="shared" si="21"/>
        <v>35.4137593209445</v>
      </c>
      <c r="AN39" s="14">
        <f>(((E39*模块规划!$D$10+G39*模块规划!$D$11+H39*模块规划!$D$13)*(1+模块规划!$G$14*H39)+(I39*模块规划!$D$15+J39*模块规划!$D$17+K39*模块规划!$D$16+L39*模块规划!$D$18))*(1+模块规划!$J$17*J39))*F39/(1-Q39)</f>
        <v>103580.232704358</v>
      </c>
      <c r="AO39" s="1">
        <f t="shared" si="22"/>
        <v>1285946.23466898</v>
      </c>
      <c r="AP39" s="1">
        <f>IF(AO39="","",_xlfn.XLOOKUP(AO39,_曲线基线!$E$3:$E$502,_曲线基线!$A$3:$A$502,500,1))</f>
        <v>57</v>
      </c>
      <c r="AQ39" s="15">
        <f t="shared" si="25"/>
        <v>5</v>
      </c>
    </row>
    <row r="40" customHeight="1" spans="1:43">
      <c r="A40" s="1">
        <f>IFERROR(_xlfn.XLOOKUP(B40,_曲线基线!$G$3:$G$107,_曲线基线!$J$3:$J$107,""),"")</f>
        <v>18</v>
      </c>
      <c r="B40" s="1">
        <v>29</v>
      </c>
      <c r="C40" s="1">
        <v>3</v>
      </c>
      <c r="D40" s="1">
        <v>5</v>
      </c>
      <c r="E40" s="1">
        <f t="shared" si="0"/>
        <v>1</v>
      </c>
      <c r="F40" s="11">
        <f t="shared" si="23"/>
        <v>5</v>
      </c>
      <c r="G40" s="12">
        <f t="shared" ref="G40:L40" si="52">IF($B40&lt;G$8,0,G$3+(G$4-G$3)*(POWER(G$5,$B40-G$8)-1)/(POWER(G$5,$C$5-G$8)-1))</f>
        <v>0.315256373314053</v>
      </c>
      <c r="H40" s="12">
        <f t="shared" si="52"/>
        <v>0.183871438017589</v>
      </c>
      <c r="I40" s="12">
        <f t="shared" si="52"/>
        <v>0</v>
      </c>
      <c r="J40" s="12">
        <f t="shared" si="52"/>
        <v>0</v>
      </c>
      <c r="K40" s="12">
        <f t="shared" si="52"/>
        <v>0</v>
      </c>
      <c r="L40" s="12">
        <f t="shared" si="52"/>
        <v>0.173287110724607</v>
      </c>
      <c r="M40" s="2">
        <f>E40*模块规划!$F$10+G40*模块规划!$F$11+H40*模块规划!$F$13</f>
        <v>2513.23059190746</v>
      </c>
      <c r="N40" s="2">
        <f>I40*模块规划!$F$15+J40*模块规划!$F$17+K40*模块规划!$F$16+L40*模块规划!$F$18</f>
        <v>866.435553623035</v>
      </c>
      <c r="O40" s="2">
        <f t="shared" si="2"/>
        <v>1.16754039343949</v>
      </c>
      <c r="P40" s="13">
        <f t="shared" si="3"/>
        <v>3800.73378770283</v>
      </c>
      <c r="Q40" s="7">
        <f>P40/(P40+_曲线基线!$L$2)</f>
        <v>0.136713434139067</v>
      </c>
      <c r="R40" s="2">
        <f>E40*模块规划!$E$10+G40*模块规划!$E$11+H40*模块规划!$E$13</f>
        <v>3769.84588786118</v>
      </c>
      <c r="S40" s="2">
        <f>I40*模块规划!$E$15+J40*模块规划!$E$17+K40*模块规划!$E$16+L40*模块规划!$E$18</f>
        <v>1299.65333043455</v>
      </c>
      <c r="T40" s="2">
        <f t="shared" si="4"/>
        <v>1.16754039343949</v>
      </c>
      <c r="U40" s="13">
        <f t="shared" si="5"/>
        <v>5701.10068155424</v>
      </c>
      <c r="V40" s="2">
        <f t="shared" si="6"/>
        <v>0.755161431405277</v>
      </c>
      <c r="W40" s="2">
        <f t="shared" si="7"/>
        <v>0.0735485752070357</v>
      </c>
      <c r="X40" s="2">
        <f t="shared" si="8"/>
        <v>0.325564645454837</v>
      </c>
      <c r="Y40" s="2">
        <f t="shared" si="9"/>
        <v>1</v>
      </c>
      <c r="Z40" s="2">
        <f t="shared" si="10"/>
        <v>1</v>
      </c>
      <c r="AA40" s="2">
        <f t="shared" si="11"/>
        <v>1</v>
      </c>
      <c r="AB40" s="2">
        <f t="shared" si="12"/>
        <v>1</v>
      </c>
      <c r="AC40" s="2">
        <f t="shared" si="13"/>
        <v>1</v>
      </c>
      <c r="AD40" s="1">
        <f t="shared" si="14"/>
        <v>1.16389389092921</v>
      </c>
      <c r="AE40" s="2">
        <f t="shared" si="15"/>
        <v>1</v>
      </c>
      <c r="AF40" s="2">
        <f t="shared" si="16"/>
        <v>1.01478696589871</v>
      </c>
      <c r="AG40" s="2">
        <f t="shared" si="17"/>
        <v>1.02620578956493</v>
      </c>
      <c r="AH40" s="2">
        <f>MIN(1,_曲线基线!$L$3+AH$9*($H$10*H40+$I$10*I40+$J$10*J40+$K$10*K40+$L$10*L40))</f>
        <v>0.0836403474195613</v>
      </c>
      <c r="AI40" s="2">
        <f>_曲线基线!$L$4+AI$9*($H$10*H40+$I$10*I40+$J$10*J40+$K$10*K40+$L$10*L40)</f>
        <v>2.09371239638306</v>
      </c>
      <c r="AJ40" s="2">
        <f t="shared" si="18"/>
        <v>1.07689222267328</v>
      </c>
      <c r="AK40" s="1">
        <f t="shared" si="19"/>
        <v>1.17540469150771</v>
      </c>
      <c r="AL40" s="1">
        <f t="shared" si="20"/>
        <v>38996.8496015955</v>
      </c>
      <c r="AM40" s="14">
        <f t="shared" si="21"/>
        <v>35.4313215540758</v>
      </c>
      <c r="AN40" s="14">
        <f>(((E40*模块规划!$D$10+G40*模块规划!$D$11+H40*模块规划!$D$13)*(1+模块规划!$G$14*H40)+(I40*模块规划!$D$15+J40*模块规划!$D$17+K40*模块规划!$D$16+L40*模块规划!$D$18))*(1+模块规划!$J$17*J40))*F40/(1-Q40)</f>
        <v>109916.17634084</v>
      </c>
      <c r="AO40" s="1">
        <f t="shared" si="22"/>
        <v>1381709.91783006</v>
      </c>
      <c r="AP40" s="1">
        <f>IF(AO40="","",_xlfn.XLOOKUP(AO40,_曲线基线!$E$3:$E$502,_曲线基线!$A$3:$A$502,500,1))</f>
        <v>59</v>
      </c>
      <c r="AQ40" s="15">
        <f t="shared" si="25"/>
        <v>5</v>
      </c>
    </row>
    <row r="41" customHeight="1" spans="1:43">
      <c r="A41" s="1">
        <f>IFERROR(_xlfn.XLOOKUP(B41,_曲线基线!$G$3:$G$107,_曲线基线!$J$3:$J$107,""),"")</f>
        <v>19</v>
      </c>
      <c r="B41" s="1">
        <v>30</v>
      </c>
      <c r="C41" s="1">
        <v>3</v>
      </c>
      <c r="D41" s="1">
        <v>6</v>
      </c>
      <c r="E41" s="1">
        <f t="shared" si="0"/>
        <v>1</v>
      </c>
      <c r="F41" s="11">
        <f t="shared" si="23"/>
        <v>5</v>
      </c>
      <c r="G41" s="12">
        <f t="shared" ref="G41:L41" si="53">IF($B41&lt;G$8,0,G$3+(G$4-G$3)*(POWER(G$5,$B41-G$8)-1)/(POWER(G$5,$C$5-G$8)-1))</f>
        <v>0.324232718168838</v>
      </c>
      <c r="H41" s="12">
        <f t="shared" si="53"/>
        <v>0.194260551496749</v>
      </c>
      <c r="I41" s="12">
        <f t="shared" si="53"/>
        <v>0</v>
      </c>
      <c r="J41" s="12">
        <f t="shared" si="53"/>
        <v>0</v>
      </c>
      <c r="K41" s="12">
        <f t="shared" si="53"/>
        <v>0</v>
      </c>
      <c r="L41" s="12">
        <f t="shared" si="53"/>
        <v>0.183889275341501</v>
      </c>
      <c r="M41" s="2">
        <f>E41*模块规划!$F$10+G41*模块规划!$F$11+H41*模块规划!$F$13</f>
        <v>2556.31704721042</v>
      </c>
      <c r="N41" s="2">
        <f>I41*模块规划!$F$15+J41*模块规划!$F$17+K41*模块规划!$F$16+L41*模块规划!$F$18</f>
        <v>919.446376707505</v>
      </c>
      <c r="O41" s="2">
        <f t="shared" si="2"/>
        <v>1.17743091598823</v>
      </c>
      <c r="P41" s="13">
        <f t="shared" si="3"/>
        <v>3929.3330991608</v>
      </c>
      <c r="Q41" s="7">
        <f>P41/(P41+_曲线基线!$L$2)</f>
        <v>0.14068839686254</v>
      </c>
      <c r="R41" s="2">
        <f>E41*模块规划!$E$10+G41*模块规划!$E$11+H41*模块规划!$E$13</f>
        <v>3834.47557081563</v>
      </c>
      <c r="S41" s="2">
        <f>I41*模块规划!$E$15+J41*模块规划!$E$17+K41*模块规划!$E$16+L41*模块规划!$E$18</f>
        <v>1379.16956506126</v>
      </c>
      <c r="T41" s="2">
        <f t="shared" si="4"/>
        <v>1.17743091598823</v>
      </c>
      <c r="U41" s="13">
        <f t="shared" si="5"/>
        <v>5893.9996487412</v>
      </c>
      <c r="V41" s="2">
        <f t="shared" si="6"/>
        <v>0.758278165449025</v>
      </c>
      <c r="W41" s="2">
        <f t="shared" si="7"/>
        <v>0.0777042205986996</v>
      </c>
      <c r="X41" s="2">
        <f t="shared" si="8"/>
        <v>0.328421651661606</v>
      </c>
      <c r="Y41" s="2">
        <f t="shared" si="9"/>
        <v>1</v>
      </c>
      <c r="Z41" s="2">
        <f t="shared" si="10"/>
        <v>1</v>
      </c>
      <c r="AA41" s="2">
        <f t="shared" si="11"/>
        <v>1</v>
      </c>
      <c r="AB41" s="2">
        <f t="shared" si="12"/>
        <v>1</v>
      </c>
      <c r="AC41" s="2">
        <f t="shared" si="13"/>
        <v>1</v>
      </c>
      <c r="AD41" s="1">
        <f t="shared" si="14"/>
        <v>1.17473550237209</v>
      </c>
      <c r="AE41" s="2">
        <f t="shared" si="15"/>
        <v>1</v>
      </c>
      <c r="AF41" s="2">
        <f t="shared" si="16"/>
        <v>1.01565989460949</v>
      </c>
      <c r="AG41" s="2">
        <f t="shared" si="17"/>
        <v>1.02775281322459</v>
      </c>
      <c r="AH41" s="2">
        <f>MIN(1,_曲线基线!$L$3+AH$9*($H$10*H41+$I$10*I41+$J$10*J41+$K$10*K41+$L$10*L41))</f>
        <v>0.0856262602365845</v>
      </c>
      <c r="AI41" s="2">
        <f>_曲线基线!$L$4+AI$9*($H$10*H41+$I$10*I41+$J$10*J41+$K$10*K41+$L$10*L41)</f>
        <v>2.09924458208763</v>
      </c>
      <c r="AJ41" s="2">
        <f t="shared" si="18"/>
        <v>1.08143145196934</v>
      </c>
      <c r="AK41" s="1">
        <f t="shared" si="19"/>
        <v>1.18322032510603</v>
      </c>
      <c r="AL41" s="1">
        <f t="shared" si="20"/>
        <v>40962.4406605053</v>
      </c>
      <c r="AM41" s="14">
        <f t="shared" si="21"/>
        <v>35.4490594095384</v>
      </c>
      <c r="AN41" s="14">
        <f>(((E41*模块规划!$D$10+G41*模块规划!$D$11+H41*模块规划!$D$13)*(1+模块规划!$G$14*H41)+(I41*模块规划!$D$15+J41*模块规划!$D$17+K41*模块规划!$D$16+L41*模块规划!$D$18))*(1+模块规划!$J$17*J41))*F41/(1-Q41)</f>
        <v>114123.206676371</v>
      </c>
      <c r="AO41" s="1">
        <f t="shared" si="22"/>
        <v>1452079.99253394</v>
      </c>
      <c r="AP41" s="1">
        <f>IF(AO41="","",_xlfn.XLOOKUP(AO41,_曲线基线!$E$3:$E$502,_曲线基线!$A$3:$A$502,500,1))</f>
        <v>61</v>
      </c>
      <c r="AQ41" s="15">
        <f t="shared" si="25"/>
        <v>5</v>
      </c>
    </row>
    <row r="42" customHeight="1" spans="1:43">
      <c r="A42" s="1">
        <f>IFERROR(_xlfn.XLOOKUP(B42,_曲线基线!$G$3:$G$107,_曲线基线!$J$3:$J$107,""),"")</f>
        <v>19</v>
      </c>
      <c r="B42" s="1">
        <v>31</v>
      </c>
      <c r="C42" s="1">
        <v>3</v>
      </c>
      <c r="D42" s="1">
        <v>7</v>
      </c>
      <c r="E42" s="1">
        <f t="shared" si="0"/>
        <v>1</v>
      </c>
      <c r="F42" s="11">
        <f t="shared" si="23"/>
        <v>5</v>
      </c>
      <c r="G42" s="12">
        <f t="shared" ref="G42:L42" si="54">IF($B42&lt;G$8,0,G$3+(G$4-G$3)*(POWER(G$5,$B42-G$8)-1)/(POWER(G$5,$C$5-G$8)-1))</f>
        <v>0.333074417850801</v>
      </c>
      <c r="H42" s="12">
        <f t="shared" si="54"/>
        <v>0.204441882706325</v>
      </c>
      <c r="I42" s="12">
        <f t="shared" si="54"/>
        <v>0</v>
      </c>
      <c r="J42" s="12">
        <f t="shared" si="54"/>
        <v>0.0120789444917239</v>
      </c>
      <c r="K42" s="12">
        <f t="shared" si="54"/>
        <v>0</v>
      </c>
      <c r="L42" s="12">
        <f t="shared" si="54"/>
        <v>0.194279396666057</v>
      </c>
      <c r="M42" s="2">
        <f>E42*模块规划!$F$10+G42*模块规划!$F$11+H42*模块规划!$F$13</f>
        <v>2598.75720568385</v>
      </c>
      <c r="N42" s="2">
        <f>I42*模块规划!$F$15+J42*模块规划!$F$17+K42*模块规划!$F$16+L42*模块规划!$F$18</f>
        <v>1092.18642824752</v>
      </c>
      <c r="O42" s="2">
        <f t="shared" si="2"/>
        <v>1.21028417302884</v>
      </c>
      <c r="P42" s="13">
        <f t="shared" si="3"/>
        <v>4237.42114383134</v>
      </c>
      <c r="Q42" s="7">
        <f>P42/(P42+_曲线基线!$L$2)</f>
        <v>0.150064027527423</v>
      </c>
      <c r="R42" s="2">
        <f>E42*模块规划!$E$10+G42*模块规划!$E$11+H42*模块规划!$E$13</f>
        <v>3898.13580852577</v>
      </c>
      <c r="S42" s="2">
        <f>I42*模块规划!$E$15+J42*模块规划!$E$17+K42*模块规划!$E$16+L42*模块规划!$E$18</f>
        <v>1638.27964237129</v>
      </c>
      <c r="T42" s="2">
        <f t="shared" si="4"/>
        <v>1.21028417302884</v>
      </c>
      <c r="U42" s="13">
        <f t="shared" si="5"/>
        <v>6356.13171574701</v>
      </c>
      <c r="V42" s="2">
        <f t="shared" si="6"/>
        <v>0.761332564811898</v>
      </c>
      <c r="W42" s="2">
        <f t="shared" si="7"/>
        <v>0.0817767530825301</v>
      </c>
      <c r="X42" s="2">
        <f t="shared" si="8"/>
        <v>0.331221517744239</v>
      </c>
      <c r="Y42" s="2">
        <f t="shared" si="9"/>
        <v>1</v>
      </c>
      <c r="Z42" s="2">
        <f t="shared" si="10"/>
        <v>1</v>
      </c>
      <c r="AA42" s="2">
        <f t="shared" si="11"/>
        <v>1</v>
      </c>
      <c r="AB42" s="2">
        <f t="shared" si="12"/>
        <v>1</v>
      </c>
      <c r="AC42" s="2">
        <f t="shared" si="13"/>
        <v>1</v>
      </c>
      <c r="AD42" s="1">
        <f t="shared" si="14"/>
        <v>1.18674295902252</v>
      </c>
      <c r="AE42" s="2">
        <f t="shared" si="15"/>
        <v>1</v>
      </c>
      <c r="AF42" s="2">
        <f t="shared" si="16"/>
        <v>1.01855949381388</v>
      </c>
      <c r="AG42" s="2">
        <f t="shared" si="17"/>
        <v>1.03289154737016</v>
      </c>
      <c r="AH42" s="2">
        <f>MIN(1,_曲线基线!$L$3+AH$9*($H$10*H42+$I$10*I42+$J$10*J42+$K$10*K42+$L$10*L42))</f>
        <v>0.092222848426581</v>
      </c>
      <c r="AI42" s="2">
        <f>_曲线基线!$L$4+AI$9*($H$10*H42+$I$10*I42+$J$10*J42+$K$10*K42+$L$10*L42)</f>
        <v>2.11762079204548</v>
      </c>
      <c r="AJ42" s="2">
        <f t="shared" si="18"/>
        <v>1.09650936783219</v>
      </c>
      <c r="AK42" s="1">
        <f t="shared" si="19"/>
        <v>1.20952677796463</v>
      </c>
      <c r="AL42" s="1">
        <f t="shared" si="20"/>
        <v>45617.874296905</v>
      </c>
      <c r="AM42" s="14">
        <f t="shared" si="21"/>
        <v>35.4669746435557</v>
      </c>
      <c r="AN42" s="14">
        <f>(((E42*模块规划!$D$10+G42*模块规划!$D$11+H42*模块规划!$D$13)*(1+模块规划!$G$14*H42)+(I42*模块规划!$D$15+J42*模块规划!$D$17+K42*模块规划!$D$16+L42*模块规划!$D$18))*(1+模块规划!$J$17*J42))*F42/(1-Q42)</f>
        <v>124407.579750946</v>
      </c>
      <c r="AO42" s="1">
        <f t="shared" si="22"/>
        <v>1617927.99098124</v>
      </c>
      <c r="AP42" s="1">
        <f>IF(AO42="","",_xlfn.XLOOKUP(AO42,_曲线基线!$E$3:$E$502,_曲线基线!$A$3:$A$502,500,1))</f>
        <v>64</v>
      </c>
      <c r="AQ42" s="15">
        <f t="shared" si="25"/>
        <v>5</v>
      </c>
    </row>
    <row r="43" customHeight="1" spans="1:43">
      <c r="A43" s="1">
        <f>IFERROR(_xlfn.XLOOKUP(B43,_曲线基线!$G$3:$G$107,_曲线基线!$J$3:$J$107,""),"")</f>
        <v>19</v>
      </c>
      <c r="B43" s="1">
        <v>32</v>
      </c>
      <c r="C43" s="1">
        <v>3</v>
      </c>
      <c r="D43" s="1">
        <v>8</v>
      </c>
      <c r="E43" s="1">
        <f t="shared" si="0"/>
        <v>1</v>
      </c>
      <c r="F43" s="11">
        <f t="shared" si="23"/>
        <v>5</v>
      </c>
      <c r="G43" s="12">
        <f t="shared" ref="G43:L43" si="55">IF($B43&lt;G$8,0,G$3+(G$4-G$3)*(POWER(G$5,$B43-G$8)-1)/(POWER(G$5,$C$5-G$8)-1))</f>
        <v>0.341783492037535</v>
      </c>
      <c r="H43" s="12">
        <f t="shared" si="55"/>
        <v>0.21441958729171</v>
      </c>
      <c r="I43" s="12">
        <f t="shared" si="55"/>
        <v>0</v>
      </c>
      <c r="J43" s="12">
        <f t="shared" si="55"/>
        <v>0.0239163100936134</v>
      </c>
      <c r="K43" s="12">
        <f t="shared" si="55"/>
        <v>0</v>
      </c>
      <c r="L43" s="12">
        <f t="shared" si="55"/>
        <v>0.204461715564121</v>
      </c>
      <c r="M43" s="2">
        <f>E43*模块规划!$F$10+G43*模块规划!$F$11+H43*模块规划!$F$13</f>
        <v>2640.56076178017</v>
      </c>
      <c r="N43" s="2">
        <f>I43*模块规划!$F$15+J43*模块规划!$F$17+K43*模块规划!$F$16+L43*模块规划!$F$18</f>
        <v>1261.47167875674</v>
      </c>
      <c r="O43" s="2">
        <f t="shared" si="2"/>
        <v>1.24248036492864</v>
      </c>
      <c r="P43" s="13">
        <f t="shared" si="3"/>
        <v>4542.31657766961</v>
      </c>
      <c r="Q43" s="7">
        <f>P43/(P43+_曲线基线!$L$2)</f>
        <v>0.159143234408077</v>
      </c>
      <c r="R43" s="2">
        <f>E43*模块规划!$E$10+G43*模块规划!$E$11+H43*模块规划!$E$13</f>
        <v>3960.84114267025</v>
      </c>
      <c r="S43" s="2">
        <f>I43*模块规划!$E$15+J43*模块规划!$E$17+K43*模块规划!$E$16+L43*模块规划!$E$18</f>
        <v>1892.20751813511</v>
      </c>
      <c r="T43" s="2">
        <f t="shared" si="4"/>
        <v>1.24248036492864</v>
      </c>
      <c r="U43" s="13">
        <f t="shared" si="5"/>
        <v>6813.47486650441</v>
      </c>
      <c r="V43" s="2">
        <f t="shared" si="6"/>
        <v>0.764325876187513</v>
      </c>
      <c r="W43" s="2">
        <f t="shared" si="7"/>
        <v>0.0857678349166841</v>
      </c>
      <c r="X43" s="2">
        <f t="shared" si="8"/>
        <v>0.33396538650522</v>
      </c>
      <c r="Y43" s="2">
        <f t="shared" si="9"/>
        <v>1</v>
      </c>
      <c r="Z43" s="2">
        <f t="shared" si="10"/>
        <v>1</v>
      </c>
      <c r="AA43" s="2">
        <f t="shared" si="11"/>
        <v>1</v>
      </c>
      <c r="AB43" s="2">
        <f t="shared" si="12"/>
        <v>1</v>
      </c>
      <c r="AC43" s="2">
        <f t="shared" si="13"/>
        <v>1</v>
      </c>
      <c r="AD43" s="1">
        <f t="shared" si="14"/>
        <v>1.19856109818855</v>
      </c>
      <c r="AE43" s="2">
        <f t="shared" si="15"/>
        <v>1</v>
      </c>
      <c r="AF43" s="2">
        <f t="shared" si="16"/>
        <v>1.02140110103419</v>
      </c>
      <c r="AG43" s="2">
        <f t="shared" si="17"/>
        <v>1.03792750683281</v>
      </c>
      <c r="AH43" s="2">
        <f>MIN(1,_曲线基线!$L$3+AH$9*($H$10*H43+$I$10*I43+$J$10*J43+$K$10*K43+$L$10*L43))</f>
        <v>0.0986875048527775</v>
      </c>
      <c r="AI43" s="2">
        <f>_曲线基线!$L$4+AI$9*($H$10*H43+$I$10*I43+$J$10*J43+$K$10*K43+$L$10*L43)</f>
        <v>2.13562947780417</v>
      </c>
      <c r="AJ43" s="2">
        <f t="shared" si="18"/>
        <v>1.11128572537778</v>
      </c>
      <c r="AK43" s="1">
        <f t="shared" si="19"/>
        <v>1.23583022771547</v>
      </c>
      <c r="AL43" s="1">
        <f t="shared" si="20"/>
        <v>50461.2092632002</v>
      </c>
      <c r="AM43" s="14">
        <f t="shared" si="21"/>
        <v>35.4850690299131</v>
      </c>
      <c r="AN43" s="14">
        <f>(((E43*模块规划!$D$10+G43*模块规划!$D$11+H43*模块规划!$D$13)*(1+模块规划!$G$14*H43)+(I43*模块规划!$D$15+J43*模块规划!$D$17+K43*模块规划!$D$16+L43*模块规划!$D$18))*(1+模块规划!$J$17*J43))*F43/(1-Q43)</f>
        <v>134928.232078736</v>
      </c>
      <c r="AO43" s="1">
        <f t="shared" si="22"/>
        <v>1790619.49403755</v>
      </c>
      <c r="AP43" s="1">
        <f>IF(AO43="","",_xlfn.XLOOKUP(AO43,_曲线基线!$E$3:$E$502,_曲线基线!$A$3:$A$502,500,1))</f>
        <v>68</v>
      </c>
      <c r="AQ43" s="15">
        <f t="shared" si="25"/>
        <v>5</v>
      </c>
    </row>
    <row r="44" customHeight="1" spans="1:43">
      <c r="A44" s="1">
        <f>IFERROR(_xlfn.XLOOKUP(B44,_曲线基线!$G$3:$G$107,_曲线基线!$J$3:$J$107,""),"")</f>
        <v>20</v>
      </c>
      <c r="B44" s="1">
        <v>33</v>
      </c>
      <c r="C44" s="1">
        <v>3</v>
      </c>
      <c r="D44" s="1">
        <v>9</v>
      </c>
      <c r="E44" s="1">
        <f t="shared" si="0"/>
        <v>1</v>
      </c>
      <c r="F44" s="11">
        <f t="shared" si="23"/>
        <v>5</v>
      </c>
      <c r="G44" s="12">
        <f t="shared" ref="G44:L44" si="56">IF($B44&lt;G$8,0,G$3+(G$4-G$3)*(POWER(G$5,$B44-G$8)-1)/(POWER(G$5,$C$5-G$8)-1))</f>
        <v>0.350361930111468</v>
      </c>
      <c r="H44" s="12">
        <f t="shared" si="56"/>
        <v>0.224197737785387</v>
      </c>
      <c r="I44" s="12">
        <f t="shared" si="56"/>
        <v>0</v>
      </c>
      <c r="J44" s="12">
        <f t="shared" si="56"/>
        <v>0.035516928383465</v>
      </c>
      <c r="K44" s="12">
        <f t="shared" si="56"/>
        <v>0</v>
      </c>
      <c r="L44" s="12">
        <f t="shared" si="56"/>
        <v>0.214440388084224</v>
      </c>
      <c r="M44" s="2">
        <f>E44*模块规划!$F$10+G44*模块规划!$F$11+H44*模块规划!$F$13</f>
        <v>2681.73726453505</v>
      </c>
      <c r="N44" s="2">
        <f>I44*模块规划!$F$15+J44*模块规划!$F$17+K44*模块规划!$F$16+L44*模块规划!$F$18</f>
        <v>1427.37122425577</v>
      </c>
      <c r="O44" s="2">
        <f t="shared" si="2"/>
        <v>1.27403263299045</v>
      </c>
      <c r="P44" s="13">
        <f t="shared" si="3"/>
        <v>4843.99201237997</v>
      </c>
      <c r="Q44" s="7">
        <f>P44/(P44+_曲线基线!$L$2)</f>
        <v>0.167937642275761</v>
      </c>
      <c r="R44" s="2">
        <f>E44*模块规划!$E$10+G44*模块规划!$E$11+H44*模块规划!$E$13</f>
        <v>4022.60589680257</v>
      </c>
      <c r="S44" s="2">
        <f>I44*模块规划!$E$15+J44*模块规划!$E$17+K44*模块规划!$E$16+L44*模块规划!$E$18</f>
        <v>2141.05683638365</v>
      </c>
      <c r="T44" s="2">
        <f t="shared" si="4"/>
        <v>1.27403263299045</v>
      </c>
      <c r="U44" s="13">
        <f t="shared" si="5"/>
        <v>7265.98801856994</v>
      </c>
      <c r="V44" s="2">
        <f t="shared" si="6"/>
        <v>0.767259321335616</v>
      </c>
      <c r="W44" s="2">
        <f t="shared" si="7"/>
        <v>0.0896790951141549</v>
      </c>
      <c r="X44" s="2">
        <f t="shared" si="8"/>
        <v>0.336654377890982</v>
      </c>
      <c r="Y44" s="2">
        <f t="shared" si="9"/>
        <v>1</v>
      </c>
      <c r="Z44" s="2">
        <f t="shared" si="10"/>
        <v>1</v>
      </c>
      <c r="AA44" s="2">
        <f t="shared" si="11"/>
        <v>1</v>
      </c>
      <c r="AB44" s="2">
        <f t="shared" si="12"/>
        <v>1</v>
      </c>
      <c r="AC44" s="2">
        <f t="shared" si="13"/>
        <v>1</v>
      </c>
      <c r="AD44" s="1">
        <f t="shared" si="14"/>
        <v>1.21019169328659</v>
      </c>
      <c r="AE44" s="2">
        <f t="shared" si="15"/>
        <v>1</v>
      </c>
      <c r="AF44" s="2">
        <f t="shared" si="16"/>
        <v>1.02418587611009</v>
      </c>
      <c r="AG44" s="2">
        <f t="shared" si="17"/>
        <v>1.04286274710621</v>
      </c>
      <c r="AH44" s="2">
        <f>MIN(1,_曲线基线!$L$3+AH$9*($H$10*H44+$I$10*I44+$J$10*J44+$K$10*K44+$L$10*L44))</f>
        <v>0.10502286815045</v>
      </c>
      <c r="AI44" s="2">
        <f>_曲线基线!$L$4+AI$9*($H$10*H44+$I$10*I44+$J$10*J44+$K$10*K44+$L$10*L44)</f>
        <v>2.15327798984768</v>
      </c>
      <c r="AJ44" s="2">
        <f t="shared" si="18"/>
        <v>1.12576655577246</v>
      </c>
      <c r="AK44" s="1">
        <f t="shared" si="19"/>
        <v>1.26212003399079</v>
      </c>
      <c r="AL44" s="1">
        <f t="shared" si="20"/>
        <v>55490.6113855251</v>
      </c>
      <c r="AM44" s="14">
        <f t="shared" si="21"/>
        <v>35.5033443601341</v>
      </c>
      <c r="AN44" s="14">
        <f>(((E44*模块规划!$D$10+G44*模块规划!$D$11+H44*模块规划!$D$13)*(1+模块规划!$G$14*H44)+(I44*模块规划!$D$15+J44*模块规划!$D$17+K44*模块规划!$D$16+L44*模块规划!$D$18))*(1+模块规划!$J$17*J44))*F44/(1-Q44)</f>
        <v>145674.718224066</v>
      </c>
      <c r="AO44" s="1">
        <f t="shared" si="22"/>
        <v>1970102.28477467</v>
      </c>
      <c r="AP44" s="1">
        <f>IF(AO44="","",_xlfn.XLOOKUP(AO44,_曲线基线!$E$3:$E$502,_曲线基线!$A$3:$A$502,500,1))</f>
        <v>71</v>
      </c>
      <c r="AQ44" s="15">
        <f t="shared" si="25"/>
        <v>5</v>
      </c>
    </row>
    <row r="45" customHeight="1" spans="1:43">
      <c r="A45" s="1">
        <f>IFERROR(_xlfn.XLOOKUP(B45,_曲线基线!$G$3:$G$107,_曲线基线!$J$3:$J$107,""),"")</f>
        <v>20</v>
      </c>
      <c r="B45" s="1">
        <v>34</v>
      </c>
      <c r="C45" s="1">
        <v>3</v>
      </c>
      <c r="D45" s="1">
        <v>10</v>
      </c>
      <c r="E45" s="1">
        <f t="shared" si="0"/>
        <v>1</v>
      </c>
      <c r="F45" s="11">
        <f t="shared" si="23"/>
        <v>5</v>
      </c>
      <c r="G45" s="12">
        <f t="shared" ref="G45:L45" si="57">IF($B45&lt;G$8,0,G$3+(G$4-G$3)*(POWER(G$5,$B45-G$8)-1)/(POWER(G$5,$C$5-G$8)-1))</f>
        <v>0.358811691614292</v>
      </c>
      <c r="H45" s="12">
        <f t="shared" si="57"/>
        <v>0.233780325269191</v>
      </c>
      <c r="I45" s="12">
        <f t="shared" si="57"/>
        <v>0</v>
      </c>
      <c r="J45" s="12">
        <f t="shared" si="57"/>
        <v>0.0468855343075196</v>
      </c>
      <c r="K45" s="12">
        <f t="shared" si="57"/>
        <v>0</v>
      </c>
      <c r="L45" s="12">
        <f t="shared" si="57"/>
        <v>0.224219487153926</v>
      </c>
      <c r="M45" s="2">
        <f>E45*模块规划!$F$10+G45*模块规划!$F$11+H45*模块规划!$F$13</f>
        <v>2722.2961197486</v>
      </c>
      <c r="N45" s="2">
        <f>I45*模块规划!$F$15+J45*模块规划!$F$17+K45*模块规划!$F$16+L45*模块规划!$F$18</f>
        <v>1589.95277884483</v>
      </c>
      <c r="O45" s="2">
        <f t="shared" si="2"/>
        <v>1.30495385569101</v>
      </c>
      <c r="P45" s="13">
        <f t="shared" si="3"/>
        <v>5142.42359664344</v>
      </c>
      <c r="Q45" s="7">
        <f>P45/(P45+_曲线基线!$L$2)</f>
        <v>0.17645833674711</v>
      </c>
      <c r="R45" s="2">
        <f>E45*模块规划!$E$10+G45*模块规划!$E$11+H45*模块规划!$E$13</f>
        <v>4083.4441796229</v>
      </c>
      <c r="S45" s="2">
        <f>I45*模块规划!$E$15+J45*模块规划!$E$17+K45*模块规划!$E$16+L45*模块规划!$E$18</f>
        <v>2384.92916826724</v>
      </c>
      <c r="T45" s="2">
        <f t="shared" si="4"/>
        <v>1.30495385569101</v>
      </c>
      <c r="U45" s="13">
        <f t="shared" si="5"/>
        <v>7713.63539496516</v>
      </c>
      <c r="V45" s="2">
        <f t="shared" si="6"/>
        <v>0.770134097580757</v>
      </c>
      <c r="W45" s="2">
        <f t="shared" si="7"/>
        <v>0.0935121301076764</v>
      </c>
      <c r="X45" s="2">
        <f t="shared" si="8"/>
        <v>0.339289589449028</v>
      </c>
      <c r="Y45" s="2">
        <f t="shared" si="9"/>
        <v>1</v>
      </c>
      <c r="Z45" s="2">
        <f t="shared" si="10"/>
        <v>1</v>
      </c>
      <c r="AA45" s="2">
        <f t="shared" si="11"/>
        <v>1</v>
      </c>
      <c r="AB45" s="2">
        <f t="shared" si="12"/>
        <v>1</v>
      </c>
      <c r="AC45" s="2">
        <f t="shared" si="13"/>
        <v>1</v>
      </c>
      <c r="AD45" s="1">
        <f t="shared" si="14"/>
        <v>1.22163656197686</v>
      </c>
      <c r="AE45" s="2">
        <f t="shared" si="15"/>
        <v>1</v>
      </c>
      <c r="AF45" s="2">
        <f t="shared" si="16"/>
        <v>1.02691495568447</v>
      </c>
      <c r="AG45" s="2">
        <f t="shared" si="17"/>
        <v>1.04769928257414</v>
      </c>
      <c r="AH45" s="2">
        <f>MIN(1,_曲线基线!$L$3+AH$9*($H$10*H45+$I$10*I45+$J$10*J45+$K$10*K45+$L$10*L45))</f>
        <v>0.111231524182169</v>
      </c>
      <c r="AI45" s="2">
        <f>_曲线基线!$L$4+AI$9*($H$10*H45+$I$10*I45+$J$10*J45+$K$10*K45+$L$10*L45)</f>
        <v>2.17057353165033</v>
      </c>
      <c r="AJ45" s="2">
        <f t="shared" si="18"/>
        <v>1.13995776955924</v>
      </c>
      <c r="AK45" s="1">
        <f t="shared" si="19"/>
        <v>1.28838560398406</v>
      </c>
      <c r="AL45" s="1">
        <f t="shared" si="20"/>
        <v>60703.9563472716</v>
      </c>
      <c r="AM45" s="14">
        <f t="shared" si="21"/>
        <v>35.5218024436573</v>
      </c>
      <c r="AN45" s="14">
        <f>(((E45*模块规划!$D$10+G45*模块规划!$D$11+H45*模块规划!$D$13)*(1+模块规划!$G$14*H45)+(I45*模块规划!$D$15+J45*模块规划!$D$17+K45*模块规划!$D$16+L45*模块规划!$D$18))*(1+模块规划!$J$17*J45))*F45/(1-Q45)</f>
        <v>156636.602390652</v>
      </c>
      <c r="AO45" s="1">
        <f t="shared" si="22"/>
        <v>2156313.94491618</v>
      </c>
      <c r="AP45" s="1">
        <f>IF(AO45="","",_xlfn.XLOOKUP(AO45,_曲线基线!$E$3:$E$502,_曲线基线!$A$3:$A$502,500,1))</f>
        <v>74</v>
      </c>
      <c r="AQ45" s="15">
        <f t="shared" si="25"/>
        <v>5</v>
      </c>
    </row>
    <row r="46" customHeight="1" spans="1:43">
      <c r="A46" s="1">
        <f>IFERROR(_xlfn.XLOOKUP(B46,_曲线基线!$G$3:$G$107,_曲线基线!$J$3:$J$107,""),"")</f>
        <v>20</v>
      </c>
      <c r="B46" s="1">
        <v>35</v>
      </c>
      <c r="C46" s="1">
        <v>3</v>
      </c>
      <c r="D46" s="1">
        <v>11</v>
      </c>
      <c r="E46" s="1">
        <f t="shared" si="0"/>
        <v>1</v>
      </c>
      <c r="F46" s="11">
        <f t="shared" si="23"/>
        <v>5</v>
      </c>
      <c r="G46" s="12">
        <f t="shared" ref="G46:L46" si="58">IF($B46&lt;G$8,0,G$3+(G$4-G$3)*(POWER(G$5,$B46-G$8)-1)/(POWER(G$5,$C$5-G$8)-1))</f>
        <v>0.367134706694573</v>
      </c>
      <c r="H46" s="12">
        <f t="shared" si="58"/>
        <v>0.243171261003318</v>
      </c>
      <c r="I46" s="12">
        <f t="shared" si="58"/>
        <v>0</v>
      </c>
      <c r="J46" s="12">
        <f t="shared" si="58"/>
        <v>0.0580267681130931</v>
      </c>
      <c r="K46" s="12">
        <f t="shared" si="58"/>
        <v>0</v>
      </c>
      <c r="L46" s="12">
        <f t="shared" si="58"/>
        <v>0.233803004242233</v>
      </c>
      <c r="M46" s="2">
        <f>E46*模块规划!$F$10+G46*模块规划!$F$11+H46*模块规划!$F$13</f>
        <v>2762.24659213395</v>
      </c>
      <c r="N46" s="2">
        <f>I46*模块规划!$F$15+J46*模块规划!$F$17+K46*模块规划!$F$16+L46*模块规划!$F$18</f>
        <v>1749.2827023421</v>
      </c>
      <c r="O46" s="2">
        <f t="shared" si="2"/>
        <v>1.33525665393757</v>
      </c>
      <c r="P46" s="13">
        <f t="shared" si="3"/>
        <v>5437.59084430533</v>
      </c>
      <c r="Q46" s="7">
        <f>P46/(P46+_曲线基线!$L$2)</f>
        <v>0.184715891767931</v>
      </c>
      <c r="R46" s="2">
        <f>E46*模块规划!$E$10+G46*模块规划!$E$11+H46*模块规划!$E$13</f>
        <v>4143.36988820093</v>
      </c>
      <c r="S46" s="2">
        <f>I46*模块规划!$E$15+J46*模块规划!$E$17+K46*模块规划!$E$16+L46*模块规划!$E$18</f>
        <v>2623.92405351314</v>
      </c>
      <c r="T46" s="2">
        <f t="shared" si="4"/>
        <v>1.33525665393757</v>
      </c>
      <c r="U46" s="13">
        <f t="shared" si="5"/>
        <v>8156.386266458</v>
      </c>
      <c r="V46" s="2">
        <f t="shared" si="6"/>
        <v>0.772951378300995</v>
      </c>
      <c r="W46" s="2">
        <f t="shared" si="7"/>
        <v>0.0972685044013274</v>
      </c>
      <c r="X46" s="2">
        <f t="shared" si="8"/>
        <v>0.341872096775913</v>
      </c>
      <c r="Y46" s="2">
        <f t="shared" si="9"/>
        <v>1</v>
      </c>
      <c r="Z46" s="2">
        <f t="shared" si="10"/>
        <v>1</v>
      </c>
      <c r="AA46" s="2">
        <f t="shared" si="11"/>
        <v>1</v>
      </c>
      <c r="AB46" s="2">
        <f t="shared" si="12"/>
        <v>1</v>
      </c>
      <c r="AC46" s="2">
        <f t="shared" si="13"/>
        <v>1</v>
      </c>
      <c r="AD46" s="1">
        <f t="shared" si="14"/>
        <v>1.23289756212196</v>
      </c>
      <c r="AE46" s="2">
        <f t="shared" si="15"/>
        <v>1</v>
      </c>
      <c r="AF46" s="2">
        <f t="shared" si="16"/>
        <v>1.02958945366736</v>
      </c>
      <c r="AG46" s="2">
        <f t="shared" si="17"/>
        <v>1.05243908733272</v>
      </c>
      <c r="AH46" s="2">
        <f>MIN(1,_曲线基线!$L$3+AH$9*($H$10*H46+$I$10*I46+$J$10*J46+$K$10*K46+$L$10*L46))</f>
        <v>0.117316007093254</v>
      </c>
      <c r="AI46" s="2">
        <f>_曲线基线!$L$4+AI$9*($H$10*H46+$I$10*I46+$J$10*J46+$K$10*K46+$L$10*L46)</f>
        <v>2.18752316261692</v>
      </c>
      <c r="AJ46" s="2">
        <f t="shared" si="18"/>
        <v>1.15386515907029</v>
      </c>
      <c r="AK46" s="1">
        <f t="shared" si="19"/>
        <v>1.31461643267941</v>
      </c>
      <c r="AL46" s="1">
        <f t="shared" si="20"/>
        <v>66098.8402461489</v>
      </c>
      <c r="AM46" s="14">
        <f t="shared" si="21"/>
        <v>35.5404451080158</v>
      </c>
      <c r="AN46" s="14">
        <f>(((E46*模块规划!$D$10+G46*模块规划!$D$11+H46*模块规划!$D$13)*(1+模块规划!$G$14*H46)+(I46*模块规划!$D$15+J46*模块规划!$D$17+K46*模块规划!$D$16+L46*模块规划!$D$18))*(1+模块规划!$J$17*J46))*F46/(1-Q46)</f>
        <v>167803.47880109</v>
      </c>
      <c r="AO46" s="1">
        <f t="shared" si="22"/>
        <v>2349182.20347176</v>
      </c>
      <c r="AP46" s="1">
        <f>IF(AO46="","",_xlfn.XLOOKUP(AO46,_曲线基线!$E$3:$E$502,_曲线基线!$A$3:$A$502,500,1))</f>
        <v>77</v>
      </c>
      <c r="AQ46" s="15">
        <f t="shared" si="25"/>
        <v>5</v>
      </c>
    </row>
    <row r="47" customHeight="1" spans="1:43">
      <c r="A47" s="1">
        <f>IFERROR(_xlfn.XLOOKUP(B47,_曲线基线!$G$3:$G$107,_曲线基线!$J$3:$J$107,""),"")</f>
        <v>21</v>
      </c>
      <c r="B47" s="1">
        <v>36</v>
      </c>
      <c r="C47" s="1">
        <v>3</v>
      </c>
      <c r="D47" s="1">
        <v>12</v>
      </c>
      <c r="E47" s="1">
        <f t="shared" si="0"/>
        <v>1</v>
      </c>
      <c r="F47" s="11">
        <f t="shared" si="23"/>
        <v>5</v>
      </c>
      <c r="G47" s="12">
        <f t="shared" ref="G47:L47" si="59">IF($B47&lt;G$8,0,G$3+(G$4-G$3)*(POWER(G$5,$B47-G$8)-1)/(POWER(G$5,$C$5-G$8)-1))</f>
        <v>0.375332876548651</v>
      </c>
      <c r="H47" s="12">
        <f t="shared" si="59"/>
        <v>0.252374378022763</v>
      </c>
      <c r="I47" s="12">
        <f t="shared" si="59"/>
        <v>0</v>
      </c>
      <c r="J47" s="12">
        <f t="shared" si="59"/>
        <v>0.0689451772425551</v>
      </c>
      <c r="K47" s="12">
        <f t="shared" si="59"/>
        <v>0</v>
      </c>
      <c r="L47" s="12">
        <f t="shared" si="59"/>
        <v>0.243194850988774</v>
      </c>
      <c r="M47" s="2">
        <f>E47*模块规划!$F$10+G47*模块规划!$F$11+H47*模块规划!$F$13</f>
        <v>2801.59780743352</v>
      </c>
      <c r="N47" s="2">
        <f>I47*模块规划!$F$15+J47*模块规划!$F$17+K47*模块规划!$F$16+L47*模块规划!$F$18</f>
        <v>1905.42602736942</v>
      </c>
      <c r="O47" s="2">
        <f t="shared" si="2"/>
        <v>1.36495339621919</v>
      </c>
      <c r="P47" s="13">
        <f t="shared" si="3"/>
        <v>5729.47646946604</v>
      </c>
      <c r="Q47" s="7">
        <f>P47/(P47+_曲线基线!$L$2)</f>
        <v>0.192720395710653</v>
      </c>
      <c r="R47" s="2">
        <f>E47*模块规划!$E$10+G47*模块规划!$E$11+H47*模块规划!$E$13</f>
        <v>4202.39671115028</v>
      </c>
      <c r="S47" s="2">
        <f>I47*模块规划!$E$15+J47*模块规划!$E$17+K47*模块规划!$E$16+L47*模块规划!$E$18</f>
        <v>2858.13904105413</v>
      </c>
      <c r="T47" s="2">
        <f t="shared" si="4"/>
        <v>1.36495339621919</v>
      </c>
      <c r="U47" s="13">
        <f t="shared" si="5"/>
        <v>8594.21470419906</v>
      </c>
      <c r="V47" s="2">
        <f t="shared" si="6"/>
        <v>0.775712313406829</v>
      </c>
      <c r="W47" s="2">
        <f t="shared" si="7"/>
        <v>0.100949751209105</v>
      </c>
      <c r="X47" s="2">
        <f t="shared" si="8"/>
        <v>0.34440295395626</v>
      </c>
      <c r="Y47" s="2">
        <f t="shared" si="9"/>
        <v>1</v>
      </c>
      <c r="Z47" s="2">
        <f t="shared" si="10"/>
        <v>1</v>
      </c>
      <c r="AA47" s="2">
        <f t="shared" si="11"/>
        <v>1</v>
      </c>
      <c r="AB47" s="2">
        <f t="shared" si="12"/>
        <v>1</v>
      </c>
      <c r="AC47" s="2">
        <f t="shared" si="13"/>
        <v>1</v>
      </c>
      <c r="AD47" s="1">
        <f t="shared" si="14"/>
        <v>1.24397658795118</v>
      </c>
      <c r="AE47" s="2">
        <f t="shared" si="15"/>
        <v>1</v>
      </c>
      <c r="AF47" s="2">
        <f t="shared" si="16"/>
        <v>1.0322104616906</v>
      </c>
      <c r="AG47" s="2">
        <f t="shared" si="17"/>
        <v>1.05708409599612</v>
      </c>
      <c r="AH47" s="2">
        <f>MIN(1,_曲线基线!$L$3+AH$9*($H$10*H47+$I$10*I47+$J$10*J47+$K$10*K47+$L$10*L47))</f>
        <v>0.123278800346117</v>
      </c>
      <c r="AI47" s="2">
        <f>_曲线基线!$L$4+AI$9*($H$10*H47+$I$10*I47+$J$10*J47+$K$10*K47+$L$10*L47)</f>
        <v>2.20413380096418</v>
      </c>
      <c r="AJ47" s="2">
        <f t="shared" si="18"/>
        <v>1.16749440079112</v>
      </c>
      <c r="AK47" s="1">
        <f t="shared" si="19"/>
        <v>1.34080213860883</v>
      </c>
      <c r="AL47" s="1">
        <f t="shared" si="20"/>
        <v>71672.5909486816</v>
      </c>
      <c r="AM47" s="14">
        <f t="shared" si="21"/>
        <v>35.5592741990178</v>
      </c>
      <c r="AN47" s="14">
        <f>(((E47*模块规划!$D$10+G47*模块规划!$D$11+H47*模块规划!$D$13)*(1+模块规划!$G$14*H47)+(I47*模块规划!$D$15+J47*模块规划!$D$17+K47*模块规划!$D$16+L47*模块规划!$D$18))*(1+模块规划!$J$17*J47))*F47/(1-Q47)</f>
        <v>179164.990773805</v>
      </c>
      <c r="AO47" s="1">
        <f t="shared" si="22"/>
        <v>2548625.31409821</v>
      </c>
      <c r="AP47" s="1">
        <f>IF(AO47="","",_xlfn.XLOOKUP(AO47,_曲线基线!$E$3:$E$502,_曲线基线!$A$3:$A$502,500,1))</f>
        <v>80</v>
      </c>
      <c r="AQ47" s="15">
        <f t="shared" si="25"/>
        <v>5</v>
      </c>
    </row>
    <row r="48" customHeight="1" spans="1:43">
      <c r="A48" s="1">
        <f>IFERROR(_xlfn.XLOOKUP(B48,_曲线基线!$G$3:$G$107,_曲线基线!$J$3:$J$107,""),"")</f>
        <v>21</v>
      </c>
      <c r="B48" s="1">
        <v>37</v>
      </c>
      <c r="C48" s="1">
        <v>3</v>
      </c>
      <c r="D48" s="1">
        <v>13</v>
      </c>
      <c r="E48" s="1">
        <f t="shared" si="0"/>
        <v>1</v>
      </c>
      <c r="F48" s="11">
        <f t="shared" si="23"/>
        <v>5</v>
      </c>
      <c r="G48" s="12">
        <f t="shared" ref="G48:L48" si="60">IF($B48&lt;G$8,0,G$3+(G$4-G$3)*(POWER(G$5,$B48-G$8)-1)/(POWER(G$5,$C$5-G$8)-1))</f>
        <v>0.383408073854917</v>
      </c>
      <c r="H48" s="12">
        <f t="shared" si="60"/>
        <v>0.26139343270182</v>
      </c>
      <c r="I48" s="12">
        <f t="shared" si="60"/>
        <v>0</v>
      </c>
      <c r="J48" s="12">
        <f t="shared" si="60"/>
        <v>0.0796452181894279</v>
      </c>
      <c r="K48" s="12">
        <f t="shared" si="60"/>
        <v>0</v>
      </c>
      <c r="L48" s="12">
        <f t="shared" si="60"/>
        <v>0.252398860800384</v>
      </c>
      <c r="M48" s="2">
        <f>E48*模块规划!$F$10+G48*模块规划!$F$11+H48*模块规划!$F$13</f>
        <v>2840.3587545036</v>
      </c>
      <c r="N48" s="2">
        <f>I48*模块规划!$F$15+J48*模块规划!$F$17+K48*模块规划!$F$16+L48*模块规划!$F$18</f>
        <v>2058.4464858962</v>
      </c>
      <c r="O48" s="2">
        <f t="shared" si="2"/>
        <v>1.39405620365519</v>
      </c>
      <c r="P48" s="13">
        <f t="shared" si="3"/>
        <v>6018.06622821827</v>
      </c>
      <c r="Q48" s="7">
        <f>P48/(P48+_曲线基线!$L$2)</f>
        <v>0.200481476137228</v>
      </c>
      <c r="R48" s="2">
        <f>E48*模块规划!$E$10+G48*模块规划!$E$11+H48*模块规划!$E$13</f>
        <v>4260.5381317554</v>
      </c>
      <c r="S48" s="2">
        <f>I48*模块规划!$E$15+J48*模块规划!$E$17+K48*模块规划!$E$16+L48*模块规划!$E$18</f>
        <v>3087.6697288443</v>
      </c>
      <c r="T48" s="2">
        <f t="shared" si="4"/>
        <v>1.39405620365519</v>
      </c>
      <c r="U48" s="13">
        <f t="shared" si="5"/>
        <v>9027.09934232741</v>
      </c>
      <c r="V48" s="2">
        <f t="shared" si="6"/>
        <v>0.778418029810546</v>
      </c>
      <c r="W48" s="2">
        <f t="shared" si="7"/>
        <v>0.104557373080728</v>
      </c>
      <c r="X48" s="2">
        <f t="shared" si="8"/>
        <v>0.346883193993</v>
      </c>
      <c r="Y48" s="2">
        <f t="shared" si="9"/>
        <v>1</v>
      </c>
      <c r="Z48" s="2">
        <f t="shared" si="10"/>
        <v>1</v>
      </c>
      <c r="AA48" s="2">
        <f t="shared" si="11"/>
        <v>1</v>
      </c>
      <c r="AB48" s="2">
        <f t="shared" si="12"/>
        <v>1</v>
      </c>
      <c r="AC48" s="2">
        <f t="shared" si="13"/>
        <v>1</v>
      </c>
      <c r="AD48" s="1">
        <f t="shared" si="14"/>
        <v>1.25487556642162</v>
      </c>
      <c r="AE48" s="2">
        <f t="shared" si="15"/>
        <v>1</v>
      </c>
      <c r="AF48" s="2">
        <f t="shared" si="16"/>
        <v>1.03477904955337</v>
      </c>
      <c r="AG48" s="2">
        <f t="shared" si="17"/>
        <v>1.06163620448626</v>
      </c>
      <c r="AH48" s="2">
        <f>MIN(1,_曲线基线!$L$3+AH$9*($H$10*H48+$I$10*I48+$J$10*J48+$K$10*K48+$L$10*L48))</f>
        <v>0.129122337733923</v>
      </c>
      <c r="AI48" s="2">
        <f>_曲线基线!$L$4+AI$9*($H$10*H48+$I$10*I48+$J$10*J48+$K$10*K48+$L$10*L48)</f>
        <v>2.2204122265445</v>
      </c>
      <c r="AJ48" s="2">
        <f t="shared" si="18"/>
        <v>1.18085105767754</v>
      </c>
      <c r="AK48" s="1">
        <f t="shared" si="19"/>
        <v>1.3669324954915</v>
      </c>
      <c r="AL48" s="1">
        <f t="shared" si="20"/>
        <v>77422.2801293551</v>
      </c>
      <c r="AM48" s="14">
        <f t="shared" si="21"/>
        <v>35.5782915809298</v>
      </c>
      <c r="AN48" s="14">
        <f>(((E48*模块规划!$D$10+G48*模块规划!$D$11+H48*模块规划!$D$13)*(1+模块规划!$G$14*H48)+(I48*模块规划!$D$15+J48*模块规划!$D$17+K48*模块规划!$D$16+L48*模块规划!$D$18))*(1+模块规划!$J$17*J48))*F48/(1-Q48)</f>
        <v>190710.848526007</v>
      </c>
      <c r="AO48" s="1">
        <f t="shared" si="22"/>
        <v>2754552.45730262</v>
      </c>
      <c r="AP48" s="1">
        <f>IF(AO48="","",_xlfn.XLOOKUP(AO48,_曲线基线!$E$3:$E$502,_曲线基线!$A$3:$A$502,500,1))</f>
        <v>83</v>
      </c>
      <c r="AQ48" s="15">
        <f t="shared" si="25"/>
        <v>5</v>
      </c>
    </row>
    <row r="49" customHeight="1" spans="1:43">
      <c r="A49" s="1">
        <f>IFERROR(_xlfn.XLOOKUP(B49,_曲线基线!$G$3:$G$107,_曲线基线!$J$3:$J$107,""),"")</f>
        <v>21</v>
      </c>
      <c r="B49" s="1">
        <v>38</v>
      </c>
      <c r="C49" s="1">
        <v>3</v>
      </c>
      <c r="D49" s="1">
        <v>14</v>
      </c>
      <c r="E49" s="1">
        <f t="shared" si="0"/>
        <v>1</v>
      </c>
      <c r="F49" s="11">
        <f t="shared" si="23"/>
        <v>5</v>
      </c>
      <c r="G49" s="12">
        <f t="shared" ref="G49:L49" si="61">IF($B49&lt;G$8,0,G$3+(G$4-G$3)*(POWER(G$5,$B49-G$8)-1)/(POWER(G$5,$C$5-G$8)-1))</f>
        <v>0.391362143201589</v>
      </c>
      <c r="H49" s="12">
        <f t="shared" si="61"/>
        <v>0.270232106287294</v>
      </c>
      <c r="I49" s="12">
        <f t="shared" si="61"/>
        <v>0</v>
      </c>
      <c r="J49" s="12">
        <f t="shared" si="61"/>
        <v>0.0901312583173633</v>
      </c>
      <c r="K49" s="12">
        <f t="shared" si="61"/>
        <v>0</v>
      </c>
      <c r="L49" s="12">
        <f t="shared" si="61"/>
        <v>0.261418790415762</v>
      </c>
      <c r="M49" s="2">
        <f>E49*模块规划!$F$10+G49*模块规划!$F$11+H49*模块规划!$F$13</f>
        <v>2878.53828736763</v>
      </c>
      <c r="N49" s="2">
        <f>I49*模块规划!$F$15+J49*模块规划!$F$17+K49*模块规划!$F$16+L49*模块规划!$F$18</f>
        <v>2208.40653525244</v>
      </c>
      <c r="O49" s="2">
        <f t="shared" si="2"/>
        <v>1.42257695494246</v>
      </c>
      <c r="P49" s="13">
        <f t="shared" si="3"/>
        <v>6303.34876678117</v>
      </c>
      <c r="Q49" s="7">
        <f>P49/(P49+_曲线基线!$L$2)</f>
        <v>0.208008323281121</v>
      </c>
      <c r="R49" s="2">
        <f>E49*模块规划!$E$10+G49*模块规划!$E$11+H49*模块规划!$E$13</f>
        <v>4317.80743105144</v>
      </c>
      <c r="S49" s="2">
        <f>I49*模块规划!$E$15+J49*模块规划!$E$17+K49*模块规划!$E$16+L49*模块规划!$E$18</f>
        <v>3312.60980287866</v>
      </c>
      <c r="T49" s="2">
        <f t="shared" si="4"/>
        <v>1.42257695494246</v>
      </c>
      <c r="U49" s="13">
        <f t="shared" si="5"/>
        <v>9455.02315017175</v>
      </c>
      <c r="V49" s="2">
        <f t="shared" si="6"/>
        <v>0.781069631886188</v>
      </c>
      <c r="W49" s="2">
        <f t="shared" si="7"/>
        <v>0.108092842514918</v>
      </c>
      <c r="X49" s="2">
        <f t="shared" si="8"/>
        <v>0.349313829229006</v>
      </c>
      <c r="Y49" s="2">
        <f t="shared" si="9"/>
        <v>1</v>
      </c>
      <c r="Z49" s="2">
        <f t="shared" si="10"/>
        <v>1</v>
      </c>
      <c r="AA49" s="2">
        <f t="shared" si="11"/>
        <v>1</v>
      </c>
      <c r="AB49" s="2">
        <f t="shared" si="12"/>
        <v>1</v>
      </c>
      <c r="AC49" s="2">
        <f t="shared" si="13"/>
        <v>1</v>
      </c>
      <c r="AD49" s="1">
        <f t="shared" si="14"/>
        <v>1.26559645376741</v>
      </c>
      <c r="AE49" s="2">
        <f t="shared" si="15"/>
        <v>1</v>
      </c>
      <c r="AF49" s="2">
        <f t="shared" si="16"/>
        <v>1.03729626565889</v>
      </c>
      <c r="AG49" s="2">
        <f t="shared" si="17"/>
        <v>1.06609727080659</v>
      </c>
      <c r="AH49" s="2">
        <f>MIN(1,_曲线基线!$L$3+AH$9*($H$10*H49+$I$10*I49+$J$10*J49+$K$10*K49+$L$10*L49))</f>
        <v>0.134849004373973</v>
      </c>
      <c r="AI49" s="2">
        <f>_曲线基线!$L$4+AI$9*($H$10*H49+$I$10*I49+$J$10*J49+$K$10*K49+$L$10*L49)</f>
        <v>2.23636508361321</v>
      </c>
      <c r="AJ49" s="2">
        <f t="shared" si="18"/>
        <v>1.19394058142622</v>
      </c>
      <c r="AK49" s="1">
        <f t="shared" si="19"/>
        <v>1.39299746008525</v>
      </c>
      <c r="AL49" s="1">
        <f t="shared" si="20"/>
        <v>83344.7358859076</v>
      </c>
      <c r="AM49" s="14">
        <f t="shared" si="21"/>
        <v>35.597499136661</v>
      </c>
      <c r="AN49" s="14">
        <f>(((E49*模块规划!$D$10+G49*模块规划!$D$11+H49*模块规划!$D$13)*(1+模块规划!$G$14*H49)+(I49*模块规划!$D$15+J49*模块规划!$D$17+K49*模块规划!$D$16+L49*模块规划!$D$18))*(1+模块规划!$J$17*J49))*F49/(1-Q49)</f>
        <v>202430.845734616</v>
      </c>
      <c r="AO49" s="1">
        <f t="shared" si="22"/>
        <v>2966864.16374383</v>
      </c>
      <c r="AP49" s="1">
        <f>IF(AO49="","",_xlfn.XLOOKUP(AO49,_曲线基线!$E$3:$E$502,_曲线基线!$A$3:$A$502,500,1))</f>
        <v>86</v>
      </c>
      <c r="AQ49" s="15">
        <f t="shared" si="25"/>
        <v>5</v>
      </c>
    </row>
    <row r="50" customHeight="1" spans="1:43">
      <c r="A50" s="1">
        <f>IFERROR(_xlfn.XLOOKUP(B50,_曲线基线!$G$3:$G$107,_曲线基线!$J$3:$J$107,""),"")</f>
        <v>22</v>
      </c>
      <c r="B50" s="1">
        <v>39</v>
      </c>
      <c r="C50" s="1">
        <v>3</v>
      </c>
      <c r="D50" s="1">
        <v>15</v>
      </c>
      <c r="E50" s="1">
        <f t="shared" si="0"/>
        <v>1</v>
      </c>
      <c r="F50" s="11">
        <f t="shared" si="23"/>
        <v>5</v>
      </c>
      <c r="G50" s="12">
        <f t="shared" ref="G50:L50" si="62">IF($B50&lt;G$8,0,G$3+(G$4-G$3)*(POWER(G$5,$B50-G$8)-1)/(POWER(G$5,$C$5-G$8)-1))</f>
        <v>0.399196901508061</v>
      </c>
      <c r="H50" s="12">
        <f t="shared" si="62"/>
        <v>0.27889400640106</v>
      </c>
      <c r="I50" s="12">
        <f t="shared" si="62"/>
        <v>0</v>
      </c>
      <c r="J50" s="12">
        <f t="shared" si="62"/>
        <v>0.10040757764274</v>
      </c>
      <c r="K50" s="12">
        <f t="shared" si="62"/>
        <v>0</v>
      </c>
      <c r="L50" s="12">
        <f t="shared" si="62"/>
        <v>0.270258321438833</v>
      </c>
      <c r="M50" s="2">
        <f>E50*模块规划!$F$10+G50*模块规划!$F$11+H50*模块规划!$F$13</f>
        <v>2916.14512723869</v>
      </c>
      <c r="N50" s="2">
        <f>I50*模块规划!$F$15+J50*模块规划!$F$17+K50*模块规划!$F$16+L50*模块规划!$F$18</f>
        <v>2355.36738362156</v>
      </c>
      <c r="O50" s="2">
        <f t="shared" si="2"/>
        <v>1.45052729120399</v>
      </c>
      <c r="P50" s="13">
        <f t="shared" si="3"/>
        <v>6585.31547579282</v>
      </c>
      <c r="Q50" s="7">
        <f>P50/(P50+_曲线基线!$L$2)</f>
        <v>0.21530971230311</v>
      </c>
      <c r="R50" s="2">
        <f>E50*模块规划!$E$10+G50*模块规划!$E$11+H50*模块规划!$E$13</f>
        <v>4374.21769085804</v>
      </c>
      <c r="S50" s="2">
        <f>I50*模块规划!$E$15+J50*模块规划!$E$17+K50*模块规划!$E$16+L50*模块规划!$E$18</f>
        <v>3533.05107543235</v>
      </c>
      <c r="T50" s="2">
        <f t="shared" si="4"/>
        <v>1.45052729120399</v>
      </c>
      <c r="U50" s="13">
        <f t="shared" si="5"/>
        <v>9877.97321368923</v>
      </c>
      <c r="V50" s="2">
        <f t="shared" si="6"/>
        <v>0.783668201920318</v>
      </c>
      <c r="W50" s="2">
        <f t="shared" si="7"/>
        <v>0.111557602560424</v>
      </c>
      <c r="X50" s="2">
        <f t="shared" si="8"/>
        <v>0.351695851760292</v>
      </c>
      <c r="Y50" s="2">
        <f t="shared" si="9"/>
        <v>1</v>
      </c>
      <c r="Z50" s="2">
        <f t="shared" si="10"/>
        <v>1</v>
      </c>
      <c r="AA50" s="2">
        <f t="shared" si="11"/>
        <v>1</v>
      </c>
      <c r="AB50" s="2">
        <f t="shared" si="12"/>
        <v>1</v>
      </c>
      <c r="AC50" s="2">
        <f t="shared" si="13"/>
        <v>1</v>
      </c>
      <c r="AD50" s="1">
        <f t="shared" si="14"/>
        <v>1.27614123222863</v>
      </c>
      <c r="AE50" s="2">
        <f t="shared" si="15"/>
        <v>1</v>
      </c>
      <c r="AF50" s="2">
        <f t="shared" si="16"/>
        <v>1.0397631374423</v>
      </c>
      <c r="AG50" s="2">
        <f t="shared" si="17"/>
        <v>1.07046911580051</v>
      </c>
      <c r="AH50" s="2">
        <f>MIN(1,_曲线基线!$L$3+AH$9*($H$10*H50+$I$10*I50+$J$10*J50+$K$10*K50+$L$10*L50))</f>
        <v>0.140461137681221</v>
      </c>
      <c r="AI50" s="2">
        <f>_曲线基线!$L$4+AI$9*($H$10*H50+$I$10*I50+$J$10*J50+$K$10*K50+$L$10*L50)</f>
        <v>2.25199888354054</v>
      </c>
      <c r="AJ50" s="2">
        <f t="shared" si="18"/>
        <v>1.20676831469993</v>
      </c>
      <c r="AK50" s="1">
        <f t="shared" si="19"/>
        <v>1.41898719655684</v>
      </c>
      <c r="AL50" s="1">
        <f t="shared" si="20"/>
        <v>89436.5558271039</v>
      </c>
      <c r="AM50" s="14">
        <f t="shared" si="21"/>
        <v>35.6168987679495</v>
      </c>
      <c r="AN50" s="14">
        <f>(((E50*模块规划!$D$10+G50*模块规划!$D$11+H50*模块规划!$D$13)*(1+模块规划!$G$14*H50)+(I50*模块规划!$D$15+J50*模块规划!$D$17+K50*模块规划!$D$16+L50*模块规划!$D$18))*(1+模块规划!$J$17*J50))*F50/(1-Q50)</f>
        <v>214314.874889878</v>
      </c>
      <c r="AO50" s="1">
        <f t="shared" si="22"/>
        <v>3185452.75504803</v>
      </c>
      <c r="AP50" s="1">
        <f>IF(AO50="","",_xlfn.XLOOKUP(AO50,_曲线基线!$E$3:$E$502,_曲线基线!$A$3:$A$502,500,1))</f>
        <v>88</v>
      </c>
      <c r="AQ50" s="15">
        <f t="shared" si="25"/>
        <v>5</v>
      </c>
    </row>
    <row r="51" customHeight="1" spans="1:43">
      <c r="A51" s="1">
        <f>IFERROR(_xlfn.XLOOKUP(B51,_曲线基线!$G$3:$G$107,_曲线基线!$J$3:$J$107,""),"")</f>
        <v>22</v>
      </c>
      <c r="B51" s="1">
        <v>40</v>
      </c>
      <c r="C51" s="1">
        <f t="shared" ref="C51:C114" si="63">C36+1</f>
        <v>4</v>
      </c>
      <c r="D51" s="1">
        <f t="shared" ref="D51:D114" si="64">D36</f>
        <v>1</v>
      </c>
      <c r="E51" s="1">
        <f t="shared" si="0"/>
        <v>1</v>
      </c>
      <c r="F51" s="11">
        <f t="shared" si="23"/>
        <v>5</v>
      </c>
      <c r="G51" s="12">
        <f t="shared" ref="G51:L51" si="65">IF($B51&lt;G$8,0,G$3+(G$4-G$3)*(POWER(G$5,$B51-G$8)-1)/(POWER(G$5,$C$5-G$8)-1))</f>
        <v>0.406914138439936</v>
      </c>
      <c r="H51" s="12">
        <f t="shared" si="65"/>
        <v>0.28738266851255</v>
      </c>
      <c r="I51" s="12">
        <f t="shared" si="65"/>
        <v>0</v>
      </c>
      <c r="J51" s="12">
        <f t="shared" si="65"/>
        <v>0.110478370581609</v>
      </c>
      <c r="K51" s="12">
        <f t="shared" si="65"/>
        <v>0</v>
      </c>
      <c r="L51" s="12">
        <f t="shared" si="65"/>
        <v>0.278921061841442</v>
      </c>
      <c r="M51" s="2">
        <f>E51*模块规划!$F$10+G51*模块规划!$F$11+H51*模块规划!$F$13</f>
        <v>2953.18786451169</v>
      </c>
      <c r="N51" s="2">
        <f>I51*模块规划!$F$15+J51*模块规划!$F$17+K51*模块规划!$F$16+L51*模块规划!$F$18</f>
        <v>2499.3890150233</v>
      </c>
      <c r="O51" s="2">
        <f t="shared" si="2"/>
        <v>1.47791862074028</v>
      </c>
      <c r="P51" s="13">
        <f t="shared" si="3"/>
        <v>6863.96035052935</v>
      </c>
      <c r="Q51" s="7">
        <f>P51/(P51+_曲线基线!$L$2)</f>
        <v>0.2223940243758</v>
      </c>
      <c r="R51" s="2">
        <f>E51*模块规划!$E$10+G51*模块规划!$E$11+H51*模块规划!$E$13</f>
        <v>4429.78179676754</v>
      </c>
      <c r="S51" s="2">
        <f>I51*模块规划!$E$15+J51*模块规划!$E$17+K51*模块规划!$E$16+L51*模块规划!$E$18</f>
        <v>3749.08352253495</v>
      </c>
      <c r="T51" s="2">
        <f t="shared" si="4"/>
        <v>1.47791862074028</v>
      </c>
      <c r="U51" s="13">
        <f t="shared" si="5"/>
        <v>10295.940525794</v>
      </c>
      <c r="V51" s="2">
        <f t="shared" si="6"/>
        <v>0.786214800553765</v>
      </c>
      <c r="W51" s="2">
        <f t="shared" si="7"/>
        <v>0.11495306740502</v>
      </c>
      <c r="X51" s="2">
        <f t="shared" si="8"/>
        <v>0.354030233840951</v>
      </c>
      <c r="Y51" s="2">
        <f t="shared" si="9"/>
        <v>1</v>
      </c>
      <c r="Z51" s="2">
        <f t="shared" si="10"/>
        <v>1</v>
      </c>
      <c r="AA51" s="2">
        <f t="shared" si="11"/>
        <v>1</v>
      </c>
      <c r="AB51" s="2">
        <f t="shared" si="12"/>
        <v>1</v>
      </c>
      <c r="AC51" s="2">
        <f t="shared" si="13"/>
        <v>1</v>
      </c>
      <c r="AD51" s="1">
        <f t="shared" si="14"/>
        <v>1.28651190695203</v>
      </c>
      <c r="AE51" s="2">
        <f t="shared" si="15"/>
        <v>1</v>
      </c>
      <c r="AF51" s="2">
        <f t="shared" si="16"/>
        <v>1.04218067179003</v>
      </c>
      <c r="AG51" s="2">
        <f t="shared" si="17"/>
        <v>1.07475352389456</v>
      </c>
      <c r="AH51" s="2">
        <f>MIN(1,_曲线基线!$L$3+AH$9*($H$10*H51+$I$10*I51+$J$10*J51+$K$10*K51+$L$10*L51))</f>
        <v>0.145961028322325</v>
      </c>
      <c r="AI51" s="2">
        <f>_曲线基线!$L$4+AI$9*($H$10*H51+$I$10*I51+$J$10*J51+$K$10*K51+$L$10*L51)</f>
        <v>2.26732000746933</v>
      </c>
      <c r="AJ51" s="2">
        <f t="shared" si="18"/>
        <v>1.21933949330817</v>
      </c>
      <c r="AK51" s="1">
        <f t="shared" si="19"/>
        <v>1.44489209765635</v>
      </c>
      <c r="AL51" s="1">
        <f t="shared" si="20"/>
        <v>95694.120534525</v>
      </c>
      <c r="AM51" s="14">
        <f t="shared" si="21"/>
        <v>35.6364923955508</v>
      </c>
      <c r="AN51" s="14">
        <f>(((E51*模块规划!$D$10+G51*模块规划!$D$11+H51*模块规划!$D$13)*(1+模块规划!$G$14*H51)+(I51*模块规划!$D$15+J51*模块规划!$D$17+K51*模块规划!$D$16+L51*模块规划!$D$18))*(1+模块规划!$J$17*J51))*F51/(1-Q51)</f>
        <v>226352.941478705</v>
      </c>
      <c r="AO51" s="1">
        <f t="shared" si="22"/>
        <v>3410202.79872752</v>
      </c>
      <c r="AP51" s="1">
        <f>IF(AO51="","",_xlfn.XLOOKUP(AO51,_曲线基线!$E$3:$E$502,_曲线基线!$A$3:$A$502,500,1))</f>
        <v>91</v>
      </c>
      <c r="AQ51" s="15">
        <f t="shared" si="25"/>
        <v>5</v>
      </c>
    </row>
    <row r="52" customHeight="1" spans="1:43">
      <c r="A52" s="1">
        <f>IFERROR(_xlfn.XLOOKUP(B52,_曲线基线!$G$3:$G$107,_曲线基线!$J$3:$J$107,""),"")</f>
        <v>22</v>
      </c>
      <c r="B52" s="1">
        <v>41</v>
      </c>
      <c r="C52" s="1">
        <f t="shared" si="63"/>
        <v>4</v>
      </c>
      <c r="D52" s="1">
        <f t="shared" si="64"/>
        <v>2</v>
      </c>
      <c r="E52" s="1">
        <f t="shared" si="0"/>
        <v>1</v>
      </c>
      <c r="F52" s="11">
        <f t="shared" si="23"/>
        <v>5</v>
      </c>
      <c r="G52" s="12">
        <f t="shared" ref="G52:L52" si="66">IF($B52&lt;G$8,0,G$3+(G$4-G$3)*(POWER(G$5,$B52-G$8)-1)/(POWER(G$5,$C$5-G$8)-1))</f>
        <v>0.414515616817833</v>
      </c>
      <c r="H52" s="12">
        <f t="shared" si="66"/>
        <v>0.295701557381811</v>
      </c>
      <c r="I52" s="12">
        <f t="shared" si="66"/>
        <v>0</v>
      </c>
      <c r="J52" s="12">
        <f t="shared" si="66"/>
        <v>0.120347747661701</v>
      </c>
      <c r="K52" s="12">
        <f t="shared" si="66"/>
        <v>0</v>
      </c>
      <c r="L52" s="12">
        <f t="shared" si="66"/>
        <v>0.287410547435998</v>
      </c>
      <c r="M52" s="2">
        <f>E52*模块规划!$F$10+G52*模块规划!$F$11+H52*模块规划!$F$13</f>
        <v>2989.6749607256</v>
      </c>
      <c r="N52" s="2">
        <f>I52*模块规划!$F$15+J52*模块规划!$F$17+K52*模块规划!$F$16+L52*模块规划!$F$18</f>
        <v>2640.530213797</v>
      </c>
      <c r="O52" s="2">
        <f t="shared" si="2"/>
        <v>1.50476212368585</v>
      </c>
      <c r="P52" s="13">
        <f t="shared" si="3"/>
        <v>7139.27985682886</v>
      </c>
      <c r="Q52" s="7">
        <f>P52/(P52+_曲线基线!$L$2)</f>
        <v>0.229269266651432</v>
      </c>
      <c r="R52" s="2">
        <f>E52*模块规划!$E$10+G52*模块规划!$E$11+H52*模块规划!$E$13</f>
        <v>4484.51244108839</v>
      </c>
      <c r="S52" s="2">
        <f>I52*模块规划!$E$15+J52*模块规划!$E$17+K52*模块规划!$E$16+L52*模块规划!$E$18</f>
        <v>3960.7953206955</v>
      </c>
      <c r="T52" s="2">
        <f t="shared" si="4"/>
        <v>1.50476212368585</v>
      </c>
      <c r="U52" s="13">
        <f t="shared" si="5"/>
        <v>10708.9197852433</v>
      </c>
      <c r="V52" s="2">
        <f t="shared" si="6"/>
        <v>0.788710467214543</v>
      </c>
      <c r="W52" s="2">
        <f t="shared" si="7"/>
        <v>0.118280622952724</v>
      </c>
      <c r="X52" s="2">
        <f t="shared" si="8"/>
        <v>0.356317928279998</v>
      </c>
      <c r="Y52" s="2">
        <f t="shared" si="9"/>
        <v>1</v>
      </c>
      <c r="Z52" s="2">
        <f t="shared" si="10"/>
        <v>1</v>
      </c>
      <c r="AA52" s="2">
        <f t="shared" si="11"/>
        <v>1</v>
      </c>
      <c r="AB52" s="2">
        <f t="shared" si="12"/>
        <v>1</v>
      </c>
      <c r="AC52" s="2">
        <f t="shared" si="13"/>
        <v>1</v>
      </c>
      <c r="AD52" s="1">
        <f t="shared" si="14"/>
        <v>1.29671050305584</v>
      </c>
      <c r="AE52" s="2">
        <f t="shared" si="15"/>
        <v>1</v>
      </c>
      <c r="AF52" s="2">
        <f t="shared" si="16"/>
        <v>1.04454985545082</v>
      </c>
      <c r="AG52" s="2">
        <f t="shared" si="17"/>
        <v>1.07895224382672</v>
      </c>
      <c r="AH52" s="2">
        <f>MIN(1,_曲线基线!$L$3+AH$9*($H$10*H52+$I$10*I52+$J$10*J52+$K$10*K52+$L$10*L52))</f>
        <v>0.151350921150607</v>
      </c>
      <c r="AI52" s="2">
        <f>_曲线基线!$L$4+AI$9*($H$10*H52+$I$10*I52+$J$10*J52+$K$10*K52+$L$10*L52)</f>
        <v>2.28233470891955</v>
      </c>
      <c r="AJ52" s="2">
        <f t="shared" si="18"/>
        <v>1.23165924834424</v>
      </c>
      <c r="AK52" s="1">
        <f t="shared" si="19"/>
        <v>1.47070280296101</v>
      </c>
      <c r="AL52" s="1">
        <f t="shared" si="20"/>
        <v>102113.607305438</v>
      </c>
      <c r="AM52" s="14">
        <f t="shared" si="21"/>
        <v>35.6562819594282</v>
      </c>
      <c r="AN52" s="14">
        <f>(((E52*模块规划!$D$10+G52*模块规划!$D$11+H52*模块规划!$D$13)*(1+模块规划!$G$14*H52)+(I52*模块规划!$D$15+J52*模块规划!$D$17+K52*模块规划!$D$16+L52*模块规划!$D$18))*(1+模块规划!$J$17*J52))*F52/(1-Q52)</f>
        <v>238535.177036596</v>
      </c>
      <c r="AO52" s="1">
        <f t="shared" si="22"/>
        <v>3640991.57397701</v>
      </c>
      <c r="AP52" s="1">
        <f>IF(AO52="","",_xlfn.XLOOKUP(AO52,_曲线基线!$E$3:$E$502,_曲线基线!$A$3:$A$502,500,1))</f>
        <v>93</v>
      </c>
      <c r="AQ52" s="15">
        <f t="shared" si="25"/>
        <v>5</v>
      </c>
    </row>
    <row r="53" customHeight="1" spans="1:43">
      <c r="A53" s="1">
        <f>IFERROR(_xlfn.XLOOKUP(B53,_曲线基线!$G$3:$G$107,_曲线基线!$J$3:$J$107,""),"")</f>
        <v>23</v>
      </c>
      <c r="B53" s="1">
        <v>42</v>
      </c>
      <c r="C53" s="1">
        <f t="shared" si="63"/>
        <v>4</v>
      </c>
      <c r="D53" s="1">
        <f t="shared" si="64"/>
        <v>3</v>
      </c>
      <c r="E53" s="1">
        <f t="shared" si="0"/>
        <v>1</v>
      </c>
      <c r="F53" s="11">
        <f t="shared" si="23"/>
        <v>5</v>
      </c>
      <c r="G53" s="12">
        <f t="shared" ref="G53:L53" si="67">IF($B53&lt;G$8,0,G$3+(G$4-G$3)*(POWER(G$5,$B53-G$8)-1)/(POWER(G$5,$C$5-G$8)-1))</f>
        <v>0.422003073020061</v>
      </c>
      <c r="H53" s="12">
        <f t="shared" si="67"/>
        <v>0.303854068473686</v>
      </c>
      <c r="I53" s="12">
        <f t="shared" si="67"/>
        <v>0</v>
      </c>
      <c r="J53" s="12">
        <f t="shared" si="67"/>
        <v>0.130019737200191</v>
      </c>
      <c r="K53" s="12">
        <f t="shared" si="67"/>
        <v>0</v>
      </c>
      <c r="L53" s="12">
        <f t="shared" si="67"/>
        <v>0.295730243318664</v>
      </c>
      <c r="M53" s="2">
        <f>E53*模块规划!$F$10+G53*模块规划!$F$11+H53*模块规划!$F$13</f>
        <v>3025.61475049629</v>
      </c>
      <c r="N53" s="2">
        <f>I53*模块规划!$F$15+J53*模块规划!$F$17+K53*模块规划!$F$16+L53*模块规划!$F$18</f>
        <v>2778.84858859523</v>
      </c>
      <c r="O53" s="2">
        <f t="shared" si="2"/>
        <v>1.53106875657251</v>
      </c>
      <c r="P53" s="13">
        <f t="shared" si="3"/>
        <v>7411.27280250503</v>
      </c>
      <c r="Q53" s="7">
        <f>P53/(P53+_曲线基线!$L$2)</f>
        <v>0.235943091166748</v>
      </c>
      <c r="R53" s="2">
        <f>E53*模块规划!$E$10+G53*模块规划!$E$11+H53*模块规划!$E$13</f>
        <v>4538.42212574444</v>
      </c>
      <c r="S53" s="2">
        <f>I53*模块规划!$E$15+J53*模块规划!$E$17+K53*模块规划!$E$16+L53*模块规划!$E$18</f>
        <v>4168.27288289284</v>
      </c>
      <c r="T53" s="2">
        <f t="shared" si="4"/>
        <v>1.53106875657251</v>
      </c>
      <c r="U53" s="13">
        <f t="shared" si="5"/>
        <v>11116.9092037576</v>
      </c>
      <c r="V53" s="2">
        <f t="shared" si="6"/>
        <v>0.791156220542106</v>
      </c>
      <c r="W53" s="2">
        <f t="shared" si="7"/>
        <v>0.121541627389474</v>
      </c>
      <c r="X53" s="2">
        <f t="shared" si="8"/>
        <v>0.358559868830264</v>
      </c>
      <c r="Y53" s="2">
        <f t="shared" si="9"/>
        <v>1</v>
      </c>
      <c r="Z53" s="2">
        <f t="shared" si="10"/>
        <v>1</v>
      </c>
      <c r="AA53" s="2">
        <f t="shared" si="11"/>
        <v>1</v>
      </c>
      <c r="AB53" s="2">
        <f t="shared" si="12"/>
        <v>1</v>
      </c>
      <c r="AC53" s="2">
        <f t="shared" si="13"/>
        <v>1</v>
      </c>
      <c r="AD53" s="1">
        <f t="shared" si="14"/>
        <v>1.3067390628514</v>
      </c>
      <c r="AE53" s="2">
        <f t="shared" si="15"/>
        <v>1</v>
      </c>
      <c r="AF53" s="2">
        <f t="shared" si="16"/>
        <v>1.04687165543838</v>
      </c>
      <c r="AG53" s="2">
        <f t="shared" si="17"/>
        <v>1.08306698936025</v>
      </c>
      <c r="AH53" s="2">
        <f>MIN(1,_曲线基线!$L$3+AH$9*($H$10*H53+$I$10*I53+$J$10*J53+$K$10*K53+$L$10*L53))</f>
        <v>0.156633016122323</v>
      </c>
      <c r="AI53" s="2">
        <f>_曲线基线!$L$4+AI$9*($H$10*H53+$I$10*I53+$J$10*J53+$K$10*K53+$L$10*L53)</f>
        <v>2.29704911634076</v>
      </c>
      <c r="AJ53" s="2">
        <f t="shared" si="18"/>
        <v>1.24373260827959</v>
      </c>
      <c r="AK53" s="1">
        <f t="shared" si="19"/>
        <v>1.4964102144346</v>
      </c>
      <c r="AL53" s="1">
        <f t="shared" si="20"/>
        <v>108691.004089477</v>
      </c>
      <c r="AM53" s="14">
        <f t="shared" si="21"/>
        <v>35.6762694189444</v>
      </c>
      <c r="AN53" s="14">
        <f>(((E53*模块规划!$D$10+G53*模块规划!$D$11+H53*模块规划!$D$13)*(1+模块规划!$G$14*H53)+(I53*模块规划!$D$15+J53*模块规划!$D$17+K53*模块规划!$D$16+L53*模块规划!$D$18))*(1+模块规划!$J$17*J53))*F53/(1-Q53)</f>
        <v>250851.85110839</v>
      </c>
      <c r="AO53" s="1">
        <f t="shared" si="22"/>
        <v>3877689.54531177</v>
      </c>
      <c r="AP53" s="1">
        <f>IF(AO53="","",_xlfn.XLOOKUP(AO53,_曲线基线!$E$3:$E$502,_曲线基线!$A$3:$A$502,500,1))</f>
        <v>96</v>
      </c>
      <c r="AQ53" s="15">
        <f t="shared" si="25"/>
        <v>5</v>
      </c>
    </row>
    <row r="54" customHeight="1" spans="1:43">
      <c r="A54" s="1">
        <f>IFERROR(_xlfn.XLOOKUP(B54,_曲线基线!$G$3:$G$107,_曲线基线!$J$3:$J$107,""),"")</f>
        <v>23</v>
      </c>
      <c r="B54" s="1">
        <v>43</v>
      </c>
      <c r="C54" s="1">
        <f t="shared" si="63"/>
        <v>4</v>
      </c>
      <c r="D54" s="1">
        <f t="shared" si="64"/>
        <v>4</v>
      </c>
      <c r="E54" s="1">
        <f t="shared" si="0"/>
        <v>1</v>
      </c>
      <c r="F54" s="11">
        <f t="shared" si="23"/>
        <v>5</v>
      </c>
      <c r="G54" s="12">
        <f t="shared" ref="G54:L54" si="68">IF($B54&lt;G$8,0,G$3+(G$4-G$3)*(POWER(G$5,$B54-G$8)-1)/(POWER(G$5,$C$5-G$8)-1))</f>
        <v>0.429378217379256</v>
      </c>
      <c r="H54" s="12">
        <f t="shared" si="68"/>
        <v>0.311843529343723</v>
      </c>
      <c r="I54" s="12">
        <f t="shared" si="68"/>
        <v>0</v>
      </c>
      <c r="J54" s="12">
        <f t="shared" si="68"/>
        <v>0.139498286947911</v>
      </c>
      <c r="K54" s="12">
        <f t="shared" si="68"/>
        <v>0</v>
      </c>
      <c r="L54" s="12">
        <f t="shared" si="68"/>
        <v>0.303883545283677</v>
      </c>
      <c r="M54" s="2">
        <f>E54*模块规划!$F$10+G54*模块规划!$F$11+H54*模块规划!$F$13</f>
        <v>3061.01544342043</v>
      </c>
      <c r="N54" s="2">
        <f>I54*模块规划!$F$15+J54*模块规划!$F$17+K54*模块规划!$F$16+L54*模块规划!$F$18</f>
        <v>2914.40059589749</v>
      </c>
      <c r="O54" s="2">
        <f t="shared" si="2"/>
        <v>1.55684925680144</v>
      </c>
      <c r="P54" s="13">
        <f t="shared" si="3"/>
        <v>7679.94021404432</v>
      </c>
      <c r="Q54" s="7">
        <f>P54/(P54+_曲线基线!$L$2)</f>
        <v>0.242422812737496</v>
      </c>
      <c r="R54" s="2">
        <f>E54*模块规划!$E$10+G54*模块规划!$E$11+H54*模块规划!$E$13</f>
        <v>4591.52316513064</v>
      </c>
      <c r="S54" s="2">
        <f>I54*模块规划!$E$15+J54*模块规划!$E$17+K54*模块规划!$E$16+L54*模块规划!$E$18</f>
        <v>4371.60089384624</v>
      </c>
      <c r="T54" s="2">
        <f t="shared" si="4"/>
        <v>1.55684925680144</v>
      </c>
      <c r="U54" s="13">
        <f t="shared" si="5"/>
        <v>11519.9103210665</v>
      </c>
      <c r="V54" s="2">
        <f t="shared" si="6"/>
        <v>0.793553058803117</v>
      </c>
      <c r="W54" s="2">
        <f t="shared" si="7"/>
        <v>0.124737411737489</v>
      </c>
      <c r="X54" s="2">
        <f t="shared" si="8"/>
        <v>0.360756970569524</v>
      </c>
      <c r="Y54" s="2">
        <f t="shared" si="9"/>
        <v>1</v>
      </c>
      <c r="Z54" s="2">
        <f t="shared" si="10"/>
        <v>1</v>
      </c>
      <c r="AA54" s="2">
        <f t="shared" si="11"/>
        <v>1</v>
      </c>
      <c r="AB54" s="2">
        <f t="shared" si="12"/>
        <v>1</v>
      </c>
      <c r="AC54" s="2">
        <f t="shared" si="13"/>
        <v>1</v>
      </c>
      <c r="AD54" s="1">
        <f t="shared" si="14"/>
        <v>1.31659964321457</v>
      </c>
      <c r="AE54" s="2">
        <f t="shared" si="15"/>
        <v>1</v>
      </c>
      <c r="AF54" s="2">
        <f t="shared" si="16"/>
        <v>1.0491470194262</v>
      </c>
      <c r="AG54" s="2">
        <f t="shared" si="17"/>
        <v>1.0870994399831</v>
      </c>
      <c r="AH54" s="2">
        <f>MIN(1,_曲线基线!$L$3+AH$9*($H$10*H54+$I$10*I54+$J$10*J54+$K$10*K54+$L$10*L54))</f>
        <v>0.161809469194604</v>
      </c>
      <c r="AI54" s="2">
        <f>_曲线基线!$L$4+AI$9*($H$10*H54+$I$10*I54+$J$10*J54+$K$10*K54+$L$10*L54)</f>
        <v>2.31146923561354</v>
      </c>
      <c r="AJ54" s="2">
        <f t="shared" si="18"/>
        <v>1.25556450101624</v>
      </c>
      <c r="AK54" s="1">
        <f t="shared" si="19"/>
        <v>1.52200550953142</v>
      </c>
      <c r="AL54" s="1">
        <f t="shared" si="20"/>
        <v>115422.123537734</v>
      </c>
      <c r="AM54" s="14">
        <f t="shared" si="21"/>
        <v>35.6964567530557</v>
      </c>
      <c r="AN54" s="14">
        <f>(((E54*模块规划!$D$10+G54*模块规划!$D$11+H54*模块规划!$D$13)*(1+模块规划!$G$14*H54)+(I54*模块规划!$D$15+J54*模块规划!$D$17+K54*模块规划!$D$16+L54*模块规划!$D$18))*(1+模块规划!$J$17*J54))*F54/(1-Q54)</f>
        <v>263293.382159158</v>
      </c>
      <c r="AO54" s="1">
        <f t="shared" si="22"/>
        <v>4120160.84121057</v>
      </c>
      <c r="AP54" s="1">
        <f>IF(AO54="","",_xlfn.XLOOKUP(AO54,_曲线基线!$E$3:$E$502,_曲线基线!$A$3:$A$502,500,1))</f>
        <v>98</v>
      </c>
      <c r="AQ54" s="15">
        <f t="shared" si="25"/>
        <v>5</v>
      </c>
    </row>
    <row r="55" customHeight="1" spans="1:43">
      <c r="A55" s="1">
        <f>IFERROR(_xlfn.XLOOKUP(B55,_曲线基线!$G$3:$G$107,_曲线基线!$J$3:$J$107,""),"")</f>
        <v>23</v>
      </c>
      <c r="B55" s="1">
        <v>44</v>
      </c>
      <c r="C55" s="1">
        <f t="shared" si="63"/>
        <v>4</v>
      </c>
      <c r="D55" s="1">
        <f t="shared" si="64"/>
        <v>5</v>
      </c>
      <c r="E55" s="1">
        <f t="shared" si="0"/>
        <v>1</v>
      </c>
      <c r="F55" s="11">
        <f t="shared" si="23"/>
        <v>5</v>
      </c>
      <c r="G55" s="12">
        <f t="shared" ref="G55:L55" si="69">IF($B55&lt;G$8,0,G$3+(G$4-G$3)*(POWER(G$5,$B55-G$8)-1)/(POWER(G$5,$C$5-G$8)-1))</f>
        <v>0.436642734573063</v>
      </c>
      <c r="H55" s="12">
        <f t="shared" si="69"/>
        <v>0.31967320099636</v>
      </c>
      <c r="I55" s="12">
        <f t="shared" si="69"/>
        <v>0</v>
      </c>
      <c r="J55" s="12">
        <f t="shared" si="69"/>
        <v>0.148787265700676</v>
      </c>
      <c r="K55" s="12">
        <f t="shared" si="69"/>
        <v>0</v>
      </c>
      <c r="L55" s="12">
        <f t="shared" si="69"/>
        <v>0.311873781209389</v>
      </c>
      <c r="M55" s="2">
        <f>E55*模块规划!$F$10+G55*模块规划!$F$11+H55*模块规划!$F$13</f>
        <v>3095.8851259507</v>
      </c>
      <c r="N55" s="2">
        <f>I55*模块规划!$F$15+J55*模块规划!$F$17+K55*模块规划!$F$16+L55*模块规划!$F$18</f>
        <v>3047.24156305371</v>
      </c>
      <c r="O55" s="2">
        <f t="shared" si="2"/>
        <v>1.58211414702579</v>
      </c>
      <c r="P55" s="13">
        <f t="shared" si="3"/>
        <v>7945.28521838703</v>
      </c>
      <c r="Q55" s="7">
        <f>P55/(P55+_曲线基线!$L$2)</f>
        <v>0.248715425893706</v>
      </c>
      <c r="R55" s="2">
        <f>E55*模块规划!$E$10+G55*模块规划!$E$11+H55*模块规划!$E$13</f>
        <v>4643.82768892605</v>
      </c>
      <c r="S55" s="2">
        <f>I55*模块规划!$E$15+J55*模块规划!$E$17+K55*模块规划!$E$16+L55*模块规划!$E$18</f>
        <v>4570.86234458056</v>
      </c>
      <c r="T55" s="2">
        <f t="shared" si="4"/>
        <v>1.58211414702579</v>
      </c>
      <c r="U55" s="13">
        <f t="shared" si="5"/>
        <v>11917.9278275805</v>
      </c>
      <c r="V55" s="2">
        <f t="shared" si="6"/>
        <v>0.795901960298908</v>
      </c>
      <c r="W55" s="2">
        <f t="shared" si="7"/>
        <v>0.127869280398544</v>
      </c>
      <c r="X55" s="2">
        <f t="shared" si="8"/>
        <v>0.362910130273999</v>
      </c>
      <c r="Y55" s="2">
        <f t="shared" si="9"/>
        <v>1</v>
      </c>
      <c r="Z55" s="2">
        <f t="shared" si="10"/>
        <v>1</v>
      </c>
      <c r="AA55" s="2">
        <f t="shared" si="11"/>
        <v>1</v>
      </c>
      <c r="AB55" s="2">
        <f t="shared" si="12"/>
        <v>1</v>
      </c>
      <c r="AC55" s="2">
        <f t="shared" si="13"/>
        <v>1</v>
      </c>
      <c r="AD55" s="1">
        <f t="shared" si="14"/>
        <v>1.32629431310017</v>
      </c>
      <c r="AE55" s="2">
        <f t="shared" si="15"/>
        <v>1</v>
      </c>
      <c r="AF55" s="2">
        <f t="shared" si="16"/>
        <v>1.05137687613426</v>
      </c>
      <c r="AG55" s="2">
        <f t="shared" si="17"/>
        <v>1.09105124159349</v>
      </c>
      <c r="AH55" s="2">
        <f>MIN(1,_曲线基线!$L$3+AH$9*($H$10*H55+$I$10*I55+$J$10*J55+$K$10*K55+$L$10*L55))</f>
        <v>0.166882393205441</v>
      </c>
      <c r="AI55" s="2">
        <f>_曲线基线!$L$4+AI$9*($H$10*H55+$I$10*I55+$J$10*J55+$K$10*K55+$L$10*L55)</f>
        <v>2.32560095250087</v>
      </c>
      <c r="AJ55" s="2">
        <f t="shared" si="18"/>
        <v>1.26715975589815</v>
      </c>
      <c r="AK55" s="1">
        <f t="shared" si="19"/>
        <v>1.54748015205713</v>
      </c>
      <c r="AL55" s="1">
        <f t="shared" si="20"/>
        <v>122302.617088683</v>
      </c>
      <c r="AM55" s="14">
        <f t="shared" si="21"/>
        <v>35.7168459605081</v>
      </c>
      <c r="AN55" s="14">
        <f>(((E55*模块规划!$D$10+G55*模块规划!$D$11+H55*模块规划!$D$13)*(1+模块规划!$G$14*H55)+(I55*模块规划!$D$15+J55*模块规划!$D$17+K55*模块规划!$D$16+L55*模块规划!$D$18))*(1+模块规划!$J$17*J55))*F55/(1-Q55)</f>
        <v>275850.347477234</v>
      </c>
      <c r="AO55" s="1">
        <f t="shared" si="22"/>
        <v>4368263.7351235</v>
      </c>
      <c r="AP55" s="1">
        <f>IF(AO55="","",_xlfn.XLOOKUP(AO55,_曲线基线!$E$3:$E$502,_曲线基线!$A$3:$A$502,500,1))</f>
        <v>101</v>
      </c>
      <c r="AQ55" s="15">
        <f t="shared" si="25"/>
        <v>5</v>
      </c>
    </row>
    <row r="56" customHeight="1" spans="1:43">
      <c r="A56" s="1">
        <f>IFERROR(_xlfn.XLOOKUP(B56,_曲线基线!$G$3:$G$107,_曲线基线!$J$3:$J$107,""),"")</f>
        <v>24</v>
      </c>
      <c r="B56" s="1">
        <v>45</v>
      </c>
      <c r="C56" s="1">
        <f t="shared" si="63"/>
        <v>4</v>
      </c>
      <c r="D56" s="1">
        <f t="shared" si="64"/>
        <v>6</v>
      </c>
      <c r="E56" s="1">
        <f t="shared" si="0"/>
        <v>1</v>
      </c>
      <c r="F56" s="11">
        <f t="shared" si="23"/>
        <v>5</v>
      </c>
      <c r="G56" s="12">
        <f t="shared" ref="G56:L56" si="70">IF($B56&lt;G$8,0,G$3+(G$4-G$3)*(POWER(G$5,$B56-G$8)-1)/(POWER(G$5,$C$5-G$8)-1))</f>
        <v>0.443798284008963</v>
      </c>
      <c r="H56" s="12">
        <f t="shared" si="70"/>
        <v>0.327346279215944</v>
      </c>
      <c r="I56" s="12">
        <f t="shared" si="70"/>
        <v>0</v>
      </c>
      <c r="J56" s="12">
        <f t="shared" si="70"/>
        <v>0.157890464878387</v>
      </c>
      <c r="K56" s="12">
        <f t="shared" si="70"/>
        <v>0</v>
      </c>
      <c r="L56" s="12">
        <f t="shared" si="70"/>
        <v>0.319704212416587</v>
      </c>
      <c r="M56" s="2">
        <f>E56*模块规划!$F$10+G56*模块规划!$F$11+H56*模块规划!$F$13</f>
        <v>3130.23176324302</v>
      </c>
      <c r="N56" s="2">
        <f>I56*模块规划!$F$15+J56*模块规划!$F$17+K56*模块规划!$F$16+L56*模块规划!$F$18</f>
        <v>3177.4257108668</v>
      </c>
      <c r="O56" s="2">
        <f t="shared" si="2"/>
        <v>1.60687373944565</v>
      </c>
      <c r="P56" s="13">
        <f t="shared" si="3"/>
        <v>8207.31292960067</v>
      </c>
      <c r="Q56" s="7">
        <f>P56/(P56+_曲线基线!$L$2)</f>
        <v>0.254827620905239</v>
      </c>
      <c r="R56" s="2">
        <f>E56*模块规划!$E$10+G56*模块规划!$E$11+H56*模块规划!$E$13</f>
        <v>4695.34764486453</v>
      </c>
      <c r="S56" s="2">
        <f>I56*模块规划!$E$15+J56*模块规划!$E$17+K56*模块规划!$E$16+L56*模块规划!$E$18</f>
        <v>4766.13856630021</v>
      </c>
      <c r="T56" s="2">
        <f t="shared" si="4"/>
        <v>1.60687373944565</v>
      </c>
      <c r="U56" s="13">
        <f t="shared" si="5"/>
        <v>12310.969394401</v>
      </c>
      <c r="V56" s="2">
        <f t="shared" si="6"/>
        <v>0.798203883764783</v>
      </c>
      <c r="W56" s="2">
        <f t="shared" si="7"/>
        <v>0.130938511686378</v>
      </c>
      <c r="X56" s="2">
        <f t="shared" si="8"/>
        <v>0.365020226784385</v>
      </c>
      <c r="Y56" s="2">
        <f t="shared" si="9"/>
        <v>1</v>
      </c>
      <c r="Z56" s="2">
        <f t="shared" si="10"/>
        <v>1</v>
      </c>
      <c r="AA56" s="2">
        <f t="shared" si="11"/>
        <v>1</v>
      </c>
      <c r="AB56" s="2">
        <f t="shared" si="12"/>
        <v>1</v>
      </c>
      <c r="AC56" s="2">
        <f t="shared" si="13"/>
        <v>1</v>
      </c>
      <c r="AD56" s="1">
        <f t="shared" si="14"/>
        <v>1.33582515119301</v>
      </c>
      <c r="AE56" s="2">
        <f t="shared" si="15"/>
        <v>1</v>
      </c>
      <c r="AF56" s="2">
        <f t="shared" si="16"/>
        <v>1.05356213570816</v>
      </c>
      <c r="AG56" s="2">
        <f t="shared" si="17"/>
        <v>1.09492400717168</v>
      </c>
      <c r="AH56" s="2">
        <f>MIN(1,_曲线基线!$L$3+AH$9*($H$10*H56+$I$10*I56+$J$10*J56+$K$10*K56+$L$10*L56))</f>
        <v>0.17185385873606</v>
      </c>
      <c r="AI56" s="2">
        <f>_曲线基线!$L$4+AI$9*($H$10*H56+$I$10*I56+$J$10*J56+$K$10*K56+$L$10*L56)</f>
        <v>2.33945003505045</v>
      </c>
      <c r="AJ56" s="2">
        <f t="shared" si="18"/>
        <v>1.27852310568242</v>
      </c>
      <c r="AK56" s="1">
        <f t="shared" si="19"/>
        <v>1.57282590098357</v>
      </c>
      <c r="AL56" s="1">
        <f t="shared" si="20"/>
        <v>129327.989021267</v>
      </c>
      <c r="AM56" s="14">
        <f t="shared" si="21"/>
        <v>35.7374390600351</v>
      </c>
      <c r="AN56" s="14">
        <f>(((E56*模块规划!$D$10+G56*模块规划!$D$11+H56*模块规划!$D$13)*(1+模块规划!$G$14*H56)+(I56*模块规划!$D$15+J56*模块规划!$D$17+K56*模块规划!$D$16+L56*模块规划!$D$18))*(1+模块规划!$J$17*J56))*F56/(1-Q56)</f>
        <v>288513.492111806</v>
      </c>
      <c r="AO56" s="1">
        <f t="shared" si="22"/>
        <v>4621851.12640443</v>
      </c>
      <c r="AP56" s="1">
        <f>IF(AO56="","",_xlfn.XLOOKUP(AO56,_曲线基线!$E$3:$E$502,_曲线基线!$A$3:$A$502,500,1))</f>
        <v>103</v>
      </c>
      <c r="AQ56" s="15">
        <f t="shared" si="25"/>
        <v>5</v>
      </c>
    </row>
    <row r="57" customHeight="1" spans="1:43">
      <c r="A57" s="1">
        <f>IFERROR(_xlfn.XLOOKUP(B57,_曲线基线!$G$3:$G$107,_曲线基线!$J$3:$J$107,""),"")</f>
        <v>24</v>
      </c>
      <c r="B57" s="1">
        <v>46</v>
      </c>
      <c r="C57" s="1">
        <f t="shared" si="63"/>
        <v>4</v>
      </c>
      <c r="D57" s="1">
        <f t="shared" si="64"/>
        <v>7</v>
      </c>
      <c r="E57" s="1">
        <f t="shared" si="0"/>
        <v>1</v>
      </c>
      <c r="F57" s="11">
        <f t="shared" si="23"/>
        <v>5</v>
      </c>
      <c r="G57" s="12">
        <f t="shared" ref="G57:L57" si="71">IF($B57&lt;G$8,0,G$3+(G$4-G$3)*(POWER(G$5,$B57-G$8)-1)/(POWER(G$5,$C$5-G$8)-1))</f>
        <v>0.450846500203324</v>
      </c>
      <c r="H57" s="12">
        <f t="shared" si="71"/>
        <v>0.334865895871137</v>
      </c>
      <c r="I57" s="12">
        <f t="shared" si="71"/>
        <v>0</v>
      </c>
      <c r="J57" s="12">
        <f t="shared" si="71"/>
        <v>0.166811600072543</v>
      </c>
      <c r="K57" s="12">
        <f t="shared" si="71"/>
        <v>0</v>
      </c>
      <c r="L57" s="12">
        <f t="shared" si="71"/>
        <v>0.327378034999641</v>
      </c>
      <c r="M57" s="2">
        <f>E57*模块规划!$F$10+G57*模块规划!$F$11+H57*模块规划!$F$13</f>
        <v>3164.06320097596</v>
      </c>
      <c r="N57" s="2">
        <f>I57*模块规划!$F$15+J57*模块规划!$F$17+K57*模块规划!$F$16+L57*模块规划!$F$18</f>
        <v>3305.00617572364</v>
      </c>
      <c r="O57" s="2">
        <f t="shared" si="2"/>
        <v>1.63113814001711</v>
      </c>
      <c r="P57" s="13">
        <f t="shared" si="3"/>
        <v>8466.03034026015</v>
      </c>
      <c r="Q57" s="7">
        <f>P57/(P57+_曲线基线!$L$2)</f>
        <v>0.260765798945296</v>
      </c>
      <c r="R57" s="2">
        <f>E57*模块规划!$E$10+G57*模块规划!$E$11+H57*模块规划!$E$13</f>
        <v>4746.09480146393</v>
      </c>
      <c r="S57" s="2">
        <f>I57*模块规划!$E$15+J57*模块规划!$E$17+K57*模块规划!$E$16+L57*模块规划!$E$18</f>
        <v>4957.50926358545</v>
      </c>
      <c r="T57" s="2">
        <f t="shared" si="4"/>
        <v>1.63113814001711</v>
      </c>
      <c r="U57" s="13">
        <f t="shared" si="5"/>
        <v>12699.0455103902</v>
      </c>
      <c r="V57" s="2">
        <f t="shared" si="6"/>
        <v>0.800459768761341</v>
      </c>
      <c r="W57" s="2">
        <f t="shared" si="7"/>
        <v>0.133946358348455</v>
      </c>
      <c r="X57" s="2">
        <f t="shared" si="8"/>
        <v>0.367088121364563</v>
      </c>
      <c r="Y57" s="2">
        <f t="shared" si="9"/>
        <v>1</v>
      </c>
      <c r="Z57" s="2">
        <f t="shared" si="10"/>
        <v>1</v>
      </c>
      <c r="AA57" s="2">
        <f t="shared" si="11"/>
        <v>1</v>
      </c>
      <c r="AB57" s="2">
        <f t="shared" si="12"/>
        <v>1</v>
      </c>
      <c r="AC57" s="2">
        <f t="shared" si="13"/>
        <v>1</v>
      </c>
      <c r="AD57" s="1">
        <f t="shared" si="14"/>
        <v>1.34519424368938</v>
      </c>
      <c r="AE57" s="2">
        <f t="shared" si="15"/>
        <v>1</v>
      </c>
      <c r="AF57" s="2">
        <f t="shared" si="16"/>
        <v>1.05570369009058</v>
      </c>
      <c r="AG57" s="2">
        <f t="shared" si="17"/>
        <v>1.0987193174383</v>
      </c>
      <c r="AH57" s="2">
        <f>MIN(1,_曲线基线!$L$3+AH$9*($H$10*H57+$I$10*I57+$J$10*J57+$K$10*K57+$L$10*L57))</f>
        <v>0.176725894956067</v>
      </c>
      <c r="AI57" s="2">
        <f>_曲线基线!$L$4+AI$9*($H$10*H57+$I$10*I57+$J$10*J57+$K$10*K57+$L$10*L57)</f>
        <v>2.35302213594904</v>
      </c>
      <c r="AJ57" s="2">
        <f t="shared" si="18"/>
        <v>1.28965918847101</v>
      </c>
      <c r="AK57" s="1">
        <f t="shared" si="19"/>
        <v>1.59803481740029</v>
      </c>
      <c r="AL57" s="1">
        <f t="shared" si="20"/>
        <v>136493.610411248</v>
      </c>
      <c r="AM57" s="14">
        <f t="shared" si="21"/>
        <v>35.7582380905573</v>
      </c>
      <c r="AN57" s="14">
        <f>(((E57*模块规划!$D$10+G57*模块规划!$D$11+H57*模块规划!$D$13)*(1+模块规划!$G$14*H57)+(I57*模块规划!$D$15+J57*模块规划!$D$17+K57*模块规划!$D$16+L57*模块规划!$D$18))*(1+模块规划!$J$17*J57))*F57/(1-Q57)</f>
        <v>301273.736887632</v>
      </c>
      <c r="AO57" s="1">
        <f t="shared" si="22"/>
        <v>4880771.01892518</v>
      </c>
      <c r="AP57" s="1">
        <f>IF(AO57="","",_xlfn.XLOOKUP(AO57,_曲线基线!$E$3:$E$502,_曲线基线!$A$3:$A$502,500,1))</f>
        <v>106</v>
      </c>
      <c r="AQ57" s="15">
        <f t="shared" si="25"/>
        <v>5</v>
      </c>
    </row>
    <row r="58" customHeight="1" spans="1:43">
      <c r="A58" s="1">
        <f>IFERROR(_xlfn.XLOOKUP(B58,_曲线基线!$G$3:$G$107,_曲线基线!$J$3:$J$107,""),"")</f>
        <v>24</v>
      </c>
      <c r="B58" s="1">
        <v>47</v>
      </c>
      <c r="C58" s="1">
        <f t="shared" si="63"/>
        <v>4</v>
      </c>
      <c r="D58" s="1">
        <f t="shared" si="64"/>
        <v>8</v>
      </c>
      <c r="E58" s="1">
        <f t="shared" si="0"/>
        <v>1</v>
      </c>
      <c r="F58" s="11">
        <f t="shared" si="23"/>
        <v>5</v>
      </c>
      <c r="G58" s="12">
        <f t="shared" ref="G58:L58" si="72">IF($B58&lt;G$8,0,G$3+(G$4-G$3)*(POWER(G$5,$B58-G$8)-1)/(POWER(G$5,$C$5-G$8)-1))</f>
        <v>0.45778899315477</v>
      </c>
      <c r="H58" s="12">
        <f t="shared" si="72"/>
        <v>0.342235120193225</v>
      </c>
      <c r="I58" s="12">
        <f t="shared" si="72"/>
        <v>0</v>
      </c>
      <c r="J58" s="12">
        <f t="shared" si="72"/>
        <v>0.175554312562816</v>
      </c>
      <c r="K58" s="12">
        <f t="shared" si="72"/>
        <v>0</v>
      </c>
      <c r="L58" s="12">
        <f t="shared" si="72"/>
        <v>0.334898381131034</v>
      </c>
      <c r="M58" s="2">
        <f>E58*模块规划!$F$10+G58*模块规划!$F$11+H58*模块规划!$F$13</f>
        <v>3197.3871671429</v>
      </c>
      <c r="N58" s="2">
        <f>I58*模块规划!$F$15+J58*模块规划!$F$17+K58*模块规划!$F$16+L58*模块规划!$F$18</f>
        <v>3430.03503128333</v>
      </c>
      <c r="O58" s="2">
        <f t="shared" si="2"/>
        <v>1.65491725257714</v>
      </c>
      <c r="P58" s="13">
        <f t="shared" si="3"/>
        <v>8721.44621735686</v>
      </c>
      <c r="Q58" s="7">
        <f>P58/(P58+_曲线基线!$L$2)</f>
        <v>0.266536086437727</v>
      </c>
      <c r="R58" s="2">
        <f>E58*模块规划!$E$10+G58*模块规划!$E$11+H58*模块规划!$E$13</f>
        <v>4796.08075071435</v>
      </c>
      <c r="S58" s="2">
        <f>I58*模块规划!$E$15+J58*模块规划!$E$17+K58*模块规划!$E$16+L58*模块规划!$E$18</f>
        <v>5145.052546925</v>
      </c>
      <c r="T58" s="2">
        <f t="shared" si="4"/>
        <v>1.65491725257714</v>
      </c>
      <c r="U58" s="13">
        <f t="shared" si="5"/>
        <v>13082.1693260353</v>
      </c>
      <c r="V58" s="2">
        <f t="shared" si="6"/>
        <v>0.802670536057968</v>
      </c>
      <c r="W58" s="2">
        <f t="shared" si="7"/>
        <v>0.13689404807729</v>
      </c>
      <c r="X58" s="2">
        <f t="shared" si="8"/>
        <v>0.369114658053137</v>
      </c>
      <c r="Y58" s="2">
        <f t="shared" si="9"/>
        <v>1</v>
      </c>
      <c r="Z58" s="2">
        <f t="shared" si="10"/>
        <v>1</v>
      </c>
      <c r="AA58" s="2">
        <f t="shared" si="11"/>
        <v>1</v>
      </c>
      <c r="AB58" s="2">
        <f t="shared" si="12"/>
        <v>1</v>
      </c>
      <c r="AC58" s="2">
        <f t="shared" si="13"/>
        <v>1</v>
      </c>
      <c r="AD58" s="1">
        <f t="shared" si="14"/>
        <v>1.35440368220308</v>
      </c>
      <c r="AE58" s="2">
        <f t="shared" si="15"/>
        <v>1</v>
      </c>
      <c r="AF58" s="2">
        <f t="shared" si="16"/>
        <v>1.05780241338535</v>
      </c>
      <c r="AG58" s="2">
        <f t="shared" si="17"/>
        <v>1.1024387214996</v>
      </c>
      <c r="AH58" s="2">
        <f>MIN(1,_曲线基线!$L$3+AH$9*($H$10*H58+$I$10*I58+$J$10*J58+$K$10*K58+$L$10*L58))</f>
        <v>0.181500490451674</v>
      </c>
      <c r="AI58" s="2">
        <f>_曲线基线!$L$4+AI$9*($H$10*H58+$I$10*I58+$J$10*J58+$K$10*K58+$L$10*L58)</f>
        <v>2.36632279482966</v>
      </c>
      <c r="AJ58" s="2">
        <f t="shared" si="18"/>
        <v>1.30057254960383</v>
      </c>
      <c r="AK58" s="1">
        <f t="shared" si="19"/>
        <v>1.62309926977229</v>
      </c>
      <c r="AL58" s="1">
        <f t="shared" si="20"/>
        <v>143794.73293264</v>
      </c>
      <c r="AM58" s="14">
        <f t="shared" si="21"/>
        <v>35.7792451113847</v>
      </c>
      <c r="AN58" s="14">
        <f>(((E58*模块规划!$D$10+G58*模块规划!$D$11+H58*模块规划!$D$13)*(1+模块规划!$G$14*H58)+(I58*模块规划!$D$15+J58*模块规划!$D$17+K58*模块规划!$D$16+L58*模块规划!$D$18))*(1+模块规划!$J$17*J58))*F58/(1-Q58)</f>
        <v>314122.185539391</v>
      </c>
      <c r="AO58" s="1">
        <f t="shared" si="22"/>
        <v>5144866.99532304</v>
      </c>
      <c r="AP58" s="1">
        <f>IF(AO58="","",_xlfn.XLOOKUP(AO58,_曲线基线!$E$3:$E$502,_曲线基线!$A$3:$A$502,500,1))</f>
        <v>108</v>
      </c>
      <c r="AQ58" s="15">
        <f t="shared" si="25"/>
        <v>5</v>
      </c>
    </row>
    <row r="59" customHeight="1" spans="1:43">
      <c r="A59" s="1">
        <f>IFERROR(_xlfn.XLOOKUP(B59,_曲线基线!$G$3:$G$107,_曲线基线!$J$3:$J$107,""),"")</f>
        <v>25</v>
      </c>
      <c r="B59" s="1">
        <v>48</v>
      </c>
      <c r="C59" s="1">
        <f t="shared" si="63"/>
        <v>4</v>
      </c>
      <c r="D59" s="1">
        <f t="shared" si="64"/>
        <v>9</v>
      </c>
      <c r="E59" s="1">
        <f t="shared" si="0"/>
        <v>1</v>
      </c>
      <c r="F59" s="11">
        <f t="shared" si="23"/>
        <v>5</v>
      </c>
      <c r="G59" s="12">
        <f t="shared" ref="G59:L59" si="73">IF($B59&lt;G$8,0,G$3+(G$4-G$3)*(POWER(G$5,$B59-G$8)-1)/(POWER(G$5,$C$5-G$8)-1))</f>
        <v>0.464627348711944</v>
      </c>
      <c r="H59" s="12">
        <f t="shared" si="73"/>
        <v>0.349456960028872</v>
      </c>
      <c r="I59" s="12">
        <f t="shared" si="73"/>
        <v>0</v>
      </c>
      <c r="J59" s="12">
        <f t="shared" si="73"/>
        <v>0.184122170803284</v>
      </c>
      <c r="K59" s="12">
        <f t="shared" si="73"/>
        <v>0</v>
      </c>
      <c r="L59" s="12">
        <f t="shared" si="73"/>
        <v>0.342268320339799</v>
      </c>
      <c r="M59" s="2">
        <f>E59*模块规划!$F$10+G59*模块规划!$F$11+H59*模块规划!$F$13</f>
        <v>3230.21127381733</v>
      </c>
      <c r="N59" s="2">
        <f>I59*模块规划!$F$15+J59*模块规划!$F$17+K59*模块规划!$F$16+L59*模块规划!$F$18</f>
        <v>3552.56330973184</v>
      </c>
      <c r="O59" s="2">
        <f t="shared" si="2"/>
        <v>1.67822078288598</v>
      </c>
      <c r="P59" s="13">
        <f t="shared" si="3"/>
        <v>8973.57100256467</v>
      </c>
      <c r="Q59" s="7">
        <f>P59/(P59+_曲线基线!$L$2)</f>
        <v>0.272144348632021</v>
      </c>
      <c r="R59" s="2">
        <f>E59*模块规划!$E$10+G59*模块规划!$E$11+H59*模块规划!$E$13</f>
        <v>4845.316910726</v>
      </c>
      <c r="S59" s="2">
        <f>I59*模块规划!$E$15+J59*模块规划!$E$17+K59*模块规划!$E$16+L59*模块规划!$E$18</f>
        <v>5328.84496459775</v>
      </c>
      <c r="T59" s="2">
        <f t="shared" si="4"/>
        <v>1.67822078288598</v>
      </c>
      <c r="U59" s="13">
        <f t="shared" si="5"/>
        <v>13460.356503847</v>
      </c>
      <c r="V59" s="2">
        <f t="shared" si="6"/>
        <v>0.804837088008662</v>
      </c>
      <c r="W59" s="2">
        <f t="shared" si="7"/>
        <v>0.139782784011549</v>
      </c>
      <c r="X59" s="2">
        <f t="shared" si="8"/>
        <v>0.37110066400794</v>
      </c>
      <c r="Y59" s="2">
        <f t="shared" si="9"/>
        <v>1</v>
      </c>
      <c r="Z59" s="2">
        <f t="shared" si="10"/>
        <v>1</v>
      </c>
      <c r="AA59" s="2">
        <f t="shared" si="11"/>
        <v>1</v>
      </c>
      <c r="AB59" s="2">
        <f t="shared" si="12"/>
        <v>1</v>
      </c>
      <c r="AC59" s="2">
        <f t="shared" si="13"/>
        <v>1</v>
      </c>
      <c r="AD59" s="1">
        <f t="shared" si="14"/>
        <v>1.3634555617902</v>
      </c>
      <c r="AE59" s="2">
        <f t="shared" si="15"/>
        <v>1</v>
      </c>
      <c r="AF59" s="2">
        <f t="shared" si="16"/>
        <v>1.05985916221423</v>
      </c>
      <c r="AG59" s="2">
        <f t="shared" si="17"/>
        <v>1.10608373747966</v>
      </c>
      <c r="AH59" s="2">
        <f>MIN(1,_曲线基线!$L$3+AH$9*($H$10*H59+$I$10*I59+$J$10*J59+$K$10*K59+$L$10*L59))</f>
        <v>0.186179594037368</v>
      </c>
      <c r="AI59" s="2">
        <f>_曲线基线!$L$4+AI$9*($H$10*H59+$I$10*I59+$J$10*J59+$K$10*K59+$L$10*L59)</f>
        <v>2.37935744053267</v>
      </c>
      <c r="AJ59" s="2">
        <f t="shared" si="18"/>
        <v>1.31126764351398</v>
      </c>
      <c r="AK59" s="1">
        <f t="shared" si="19"/>
        <v>1.64801193766073</v>
      </c>
      <c r="AL59" s="1">
        <f t="shared" si="20"/>
        <v>151226.502451555</v>
      </c>
      <c r="AM59" s="14">
        <f t="shared" si="21"/>
        <v>35.8004622024204</v>
      </c>
      <c r="AN59" s="14">
        <f>(((E59*模块规划!$D$10+G59*模块规划!$D$11+H59*模块规划!$D$13)*(1+模块规划!$G$14*H59)+(I59*模块规划!$D$15+J59*模块规划!$D$17+K59*模块规划!$D$16+L59*模块规划!$D$18))*(1+模块规划!$J$17*J59))*F59/(1-Q59)</f>
        <v>327050.131007878</v>
      </c>
      <c r="AO59" s="1">
        <f t="shared" si="22"/>
        <v>5413978.68502114</v>
      </c>
      <c r="AP59" s="1">
        <f>IF(AO59="","",_xlfn.XLOOKUP(AO59,_曲线基线!$E$3:$E$502,_曲线基线!$A$3:$A$502,500,1))</f>
        <v>110</v>
      </c>
      <c r="AQ59" s="15">
        <f t="shared" si="25"/>
        <v>5</v>
      </c>
    </row>
    <row r="60" customHeight="1" spans="1:43">
      <c r="A60" s="1">
        <f>IFERROR(_xlfn.XLOOKUP(B60,_曲线基线!$G$3:$G$107,_曲线基线!$J$3:$J$107,""),"")</f>
        <v>25</v>
      </c>
      <c r="B60" s="1">
        <v>49</v>
      </c>
      <c r="C60" s="1">
        <f t="shared" si="63"/>
        <v>4</v>
      </c>
      <c r="D60" s="1">
        <f t="shared" si="64"/>
        <v>10</v>
      </c>
      <c r="E60" s="1">
        <f t="shared" si="0"/>
        <v>1</v>
      </c>
      <c r="F60" s="11">
        <f t="shared" si="23"/>
        <v>5</v>
      </c>
      <c r="G60" s="12">
        <f t="shared" ref="G60:L60" si="74">IF($B60&lt;G$8,0,G$3+(G$4-G$3)*(POWER(G$5,$B60-G$8)-1)/(POWER(G$5,$C$5-G$8)-1))</f>
        <v>0.471363128935761</v>
      </c>
      <c r="H60" s="12">
        <f t="shared" si="74"/>
        <v>0.356534363067806</v>
      </c>
      <c r="I60" s="12">
        <f t="shared" si="74"/>
        <v>0</v>
      </c>
      <c r="J60" s="12">
        <f t="shared" si="74"/>
        <v>0.192518671878942</v>
      </c>
      <c r="K60" s="12">
        <f t="shared" si="74"/>
        <v>0</v>
      </c>
      <c r="L60" s="12">
        <f t="shared" si="74"/>
        <v>0.349490860764388</v>
      </c>
      <c r="M60" s="2">
        <f>E60*模块规划!$F$10+G60*模块规划!$F$11+H60*模块规划!$F$13</f>
        <v>3262.54301889165</v>
      </c>
      <c r="N60" s="2">
        <f>I60*模块规划!$F$15+J60*模块规划!$F$17+K60*模块规划!$F$16+L60*模块规划!$F$18</f>
        <v>3672.64102261136</v>
      </c>
      <c r="O60" s="2">
        <f t="shared" si="2"/>
        <v>1.70105824258863</v>
      </c>
      <c r="P60" s="13">
        <f t="shared" si="3"/>
        <v>9222.41671669699</v>
      </c>
      <c r="Q60" s="7">
        <f>P60/(P60+_曲线基线!$L$2)</f>
        <v>0.277596202447908</v>
      </c>
      <c r="R60" s="2">
        <f>E60*模块规划!$E$10+G60*模块规划!$E$11+H60*模块规划!$E$13</f>
        <v>4893.81452833748</v>
      </c>
      <c r="S60" s="2">
        <f>I60*模块规划!$E$15+J60*模块规划!$E$17+K60*模块规划!$E$16+L60*模块规划!$E$18</f>
        <v>5508.96153391704</v>
      </c>
      <c r="T60" s="2">
        <f t="shared" si="4"/>
        <v>1.70105824258863</v>
      </c>
      <c r="U60" s="13">
        <f t="shared" si="5"/>
        <v>13833.6250750455</v>
      </c>
      <c r="V60" s="2">
        <f t="shared" si="6"/>
        <v>0.806960308920342</v>
      </c>
      <c r="W60" s="2">
        <f t="shared" si="7"/>
        <v>0.142613745227122</v>
      </c>
      <c r="X60" s="2">
        <f t="shared" si="8"/>
        <v>0.373046949843647</v>
      </c>
      <c r="Y60" s="2">
        <f t="shared" si="9"/>
        <v>1</v>
      </c>
      <c r="Z60" s="2">
        <f t="shared" si="10"/>
        <v>1</v>
      </c>
      <c r="AA60" s="2">
        <f t="shared" si="11"/>
        <v>1</v>
      </c>
      <c r="AB60" s="2">
        <f t="shared" si="12"/>
        <v>1</v>
      </c>
      <c r="AC60" s="2">
        <f t="shared" si="13"/>
        <v>1</v>
      </c>
      <c r="AD60" s="1">
        <f t="shared" si="14"/>
        <v>1.37235197908747</v>
      </c>
      <c r="AE60" s="2">
        <f t="shared" si="15"/>
        <v>1</v>
      </c>
      <c r="AF60" s="2">
        <f t="shared" si="16"/>
        <v>1.06187477606653</v>
      </c>
      <c r="AG60" s="2">
        <f t="shared" si="17"/>
        <v>1.10965585314012</v>
      </c>
      <c r="AH60" s="2">
        <f>MIN(1,_曲线基线!$L$3+AH$9*($H$10*H60+$I$10*I60+$J$10*J60+$K$10*K60+$L$10*L60))</f>
        <v>0.190765115551349</v>
      </c>
      <c r="AI60" s="2">
        <f>_曲线基线!$L$4+AI$9*($H$10*H60+$I$10*I60+$J$10*J60+$K$10*K60+$L$10*L60)</f>
        <v>2.39213139332162</v>
      </c>
      <c r="AJ60" s="2">
        <f t="shared" si="18"/>
        <v>1.32174883554594</v>
      </c>
      <c r="AK60" s="1">
        <f t="shared" si="19"/>
        <v>1.67276581405219</v>
      </c>
      <c r="AL60" s="1">
        <f t="shared" si="20"/>
        <v>158783.972365236</v>
      </c>
      <c r="AM60" s="14">
        <f t="shared" si="21"/>
        <v>35.8218914643665</v>
      </c>
      <c r="AN60" s="14">
        <f>(((E60*模块规划!$D$10+G60*模块规划!$D$11+H60*模块规划!$D$13)*(1+模块规划!$G$14*H60)+(I60*模块规划!$D$15+J60*模块规划!$D$17+K60*模块规划!$D$16+L60*模块规划!$D$18))*(1+模块规划!$J$17*J60))*F60/(1-Q60)</f>
        <v>340049.060939818</v>
      </c>
      <c r="AO60" s="1">
        <f t="shared" si="22"/>
        <v>5687942.22434846</v>
      </c>
      <c r="AP60" s="1">
        <f>IF(AO60="","",_xlfn.XLOOKUP(AO60,_曲线基线!$E$3:$E$502,_曲线基线!$A$3:$A$502,500,1))</f>
        <v>112</v>
      </c>
      <c r="AQ60" s="15">
        <f t="shared" si="25"/>
        <v>5</v>
      </c>
    </row>
    <row r="61" customHeight="1" spans="1:43">
      <c r="A61" s="1">
        <f>IFERROR(_xlfn.XLOOKUP(B61,_曲线基线!$G$3:$G$107,_曲线基线!$J$3:$J$107,""),"")</f>
        <v>25</v>
      </c>
      <c r="B61" s="1">
        <v>50</v>
      </c>
      <c r="C61" s="1">
        <f t="shared" si="63"/>
        <v>4</v>
      </c>
      <c r="D61" s="1">
        <f t="shared" si="64"/>
        <v>11</v>
      </c>
      <c r="E61" s="1">
        <f t="shared" si="0"/>
        <v>1</v>
      </c>
      <c r="F61" s="11">
        <f t="shared" si="23"/>
        <v>5</v>
      </c>
      <c r="G61" s="12">
        <f t="shared" ref="G61:L61" si="75">IF($B61&lt;G$8,0,G$3+(G$4-G$3)*(POWER(G$5,$B61-G$8)-1)/(POWER(G$5,$C$5-G$8)-1))</f>
        <v>0.477997872456221</v>
      </c>
      <c r="H61" s="12">
        <f t="shared" si="75"/>
        <v>0.363470218045961</v>
      </c>
      <c r="I61" s="12">
        <f t="shared" si="75"/>
        <v>0</v>
      </c>
      <c r="J61" s="12">
        <f t="shared" si="75"/>
        <v>0.200747242933087</v>
      </c>
      <c r="K61" s="12">
        <f t="shared" si="75"/>
        <v>0</v>
      </c>
      <c r="L61" s="12">
        <f t="shared" si="75"/>
        <v>0.356568950380486</v>
      </c>
      <c r="M61" s="2">
        <f>E61*模块规划!$F$10+G61*模块规划!$F$11+H61*模块规划!$F$13</f>
        <v>3294.38978778986</v>
      </c>
      <c r="N61" s="2">
        <f>I61*模块规划!$F$15+J61*模块规划!$F$17+K61*模块规划!$F$16+L61*模块规划!$F$18</f>
        <v>3790.3171812333</v>
      </c>
      <c r="O61" s="2">
        <f t="shared" si="2"/>
        <v>1.72343895309724</v>
      </c>
      <c r="P61" s="13">
        <f t="shared" si="3"/>
        <v>9467.9968681961</v>
      </c>
      <c r="Q61" s="7">
        <f>P61/(P61+_曲线基线!$L$2)</f>
        <v>0.28289702862956</v>
      </c>
      <c r="R61" s="2">
        <f>E61*模块规划!$E$10+G61*模块规划!$E$11+H61*模块规划!$E$13</f>
        <v>4941.58468168479</v>
      </c>
      <c r="S61" s="2">
        <f>I61*模块规划!$E$15+J61*模块规划!$E$17+K61*模块规划!$E$16+L61*模块规划!$E$18</f>
        <v>5685.47577184995</v>
      </c>
      <c r="T61" s="2">
        <f t="shared" si="4"/>
        <v>1.72343895309724</v>
      </c>
      <c r="U61" s="13">
        <f t="shared" si="5"/>
        <v>14201.9953022941</v>
      </c>
      <c r="V61" s="2">
        <f t="shared" si="6"/>
        <v>0.809041065413788</v>
      </c>
      <c r="W61" s="2">
        <f t="shared" si="7"/>
        <v>0.145388087218385</v>
      </c>
      <c r="X61" s="2">
        <f t="shared" si="8"/>
        <v>0.374954309962639</v>
      </c>
      <c r="Y61" s="2">
        <f t="shared" si="9"/>
        <v>1</v>
      </c>
      <c r="Z61" s="2">
        <f t="shared" si="10"/>
        <v>1</v>
      </c>
      <c r="AA61" s="2">
        <f t="shared" si="11"/>
        <v>1</v>
      </c>
      <c r="AB61" s="2">
        <f t="shared" si="12"/>
        <v>1</v>
      </c>
      <c r="AC61" s="2">
        <f t="shared" si="13"/>
        <v>1</v>
      </c>
      <c r="AD61" s="1">
        <f t="shared" si="14"/>
        <v>1.38109503055874</v>
      </c>
      <c r="AE61" s="2">
        <f t="shared" si="15"/>
        <v>1</v>
      </c>
      <c r="AF61" s="2">
        <f t="shared" si="16"/>
        <v>1.06385007764178</v>
      </c>
      <c r="AG61" s="2">
        <f t="shared" si="17"/>
        <v>1.11315652648738</v>
      </c>
      <c r="AH61" s="2">
        <f>MIN(1,_曲线基线!$L$3+AH$9*($H$10*H61+$I$10*I61+$J$10*J61+$K$10*K61+$L$10*L61))</f>
        <v>0.19525892663505</v>
      </c>
      <c r="AI61" s="2">
        <f>_曲线基线!$L$4+AI$9*($H$10*H61+$I$10*I61+$J$10*J61+$K$10*K61+$L$10*L61)</f>
        <v>2.40464986705478</v>
      </c>
      <c r="AJ61" s="2">
        <f t="shared" si="18"/>
        <v>1.33202040373726</v>
      </c>
      <c r="AK61" s="1">
        <f t="shared" si="19"/>
        <v>1.69735420643075</v>
      </c>
      <c r="AL61" s="1">
        <f t="shared" si="20"/>
        <v>166462.116644174</v>
      </c>
      <c r="AM61" s="14">
        <f t="shared" si="21"/>
        <v>35.843535018932</v>
      </c>
      <c r="AN61" s="14">
        <f>(((E61*模块规划!$D$10+G61*模块规划!$D$11+H61*模块规划!$D$13)*(1+模块规划!$G$14*H61)+(I61*模块规划!$D$15+J61*模块规划!$D$17+K61*模块规划!$D$16+L61*模块规划!$D$18))*(1+模块规划!$J$17*J61))*F61/(1-Q61)</f>
        <v>353110.662432472</v>
      </c>
      <c r="AO61" s="1">
        <f t="shared" si="22"/>
        <v>5966590.70726098</v>
      </c>
      <c r="AP61" s="1">
        <f>IF(AO61="","",_xlfn.XLOOKUP(AO61,_曲线基线!$E$3:$E$502,_曲线基线!$A$3:$A$502,500,1))</f>
        <v>114</v>
      </c>
      <c r="AQ61" s="15">
        <f t="shared" si="25"/>
        <v>5</v>
      </c>
    </row>
    <row r="62" customHeight="1" spans="1:43">
      <c r="A62" s="1">
        <f>IFERROR(_xlfn.XLOOKUP(B62,_曲线基线!$G$3:$G$107,_曲线基线!$J$3:$J$107,""),"")</f>
        <v>26</v>
      </c>
      <c r="B62" s="1">
        <v>51</v>
      </c>
      <c r="C62" s="1">
        <f t="shared" si="63"/>
        <v>4</v>
      </c>
      <c r="D62" s="1">
        <f t="shared" si="64"/>
        <v>12</v>
      </c>
      <c r="E62" s="1">
        <f t="shared" si="0"/>
        <v>1</v>
      </c>
      <c r="F62" s="11">
        <f t="shared" si="23"/>
        <v>5</v>
      </c>
      <c r="G62" s="12">
        <f t="shared" ref="G62:L62" si="76">IF($B62&lt;G$8,0,G$3+(G$4-G$3)*(POWER(G$5,$B62-G$8)-1)/(POWER(G$5,$C$5-G$8)-1))</f>
        <v>0.484533094823873</v>
      </c>
      <c r="H62" s="12">
        <f t="shared" si="76"/>
        <v>0.370267355924554</v>
      </c>
      <c r="I62" s="12">
        <f t="shared" si="76"/>
        <v>0</v>
      </c>
      <c r="J62" s="12">
        <f t="shared" si="76"/>
        <v>0.208811242566149</v>
      </c>
      <c r="K62" s="12">
        <f t="shared" si="76"/>
        <v>0</v>
      </c>
      <c r="L62" s="12">
        <f t="shared" si="76"/>
        <v>0.363505478204262</v>
      </c>
      <c r="M62" s="2">
        <f>E62*模块规划!$F$10+G62*模块规划!$F$11+H62*模块规划!$F$13</f>
        <v>3325.75885515459</v>
      </c>
      <c r="N62" s="2">
        <f>I62*模块规划!$F$15+J62*模块规划!$F$17+K62*模块规划!$F$16+L62*模块规划!$F$18</f>
        <v>3905.6398166828</v>
      </c>
      <c r="O62" s="2">
        <f t="shared" si="2"/>
        <v>1.74537204939567</v>
      </c>
      <c r="P62" s="13">
        <f t="shared" si="3"/>
        <v>9710.32636549976</v>
      </c>
      <c r="Q62" s="7">
        <f>P62/(P62+_曲线基线!$L$2)</f>
        <v>0.288051983247413</v>
      </c>
      <c r="R62" s="2">
        <f>E62*模块规划!$E$10+G62*模块规划!$E$11+H62*模块规划!$E$13</f>
        <v>4988.63828273189</v>
      </c>
      <c r="S62" s="2">
        <f>I62*模块规划!$E$15+J62*模块规划!$E$17+K62*模块规划!$E$16+L62*模块规划!$E$18</f>
        <v>5858.4597250242</v>
      </c>
      <c r="T62" s="2">
        <f t="shared" si="4"/>
        <v>1.74537204939567</v>
      </c>
      <c r="U62" s="13">
        <f t="shared" si="5"/>
        <v>14565.4895482497</v>
      </c>
      <c r="V62" s="2">
        <f t="shared" si="6"/>
        <v>0.811080206777366</v>
      </c>
      <c r="W62" s="2">
        <f t="shared" si="7"/>
        <v>0.148106942369821</v>
      </c>
      <c r="X62" s="2">
        <f t="shared" si="8"/>
        <v>0.376823522879252</v>
      </c>
      <c r="Y62" s="2">
        <f t="shared" si="9"/>
        <v>1</v>
      </c>
      <c r="Z62" s="2">
        <f t="shared" si="10"/>
        <v>1</v>
      </c>
      <c r="AA62" s="2">
        <f t="shared" si="11"/>
        <v>1</v>
      </c>
      <c r="AB62" s="2">
        <f t="shared" si="12"/>
        <v>1</v>
      </c>
      <c r="AC62" s="2">
        <f t="shared" si="13"/>
        <v>1</v>
      </c>
      <c r="AD62" s="1">
        <f t="shared" si="14"/>
        <v>1.38968681084473</v>
      </c>
      <c r="AE62" s="2">
        <f t="shared" si="15"/>
        <v>1</v>
      </c>
      <c r="AF62" s="2">
        <f t="shared" si="16"/>
        <v>1.06578587318553</v>
      </c>
      <c r="AG62" s="2">
        <f t="shared" si="17"/>
        <v>1.11658718636769</v>
      </c>
      <c r="AH62" s="2">
        <f>MIN(1,_曲线基线!$L$3+AH$9*($H$10*H62+$I$10*I62+$J$10*J62+$K$10*K62+$L$10*L62))</f>
        <v>0.199662861497077</v>
      </c>
      <c r="AI62" s="2">
        <f>_曲线基线!$L$4+AI$9*($H$10*H62+$I$10*I62+$J$10*J62+$K$10*K62+$L$10*L62)</f>
        <v>2.41691797131329</v>
      </c>
      <c r="AJ62" s="2">
        <f t="shared" si="18"/>
        <v>1.34208654056475</v>
      </c>
      <c r="AK62" s="1">
        <f t="shared" si="19"/>
        <v>1.72177073671725</v>
      </c>
      <c r="AL62" s="1">
        <f t="shared" si="20"/>
        <v>174255.84254017</v>
      </c>
      <c r="AM62" s="14">
        <f t="shared" si="21"/>
        <v>35.8653950090432</v>
      </c>
      <c r="AN62" s="14">
        <f>(((E62*模块规划!$D$10+G62*模块规划!$D$11+H62*模块规划!$D$13)*(1+模块规划!$G$14*H62)+(I62*模块规划!$D$15+J62*模块规划!$D$17+K62*模块规划!$D$16+L62*模块规划!$D$18))*(1+模块规划!$J$17*J62))*F62/(1-Q62)</f>
        <v>366226.826063466</v>
      </c>
      <c r="AO62" s="1">
        <f t="shared" si="22"/>
        <v>6249754.62533685</v>
      </c>
      <c r="AP62" s="1">
        <f>IF(AO62="","",_xlfn.XLOOKUP(AO62,_曲线基线!$E$3:$E$502,_曲线基线!$A$3:$A$502,500,1))</f>
        <v>116</v>
      </c>
      <c r="AQ62" s="15">
        <f t="shared" si="25"/>
        <v>5</v>
      </c>
    </row>
    <row r="63" customHeight="1" spans="1:43">
      <c r="A63" s="1">
        <f>IFERROR(_xlfn.XLOOKUP(B63,_曲线基线!$G$3:$G$107,_曲线基线!$J$3:$J$107,""),"")</f>
        <v>26</v>
      </c>
      <c r="B63" s="1">
        <v>52</v>
      </c>
      <c r="C63" s="1">
        <f t="shared" si="63"/>
        <v>4</v>
      </c>
      <c r="D63" s="1">
        <f t="shared" si="64"/>
        <v>13</v>
      </c>
      <c r="E63" s="1">
        <f t="shared" si="0"/>
        <v>1</v>
      </c>
      <c r="F63" s="11">
        <f t="shared" si="23"/>
        <v>5</v>
      </c>
      <c r="G63" s="12">
        <f t="shared" ref="G63:L63" si="77">IF($B63&lt;G$8,0,G$3+(G$4-G$3)*(POWER(G$5,$B63-G$8)-1)/(POWER(G$5,$C$5-G$8)-1))</f>
        <v>0.490970288856011</v>
      </c>
      <c r="H63" s="12">
        <f t="shared" si="77"/>
        <v>0.376928551045574</v>
      </c>
      <c r="I63" s="12">
        <f t="shared" si="77"/>
        <v>0</v>
      </c>
      <c r="J63" s="12">
        <f t="shared" si="77"/>
        <v>0.21671396220655</v>
      </c>
      <c r="K63" s="12">
        <f t="shared" si="77"/>
        <v>0</v>
      </c>
      <c r="L63" s="12">
        <f t="shared" si="77"/>
        <v>0.370303275471563</v>
      </c>
      <c r="M63" s="2">
        <f>E63*模块规划!$F$10+G63*模块规划!$F$11+H63*模块规划!$F$13</f>
        <v>3356.65738650885</v>
      </c>
      <c r="N63" s="2">
        <f>I63*模块规划!$F$15+J63*模块规划!$F$17+K63*模块规划!$F$16+L63*模块规划!$F$18</f>
        <v>4018.65599942331</v>
      </c>
      <c r="O63" s="2">
        <f t="shared" si="2"/>
        <v>1.76686648376813</v>
      </c>
      <c r="P63" s="13">
        <f t="shared" si="3"/>
        <v>9949.42143313853</v>
      </c>
      <c r="Q63" s="7">
        <f>P63/(P63+_曲线基线!$L$2)</f>
        <v>0.29306600858378</v>
      </c>
      <c r="R63" s="2">
        <f>E63*模块规划!$E$10+G63*模块规划!$E$11+H63*模块规划!$E$13</f>
        <v>5034.98607976328</v>
      </c>
      <c r="S63" s="2">
        <f>I63*模块规划!$E$15+J63*模块规划!$E$17+K63*模块规划!$E$16+L63*模块规划!$E$18</f>
        <v>6027.98399913497</v>
      </c>
      <c r="T63" s="2">
        <f t="shared" si="4"/>
        <v>1.76686648376813</v>
      </c>
      <c r="U63" s="13">
        <f t="shared" si="5"/>
        <v>14924.1321497078</v>
      </c>
      <c r="V63" s="2">
        <f t="shared" si="6"/>
        <v>0.813078565313672</v>
      </c>
      <c r="W63" s="2">
        <f t="shared" si="7"/>
        <v>0.15077142041823</v>
      </c>
      <c r="X63" s="2">
        <f t="shared" si="8"/>
        <v>0.378655351537533</v>
      </c>
      <c r="Y63" s="2">
        <f t="shared" si="9"/>
        <v>1</v>
      </c>
      <c r="Z63" s="2">
        <f t="shared" si="10"/>
        <v>1</v>
      </c>
      <c r="AA63" s="2">
        <f t="shared" si="11"/>
        <v>1</v>
      </c>
      <c r="AB63" s="2">
        <f t="shared" si="12"/>
        <v>1</v>
      </c>
      <c r="AC63" s="2">
        <f t="shared" si="13"/>
        <v>1</v>
      </c>
      <c r="AD63" s="1">
        <f t="shared" si="14"/>
        <v>1.39812941121132</v>
      </c>
      <c r="AE63" s="2">
        <f t="shared" si="15"/>
        <v>1</v>
      </c>
      <c r="AF63" s="2">
        <f t="shared" si="16"/>
        <v>1.0676829528184</v>
      </c>
      <c r="AG63" s="2">
        <f t="shared" si="17"/>
        <v>1.11994923305039</v>
      </c>
      <c r="AH63" s="2">
        <f>MIN(1,_曲线基线!$L$3+AH$9*($H$10*H63+$I$10*I63+$J$10*J63+$K$10*K63+$L$10*L63))</f>
        <v>0.203978717661864</v>
      </c>
      <c r="AI63" s="2">
        <f>_曲线基线!$L$4+AI$9*($H$10*H63+$I$10*I63+$J$10*J63+$K$10*K63+$L$10*L63)</f>
        <v>2.42894071348662</v>
      </c>
      <c r="AJ63" s="2">
        <f t="shared" si="18"/>
        <v>1.35195135465569</v>
      </c>
      <c r="AK63" s="1">
        <f t="shared" si="19"/>
        <v>1.74600934019087</v>
      </c>
      <c r="AL63" s="1">
        <f t="shared" si="20"/>
        <v>182160.002928018</v>
      </c>
      <c r="AM63" s="14">
        <f t="shared" si="21"/>
        <v>35.8874735990555</v>
      </c>
      <c r="AN63" s="14">
        <f>(((E63*模块规划!$D$10+G63*模块规划!$D$11+H63*模块规划!$D$13)*(1+模块规划!$G$14*H63)+(I63*模块规划!$D$15+J63*模块规划!$D$17+K63*模块规划!$D$16+L63*模块规划!$D$18))*(1+模块规划!$J$17*J63))*F63/(1-Q63)</f>
        <v>379389.649245442</v>
      </c>
      <c r="AO63" s="1">
        <f t="shared" si="22"/>
        <v>6537262.2958831</v>
      </c>
      <c r="AP63" s="1">
        <f>IF(AO63="","",_xlfn.XLOOKUP(AO63,_曲线基线!$E$3:$E$502,_曲线基线!$A$3:$A$502,500,1))</f>
        <v>118</v>
      </c>
      <c r="AQ63" s="15">
        <f t="shared" si="25"/>
        <v>5</v>
      </c>
    </row>
    <row r="64" customHeight="1" spans="1:43">
      <c r="A64" s="1">
        <f>IFERROR(_xlfn.XLOOKUP(B64,_曲线基线!$G$3:$G$107,_曲线基线!$J$3:$J$107,""),"")</f>
        <v>26</v>
      </c>
      <c r="B64" s="1">
        <v>53</v>
      </c>
      <c r="C64" s="1">
        <f t="shared" si="63"/>
        <v>4</v>
      </c>
      <c r="D64" s="1">
        <f t="shared" si="64"/>
        <v>14</v>
      </c>
      <c r="E64" s="1">
        <f t="shared" si="0"/>
        <v>1</v>
      </c>
      <c r="F64" s="11">
        <f t="shared" si="23"/>
        <v>5</v>
      </c>
      <c r="G64" s="12">
        <f t="shared" ref="G64:L64" si="78">IF($B64&lt;G$8,0,G$3+(G$4-G$3)*(POWER(G$5,$B64-G$8)-1)/(POWER(G$5,$C$5-G$8)-1))</f>
        <v>0.497310924977667</v>
      </c>
      <c r="H64" s="12">
        <f t="shared" si="78"/>
        <v>0.383456522264174</v>
      </c>
      <c r="I64" s="12">
        <f t="shared" si="78"/>
        <v>0</v>
      </c>
      <c r="J64" s="12">
        <f t="shared" si="78"/>
        <v>0.224458627454143</v>
      </c>
      <c r="K64" s="12">
        <f t="shared" si="78"/>
        <v>0</v>
      </c>
      <c r="L64" s="12">
        <f t="shared" si="78"/>
        <v>0.376965116793517</v>
      </c>
      <c r="M64" s="2">
        <f>E64*模块规划!$F$10+G64*模块规划!$F$11+H64*模块规划!$F$13</f>
        <v>3387.0924398928</v>
      </c>
      <c r="N64" s="2">
        <f>I64*模块规划!$F$15+J64*模块规划!$F$17+K64*模块规划!$F$16+L64*模块规划!$F$18</f>
        <v>4129.41185850902</v>
      </c>
      <c r="O64" s="2">
        <f t="shared" si="2"/>
        <v>1.78793102945314</v>
      </c>
      <c r="P64" s="13">
        <f t="shared" si="3"/>
        <v>10185.2995314195</v>
      </c>
      <c r="Q64" s="7">
        <f>P64/(P64+_曲线基线!$L$2)</f>
        <v>0.297943843436511</v>
      </c>
      <c r="R64" s="2">
        <f>E64*模块规划!$E$10+G64*模块规划!$E$11+H64*模块规划!$E$13</f>
        <v>5080.6386598392</v>
      </c>
      <c r="S64" s="2">
        <f>I64*模块规划!$E$15+J64*模块规划!$E$17+K64*模块规划!$E$16+L64*模块规划!$E$18</f>
        <v>6194.11778776352</v>
      </c>
      <c r="T64" s="2">
        <f t="shared" si="4"/>
        <v>1.78793102945314</v>
      </c>
      <c r="U64" s="13">
        <f t="shared" si="5"/>
        <v>15277.9492971292</v>
      </c>
      <c r="V64" s="2">
        <f t="shared" si="6"/>
        <v>0.815036956679252</v>
      </c>
      <c r="W64" s="2">
        <f t="shared" si="7"/>
        <v>0.153382608905669</v>
      </c>
      <c r="X64" s="2">
        <f t="shared" si="8"/>
        <v>0.380450543622648</v>
      </c>
      <c r="Y64" s="2">
        <f t="shared" si="9"/>
        <v>1</v>
      </c>
      <c r="Z64" s="2">
        <f t="shared" si="10"/>
        <v>1</v>
      </c>
      <c r="AA64" s="2">
        <f t="shared" si="11"/>
        <v>1</v>
      </c>
      <c r="AB64" s="2">
        <f t="shared" si="12"/>
        <v>1</v>
      </c>
      <c r="AC64" s="2">
        <f t="shared" si="13"/>
        <v>1</v>
      </c>
      <c r="AD64" s="1">
        <f t="shared" si="14"/>
        <v>1.40642491809172</v>
      </c>
      <c r="AE64" s="2">
        <f t="shared" si="15"/>
        <v>1</v>
      </c>
      <c r="AF64" s="2">
        <f t="shared" si="16"/>
        <v>1.06954209085862</v>
      </c>
      <c r="AG64" s="2">
        <f t="shared" si="17"/>
        <v>1.12324403879944</v>
      </c>
      <c r="AH64" s="2">
        <f>MIN(1,_曲线基线!$L$3+AH$9*($H$10*H64+$I$10*I64+$J$10*J64+$K$10*K64+$L$10*L64))</f>
        <v>0.208208256703355</v>
      </c>
      <c r="AI64" s="2">
        <f>_曲线基线!$L$4+AI$9*($H$10*H64+$I$10*I64+$J$10*J64+$K$10*K64+$L$10*L64)</f>
        <v>2.44072300081649</v>
      </c>
      <c r="AJ64" s="2">
        <f t="shared" si="18"/>
        <v>1.36161887246481</v>
      </c>
      <c r="AK64" s="1">
        <f t="shared" si="19"/>
        <v>1.77006426349882</v>
      </c>
      <c r="AL64" s="1">
        <f t="shared" si="20"/>
        <v>190169.408252821</v>
      </c>
      <c r="AM64" s="14">
        <f t="shared" si="21"/>
        <v>35.909772974968</v>
      </c>
      <c r="AN64" s="14">
        <f>(((E64*模块规划!$D$10+G64*模块规划!$D$11+H64*模块规划!$D$13)*(1+模块规划!$G$14*H64)+(I64*模块规划!$D$15+J64*模块规划!$D$17+K64*模块规划!$D$16+L64*模块规划!$D$18))*(1+模块规划!$J$17*J64))*F64/(1-Q64)</f>
        <v>392591.438944191</v>
      </c>
      <c r="AO64" s="1">
        <f t="shared" si="22"/>
        <v>6828940.2771428</v>
      </c>
      <c r="AP64" s="1">
        <f>IF(AO64="","",_xlfn.XLOOKUP(AO64,_曲线基线!$E$3:$E$502,_曲线基线!$A$3:$A$502,500,1))</f>
        <v>120</v>
      </c>
      <c r="AQ64" s="15">
        <f t="shared" si="25"/>
        <v>5</v>
      </c>
    </row>
    <row r="65" customHeight="1" spans="1:43">
      <c r="A65" s="1">
        <f>IFERROR(_xlfn.XLOOKUP(B65,_曲线基线!$G$3:$G$107,_曲线基线!$J$3:$J$107,""),"")</f>
        <v>27</v>
      </c>
      <c r="B65" s="1">
        <v>54</v>
      </c>
      <c r="C65" s="1">
        <f t="shared" si="63"/>
        <v>4</v>
      </c>
      <c r="D65" s="1">
        <f t="shared" si="64"/>
        <v>15</v>
      </c>
      <c r="E65" s="1">
        <f t="shared" si="0"/>
        <v>1</v>
      </c>
      <c r="F65" s="11">
        <f t="shared" si="23"/>
        <v>5</v>
      </c>
      <c r="G65" s="12">
        <f t="shared" ref="G65:L65" si="79">IF($B65&lt;G$8,0,G$3+(G$4-G$3)*(POWER(G$5,$B65-G$8)-1)/(POWER(G$5,$C$5-G$8)-1))</f>
        <v>0.503556451557497</v>
      </c>
      <c r="H65" s="12">
        <f t="shared" si="79"/>
        <v>0.389853934058402</v>
      </c>
      <c r="I65" s="12">
        <f t="shared" si="79"/>
        <v>0</v>
      </c>
      <c r="J65" s="12">
        <f t="shared" si="79"/>
        <v>0.232048399396784</v>
      </c>
      <c r="K65" s="12">
        <f t="shared" si="79"/>
        <v>0</v>
      </c>
      <c r="L65" s="12">
        <f t="shared" si="79"/>
        <v>0.383493721289032</v>
      </c>
      <c r="M65" s="2">
        <f>E65*模块规划!$F$10+G65*模块规划!$F$11+H65*模块规划!$F$13</f>
        <v>3417.07096747599</v>
      </c>
      <c r="N65" s="2">
        <f>I65*模块规划!$F$15+J65*模块规划!$F$17+K65*模块规划!$F$16+L65*模块规划!$F$18</f>
        <v>4237.952600413</v>
      </c>
      <c r="O65" s="2">
        <f t="shared" si="2"/>
        <v>1.80857428422446</v>
      </c>
      <c r="P65" s="13">
        <f t="shared" si="3"/>
        <v>10417.9792795601</v>
      </c>
      <c r="Q65" s="7">
        <f>P65/(P65+_曲线基线!$L$2)</f>
        <v>0.302690032873227</v>
      </c>
      <c r="R65" s="2">
        <f>E65*模块规划!$E$10+G65*模块规划!$E$11+H65*模块规划!$E$13</f>
        <v>5125.60645121398</v>
      </c>
      <c r="S65" s="2">
        <f>I65*模块规划!$E$15+J65*模块规划!$E$17+K65*模块规划!$E$16+L65*模块规划!$E$18</f>
        <v>6356.9289006195</v>
      </c>
      <c r="T65" s="2">
        <f t="shared" si="4"/>
        <v>1.80857428422446</v>
      </c>
      <c r="U65" s="13">
        <f t="shared" si="5"/>
        <v>15626.9689193401</v>
      </c>
      <c r="V65" s="2">
        <f t="shared" si="6"/>
        <v>0.81695618021752</v>
      </c>
      <c r="W65" s="2">
        <f t="shared" si="7"/>
        <v>0.155941573623361</v>
      </c>
      <c r="X65" s="2">
        <f t="shared" si="8"/>
        <v>0.382209831866061</v>
      </c>
      <c r="Y65" s="2">
        <f t="shared" si="9"/>
        <v>1</v>
      </c>
      <c r="Z65" s="2">
        <f t="shared" si="10"/>
        <v>1</v>
      </c>
      <c r="AA65" s="2">
        <f t="shared" si="11"/>
        <v>1</v>
      </c>
      <c r="AB65" s="2">
        <f t="shared" si="12"/>
        <v>1</v>
      </c>
      <c r="AC65" s="2">
        <f t="shared" si="13"/>
        <v>1</v>
      </c>
      <c r="AD65" s="1">
        <f t="shared" si="14"/>
        <v>1.41457541171821</v>
      </c>
      <c r="AE65" s="2">
        <f t="shared" si="15"/>
        <v>1</v>
      </c>
      <c r="AF65" s="2">
        <f t="shared" si="16"/>
        <v>1.07136404613803</v>
      </c>
      <c r="AG65" s="2">
        <f t="shared" si="17"/>
        <v>1.12647294843351</v>
      </c>
      <c r="AH65" s="2">
        <f>MIN(1,_曲线基线!$L$3+AH$9*($H$10*H65+$I$10*I65+$J$10*J65+$K$10*K65+$L$10*L65))</f>
        <v>0.212353204964016</v>
      </c>
      <c r="AI65" s="2">
        <f>_曲线基线!$L$4+AI$9*($H$10*H65+$I$10*I65+$J$10*J65+$K$10*K65+$L$10*L65)</f>
        <v>2.45226964239976</v>
      </c>
      <c r="AJ65" s="2">
        <f t="shared" si="18"/>
        <v>1.37109303991775</v>
      </c>
      <c r="AK65" s="1">
        <f t="shared" si="19"/>
        <v>1.79393006185238</v>
      </c>
      <c r="AL65" s="1">
        <f t="shared" si="20"/>
        <v>198278.838059359</v>
      </c>
      <c r="AM65" s="14">
        <f t="shared" si="21"/>
        <v>35.9322953446395</v>
      </c>
      <c r="AN65" s="14">
        <f>(((E65*模块规划!$D$10+G65*模块规划!$D$11+H65*模块规划!$D$13)*(1+模块规划!$G$14*H65)+(I65*模块规划!$D$15+J65*模块规划!$D$17+K65*模块规划!$D$16+L65*模块规划!$D$18))*(1+模块规划!$J$17*J65))*F65/(1-Q65)</f>
        <v>405824.713797908</v>
      </c>
      <c r="AO65" s="1">
        <f t="shared" si="22"/>
        <v>7124613.76974082</v>
      </c>
      <c r="AP65" s="1">
        <f>IF(AO65="","",_xlfn.XLOOKUP(AO65,_曲线基线!$E$3:$E$502,_曲线基线!$A$3:$A$502,500,1))</f>
        <v>122</v>
      </c>
      <c r="AQ65" s="15">
        <f t="shared" si="25"/>
        <v>5</v>
      </c>
    </row>
    <row r="66" customHeight="1" spans="1:43">
      <c r="A66" s="1">
        <f>IFERROR(_xlfn.XLOOKUP(B66,_曲线基线!$G$3:$G$107,_曲线基线!$J$3:$J$107,""),"")</f>
        <v>27</v>
      </c>
      <c r="B66" s="1">
        <v>55</v>
      </c>
      <c r="C66" s="1">
        <f t="shared" si="63"/>
        <v>5</v>
      </c>
      <c r="D66" s="1">
        <f t="shared" si="64"/>
        <v>1</v>
      </c>
      <c r="E66" s="1">
        <f t="shared" si="0"/>
        <v>1</v>
      </c>
      <c r="F66" s="11">
        <f t="shared" si="23"/>
        <v>5</v>
      </c>
      <c r="G66" s="12">
        <f t="shared" ref="G66:L66" si="80">IF($B66&lt;G$8,0,G$3+(G$4-G$3)*(POWER(G$5,$B66-G$8)-1)/(POWER(G$5,$C$5-G$8)-1))</f>
        <v>0.509708295238631</v>
      </c>
      <c r="H66" s="12">
        <f t="shared" si="80"/>
        <v>0.396123397616745</v>
      </c>
      <c r="I66" s="12">
        <f t="shared" si="80"/>
        <v>0</v>
      </c>
      <c r="J66" s="12">
        <f t="shared" si="80"/>
        <v>0.239486375900572</v>
      </c>
      <c r="K66" s="12">
        <f t="shared" si="80"/>
        <v>0</v>
      </c>
      <c r="L66" s="12">
        <f t="shared" si="80"/>
        <v>0.389891753694638</v>
      </c>
      <c r="M66" s="2">
        <f>E66*模块规划!$F$10+G66*模块规划!$F$11+H66*模块规划!$F$13</f>
        <v>3446.59981714543</v>
      </c>
      <c r="N66" s="2">
        <f>I66*模块规划!$F$15+J66*模块规划!$F$17+K66*模块规划!$F$16+L66*模块规划!$F$18</f>
        <v>4344.32252747891</v>
      </c>
      <c r="O66" s="2">
        <f t="shared" si="2"/>
        <v>1.82880467390034</v>
      </c>
      <c r="P66" s="13">
        <f t="shared" si="3"/>
        <v>10647.4803821385</v>
      </c>
      <c r="Q66" s="7">
        <f>P66/(P66+_曲线基线!$L$2)</f>
        <v>0.30730893746685</v>
      </c>
      <c r="R66" s="2">
        <f>E66*模块规划!$E$10+G66*模块规划!$E$11+H66*模块规划!$E$13</f>
        <v>5169.89972571814</v>
      </c>
      <c r="S66" s="2">
        <f>I66*模块规划!$E$15+J66*模块规划!$E$17+K66*模块规划!$E$16+L66*模块规划!$E$18</f>
        <v>6516.48379121836</v>
      </c>
      <c r="T66" s="2">
        <f t="shared" si="4"/>
        <v>1.82880467390034</v>
      </c>
      <c r="U66" s="13">
        <f t="shared" si="5"/>
        <v>15971.2205732078</v>
      </c>
      <c r="V66" s="2">
        <f t="shared" si="6"/>
        <v>0.818837019285024</v>
      </c>
      <c r="W66" s="2">
        <f t="shared" si="7"/>
        <v>0.158449359046698</v>
      </c>
      <c r="X66" s="2">
        <f t="shared" si="8"/>
        <v>0.383933934344605</v>
      </c>
      <c r="Y66" s="2">
        <f t="shared" si="9"/>
        <v>1</v>
      </c>
      <c r="Z66" s="2">
        <f t="shared" si="10"/>
        <v>1</v>
      </c>
      <c r="AA66" s="2">
        <f t="shared" si="11"/>
        <v>1</v>
      </c>
      <c r="AB66" s="2">
        <f t="shared" si="12"/>
        <v>1</v>
      </c>
      <c r="AC66" s="2">
        <f t="shared" si="13"/>
        <v>1</v>
      </c>
      <c r="AD66" s="1">
        <f t="shared" si="14"/>
        <v>1.42258296483929</v>
      </c>
      <c r="AE66" s="2">
        <f t="shared" si="15"/>
        <v>1</v>
      </c>
      <c r="AF66" s="2">
        <f t="shared" si="16"/>
        <v>1.07314956231185</v>
      </c>
      <c r="AG66" s="2">
        <f t="shared" si="17"/>
        <v>1.12963727987489</v>
      </c>
      <c r="AH66" s="2">
        <f>MIN(1,_曲线基线!$L$3+AH$9*($H$10*H66+$I$10*I66+$J$10*J66+$K$10*K66+$L$10*L66))</f>
        <v>0.216415254259464</v>
      </c>
      <c r="AI66" s="2">
        <f>_曲线基线!$L$4+AI$9*($H$10*H66+$I$10*I66+$J$10*J66+$K$10*K66+$L$10*L66)</f>
        <v>2.46358535115136</v>
      </c>
      <c r="AJ66" s="2">
        <f t="shared" si="18"/>
        <v>1.38037772402163</v>
      </c>
      <c r="AK66" s="1">
        <f t="shared" si="19"/>
        <v>1.81760159549948</v>
      </c>
      <c r="AL66" s="1">
        <f t="shared" si="20"/>
        <v>206483.052083781</v>
      </c>
      <c r="AM66" s="14">
        <f t="shared" si="21"/>
        <v>35.9550429380078</v>
      </c>
      <c r="AN66" s="14">
        <f>(((E66*模块规划!$D$10+G66*模块规划!$D$11+H66*模块规划!$D$13)*(1+模块规划!$G$14*H66)+(I66*模块规划!$D$15+J66*模块规划!$D$17+K66*模块规划!$D$16+L66*模块规划!$D$18))*(1+模块规划!$J$17*J66))*F66/(1-Q66)</f>
        <v>419082.205674144</v>
      </c>
      <c r="AO66" s="1">
        <f t="shared" si="22"/>
        <v>7424107.00364323</v>
      </c>
      <c r="AP66" s="1">
        <f>IF(AO66="","",_xlfn.XLOOKUP(AO66,_曲线基线!$E$3:$E$502,_曲线基线!$A$3:$A$502,500,1))</f>
        <v>124</v>
      </c>
      <c r="AQ66" s="15">
        <f t="shared" si="25"/>
        <v>5</v>
      </c>
    </row>
    <row r="67" customHeight="1" spans="1:43">
      <c r="A67" s="1">
        <f>IFERROR(_xlfn.XLOOKUP(B67,_曲线基线!$G$3:$G$107,_曲线基线!$J$3:$J$107,""),"")</f>
        <v>27</v>
      </c>
      <c r="B67" s="1">
        <v>56</v>
      </c>
      <c r="C67" s="1">
        <f t="shared" si="63"/>
        <v>5</v>
      </c>
      <c r="D67" s="1">
        <f t="shared" si="64"/>
        <v>2</v>
      </c>
      <c r="E67" s="1">
        <f t="shared" si="0"/>
        <v>1</v>
      </c>
      <c r="F67" s="11">
        <f t="shared" si="23"/>
        <v>5</v>
      </c>
      <c r="G67" s="12">
        <f t="shared" ref="G67:L67" si="81">IF($B67&lt;G$8,0,G$3+(G$4-G$3)*(POWER(G$5,$B67-G$8)-1)/(POWER(G$5,$C$5-G$8)-1))</f>
        <v>0.515767861264547</v>
      </c>
      <c r="H67" s="12">
        <f t="shared" si="81"/>
        <v>0.402267471903921</v>
      </c>
      <c r="I67" s="12">
        <f t="shared" si="81"/>
        <v>0</v>
      </c>
      <c r="J67" s="12">
        <f t="shared" si="81"/>
        <v>0.246775592874285</v>
      </c>
      <c r="K67" s="12">
        <f t="shared" si="81"/>
        <v>0</v>
      </c>
      <c r="L67" s="12">
        <f t="shared" si="81"/>
        <v>0.396161825452131</v>
      </c>
      <c r="M67" s="2">
        <f>E67*模块规划!$F$10+G67*模块规划!$F$11+H67*模块规划!$F$13</f>
        <v>3475.68573406983</v>
      </c>
      <c r="N67" s="2">
        <f>I67*模块规划!$F$15+J67*模块规划!$F$17+K67*模块规划!$F$16+L67*模块规划!$F$18</f>
        <v>4448.5650560035</v>
      </c>
      <c r="O67" s="2">
        <f t="shared" si="2"/>
        <v>1.84863045578271</v>
      </c>
      <c r="P67" s="13">
        <f t="shared" si="3"/>
        <v>10873.8235587345</v>
      </c>
      <c r="Q67" s="7">
        <f>P67/(P67+_曲线基线!$L$2)</f>
        <v>0.311804742041571</v>
      </c>
      <c r="R67" s="2">
        <f>E67*模块规划!$E$10+G67*模块规划!$E$11+H67*模块规划!$E$13</f>
        <v>5213.52860110474</v>
      </c>
      <c r="S67" s="2">
        <f>I67*模块规划!$E$15+J67*模块规划!$E$17+K67*模块规划!$E$16+L67*模块规划!$E$18</f>
        <v>6672.84758400526</v>
      </c>
      <c r="T67" s="2">
        <f t="shared" si="4"/>
        <v>1.84863045578271</v>
      </c>
      <c r="U67" s="13">
        <f t="shared" si="5"/>
        <v>16310.7353381017</v>
      </c>
      <c r="V67" s="2">
        <f t="shared" si="6"/>
        <v>0.820680241571176</v>
      </c>
      <c r="W67" s="2">
        <f t="shared" si="7"/>
        <v>0.160906988761569</v>
      </c>
      <c r="X67" s="2">
        <f t="shared" si="8"/>
        <v>0.385623554773578</v>
      </c>
      <c r="Y67" s="2">
        <f t="shared" si="9"/>
        <v>1</v>
      </c>
      <c r="Z67" s="2">
        <f t="shared" si="10"/>
        <v>1</v>
      </c>
      <c r="AA67" s="2">
        <f t="shared" si="11"/>
        <v>1</v>
      </c>
      <c r="AB67" s="2">
        <f t="shared" si="12"/>
        <v>1</v>
      </c>
      <c r="AC67" s="2">
        <f t="shared" si="13"/>
        <v>1</v>
      </c>
      <c r="AD67" s="1">
        <f t="shared" si="14"/>
        <v>1.43044964151811</v>
      </c>
      <c r="AE67" s="2">
        <f t="shared" si="15"/>
        <v>1</v>
      </c>
      <c r="AF67" s="2">
        <f t="shared" si="16"/>
        <v>1.0748993681622</v>
      </c>
      <c r="AG67" s="2">
        <f t="shared" si="17"/>
        <v>1.13273832468745</v>
      </c>
      <c r="AH67" s="2">
        <f>MIN(1,_曲线基线!$L$3+AH$9*($H$10*H67+$I$10*I67+$J$10*J67+$K$10*K67+$L$10*L67))</f>
        <v>0.220396062569003</v>
      </c>
      <c r="AI67" s="2">
        <f>_曲线基线!$L$4+AI$9*($H$10*H67+$I$10*I67+$J$10*J67+$K$10*K67+$L$10*L67)</f>
        <v>2.47467474572794</v>
      </c>
      <c r="AJ67" s="2">
        <f t="shared" si="18"/>
        <v>1.38947671444343</v>
      </c>
      <c r="AK67" s="1">
        <f t="shared" si="19"/>
        <v>1.84107402555699</v>
      </c>
      <c r="AL67" s="1">
        <f t="shared" si="20"/>
        <v>214776.800891682</v>
      </c>
      <c r="AM67" s="14">
        <f t="shared" si="21"/>
        <v>35.9780180073097</v>
      </c>
      <c r="AN67" s="14">
        <f>(((E67*模块规划!$D$10+G67*模块规划!$D$11+H67*模块规划!$D$13)*(1+模块规划!$G$14*H67)+(I67*模块规划!$D$15+J67*模块规划!$D$17+K67*模块规划!$D$16+L67*模块规划!$D$18))*(1+模块规划!$J$17*J67))*F67/(1-Q67)</f>
        <v>432356.86069989</v>
      </c>
      <c r="AO67" s="1">
        <f t="shared" si="22"/>
        <v>7727243.61003331</v>
      </c>
      <c r="AP67" s="1">
        <f>IF(AO67="","",_xlfn.XLOOKUP(AO67,_曲线基线!$E$3:$E$502,_曲线基线!$A$3:$A$502,500,1))</f>
        <v>126</v>
      </c>
      <c r="AQ67" s="15">
        <f t="shared" si="25"/>
        <v>5</v>
      </c>
    </row>
    <row r="68" customHeight="1" spans="1:43">
      <c r="A68" s="1">
        <f>IFERROR(_xlfn.XLOOKUP(B68,_曲线基线!$G$3:$G$107,_曲线基线!$J$3:$J$107,""),"")</f>
        <v>28</v>
      </c>
      <c r="B68" s="1">
        <v>57</v>
      </c>
      <c r="C68" s="1">
        <f t="shared" si="63"/>
        <v>5</v>
      </c>
      <c r="D68" s="1">
        <f t="shared" si="64"/>
        <v>3</v>
      </c>
      <c r="E68" s="1">
        <f t="shared" si="0"/>
        <v>1</v>
      </c>
      <c r="F68" s="11">
        <f t="shared" si="23"/>
        <v>5</v>
      </c>
      <c r="G68" s="12">
        <f t="shared" ref="G68:L68" si="82">IF($B68&lt;G$8,0,G$3+(G$4-G$3)*(POWER(G$5,$B68-G$8)-1)/(POWER(G$5,$C$5-G$8)-1))</f>
        <v>0.521736533800075</v>
      </c>
      <c r="H68" s="12">
        <f t="shared" si="82"/>
        <v>0.408288664705354</v>
      </c>
      <c r="I68" s="12">
        <f t="shared" si="82"/>
        <v>0</v>
      </c>
      <c r="J68" s="12">
        <f t="shared" si="82"/>
        <v>0.253919025508523</v>
      </c>
      <c r="K68" s="12">
        <f t="shared" si="82"/>
        <v>0</v>
      </c>
      <c r="L68" s="12">
        <f t="shared" si="82"/>
        <v>0.402306495774474</v>
      </c>
      <c r="M68" s="2">
        <f>E68*模块规划!$F$10+G68*模块规划!$F$11+H68*模块规划!$F$13</f>
        <v>3504.33536224036</v>
      </c>
      <c r="N68" s="2">
        <f>I68*模块规划!$F$15+J68*模块规划!$F$17+K68*模块规划!$F$16+L68*模块规划!$F$18</f>
        <v>4550.7227339576</v>
      </c>
      <c r="O68" s="2">
        <f t="shared" si="2"/>
        <v>1.86805972202744</v>
      </c>
      <c r="P68" s="13">
        <f t="shared" si="3"/>
        <v>11097.0304766353</v>
      </c>
      <c r="Q68" s="7">
        <f>P68/(P68+_曲线基线!$L$2)</f>
        <v>0.316181463956694</v>
      </c>
      <c r="R68" s="2">
        <f>E68*模块规划!$E$10+G68*模块规划!$E$11+H68*模块规划!$E$13</f>
        <v>5256.50304336054</v>
      </c>
      <c r="S68" s="2">
        <f>I68*模块规划!$E$15+J68*模块规划!$E$17+K68*模块规划!$E$16+L68*模块规划!$E$18</f>
        <v>6826.0841009364</v>
      </c>
      <c r="T68" s="2">
        <f t="shared" si="4"/>
        <v>1.86805972202744</v>
      </c>
      <c r="U68" s="13">
        <f t="shared" si="5"/>
        <v>16645.5457149529</v>
      </c>
      <c r="V68" s="2">
        <f t="shared" si="6"/>
        <v>0.822486599411606</v>
      </c>
      <c r="W68" s="2">
        <f t="shared" si="7"/>
        <v>0.163315465882142</v>
      </c>
      <c r="X68" s="2">
        <f t="shared" si="8"/>
        <v>0.387279382793972</v>
      </c>
      <c r="Y68" s="2">
        <f t="shared" si="9"/>
        <v>1</v>
      </c>
      <c r="Z68" s="2">
        <f t="shared" si="10"/>
        <v>1</v>
      </c>
      <c r="AA68" s="2">
        <f t="shared" si="11"/>
        <v>1</v>
      </c>
      <c r="AB68" s="2">
        <f t="shared" si="12"/>
        <v>1</v>
      </c>
      <c r="AC68" s="2">
        <f t="shared" si="13"/>
        <v>1</v>
      </c>
      <c r="AD68" s="1">
        <f t="shared" si="14"/>
        <v>1.43817749600857</v>
      </c>
      <c r="AE68" s="2">
        <f t="shared" si="15"/>
        <v>1</v>
      </c>
      <c r="AF68" s="2">
        <f t="shared" si="16"/>
        <v>1.07661417789554</v>
      </c>
      <c r="AG68" s="2">
        <f t="shared" si="17"/>
        <v>1.13577734860376</v>
      </c>
      <c r="AH68" s="2">
        <f>MIN(1,_曲线基线!$L$3+AH$9*($H$10*H68+$I$10*I68+$J$10*J68+$K$10*K68+$L$10*L68))</f>
        <v>0.224297254712351</v>
      </c>
      <c r="AI68" s="2">
        <f>_曲线基线!$L$4+AI$9*($H$10*H68+$I$10*I68+$J$10*J68+$K$10*K68+$L$10*L68)</f>
        <v>2.48554235241298</v>
      </c>
      <c r="AJ68" s="2">
        <f t="shared" si="18"/>
        <v>1.3983937250568</v>
      </c>
      <c r="AK68" s="1">
        <f t="shared" si="19"/>
        <v>1.86434280927943</v>
      </c>
      <c r="AL68" s="1">
        <f t="shared" si="20"/>
        <v>223154.83605011</v>
      </c>
      <c r="AM68" s="14">
        <f t="shared" si="21"/>
        <v>36.0012228273047</v>
      </c>
      <c r="AN68" s="14">
        <f>(((E68*模块规划!$D$10+G68*模块规划!$D$11+H68*模块规划!$D$13)*(1+模块规划!$G$14*H68)+(I68*模块规划!$D$15+J68*模块规划!$D$17+K68*模块规划!$D$16+L68*模块规划!$D$18))*(1+模块规划!$J$17*J68))*F68/(1-Q68)</f>
        <v>445641.83979907</v>
      </c>
      <c r="AO68" s="1">
        <f t="shared" si="22"/>
        <v>8033846.97763068</v>
      </c>
      <c r="AP68" s="1">
        <f>IF(AO68="","",_xlfn.XLOOKUP(AO68,_曲线基线!$E$3:$E$502,_曲线基线!$A$3:$A$502,500,1))</f>
        <v>128</v>
      </c>
      <c r="AQ68" s="15">
        <f t="shared" si="25"/>
        <v>5</v>
      </c>
    </row>
    <row r="69" customHeight="1" spans="1:43">
      <c r="A69" s="1">
        <f>IFERROR(_xlfn.XLOOKUP(B69,_曲线基线!$G$3:$G$107,_曲线基线!$J$3:$J$107,""),"")</f>
        <v>28</v>
      </c>
      <c r="B69" s="1">
        <v>58</v>
      </c>
      <c r="C69" s="1">
        <f t="shared" si="63"/>
        <v>5</v>
      </c>
      <c r="D69" s="1">
        <f t="shared" si="64"/>
        <v>4</v>
      </c>
      <c r="E69" s="1">
        <f t="shared" si="0"/>
        <v>1</v>
      </c>
      <c r="F69" s="11">
        <f t="shared" si="23"/>
        <v>5</v>
      </c>
      <c r="G69" s="12">
        <f t="shared" ref="G69:L69" si="83">IF($B69&lt;G$8,0,G$3+(G$4-G$3)*(POWER(G$5,$B69-G$8)-1)/(POWER(G$5,$C$5-G$8)-1))</f>
        <v>0.52761567624757</v>
      </c>
      <c r="H69" s="12">
        <f t="shared" si="83"/>
        <v>0.414189433650759</v>
      </c>
      <c r="I69" s="12">
        <f t="shared" si="83"/>
        <v>0</v>
      </c>
      <c r="J69" s="12">
        <f t="shared" si="83"/>
        <v>0.260919589490076</v>
      </c>
      <c r="K69" s="12">
        <f t="shared" si="83"/>
        <v>0</v>
      </c>
      <c r="L69" s="12">
        <f t="shared" si="83"/>
        <v>0.40832827269037</v>
      </c>
      <c r="M69" s="2">
        <f>E69*模块规划!$F$10+G69*模块规划!$F$11+H69*模块规划!$F$13</f>
        <v>3532.55524598833</v>
      </c>
      <c r="N69" s="2">
        <f>I69*模块规划!$F$15+J69*模块规划!$F$17+K69*模块规划!$F$16+L69*模块规划!$F$18</f>
        <v>4650.83725835261</v>
      </c>
      <c r="O69" s="2">
        <f t="shared" si="2"/>
        <v>1.88710040294726</v>
      </c>
      <c r="P69" s="13">
        <f t="shared" si="3"/>
        <v>11317.1236864906</v>
      </c>
      <c r="Q69" s="7">
        <f>P69/(P69+_曲线基线!$L$2)</f>
        <v>0.320442960954366</v>
      </c>
      <c r="R69" s="2">
        <f>E69*模块规划!$E$10+G69*模块规划!$E$11+H69*模块规划!$E$13</f>
        <v>5298.8328689825</v>
      </c>
      <c r="S69" s="2">
        <f>I69*模块规划!$E$15+J69*模块规划!$E$17+K69*模块规划!$E$16+L69*模块规划!$E$18</f>
        <v>6976.25588752891</v>
      </c>
      <c r="T69" s="2">
        <f t="shared" si="4"/>
        <v>1.88710040294726</v>
      </c>
      <c r="U69" s="13">
        <f t="shared" si="5"/>
        <v>16975.685529736</v>
      </c>
      <c r="V69" s="2">
        <f t="shared" si="6"/>
        <v>0.824256830095228</v>
      </c>
      <c r="W69" s="2">
        <f t="shared" si="7"/>
        <v>0.165675773460303</v>
      </c>
      <c r="X69" s="2">
        <f t="shared" si="8"/>
        <v>0.388902094253959</v>
      </c>
      <c r="Y69" s="2">
        <f t="shared" si="9"/>
        <v>1</v>
      </c>
      <c r="Z69" s="2">
        <f t="shared" si="10"/>
        <v>1</v>
      </c>
      <c r="AA69" s="2">
        <f t="shared" si="11"/>
        <v>1</v>
      </c>
      <c r="AB69" s="2">
        <f t="shared" si="12"/>
        <v>1</v>
      </c>
      <c r="AC69" s="2">
        <f t="shared" si="13"/>
        <v>1</v>
      </c>
      <c r="AD69" s="1">
        <f t="shared" si="14"/>
        <v>1.44576857170517</v>
      </c>
      <c r="AE69" s="2">
        <f t="shared" si="15"/>
        <v>1</v>
      </c>
      <c r="AF69" s="2">
        <f t="shared" si="16"/>
        <v>1.07829469143421</v>
      </c>
      <c r="AG69" s="2">
        <f t="shared" si="17"/>
        <v>1.13875559204174</v>
      </c>
      <c r="AH69" s="2">
        <f>MIN(1,_曲线基线!$L$3+AH$9*($H$10*H69+$I$10*I69+$J$10*J69+$K$10*K69+$L$10*L69))</f>
        <v>0.228120423012832</v>
      </c>
      <c r="AI69" s="2">
        <f>_曲线基线!$L$4+AI$9*($H$10*H69+$I$10*I69+$J$10*J69+$K$10*K69+$L$10*L69)</f>
        <v>2.49619260696432</v>
      </c>
      <c r="AJ69" s="2">
        <f t="shared" si="18"/>
        <v>1.4071323954579</v>
      </c>
      <c r="AK69" s="1">
        <f t="shared" si="19"/>
        <v>1.88740369483438</v>
      </c>
      <c r="AL69" s="1">
        <f t="shared" si="20"/>
        <v>231611.919824202</v>
      </c>
      <c r="AM69" s="14">
        <f t="shared" si="21"/>
        <v>36.0246596954996</v>
      </c>
      <c r="AN69" s="14">
        <f>(((E69*模块规划!$D$10+G69*模块规划!$D$11+H69*模块规划!$D$13)*(1+模块规划!$G$14*H69)+(I69*模块规划!$D$15+J69*模块规划!$D$17+K69*模块规划!$D$16+L69*模块规划!$D$18))*(1+模块规划!$J$17*J69))*F69/(1-Q69)</f>
        <v>458930.518770513</v>
      </c>
      <c r="AO69" s="1">
        <f t="shared" si="22"/>
        <v>8343740.59308821</v>
      </c>
      <c r="AP69" s="1">
        <f>IF(AO69="","",_xlfn.XLOOKUP(AO69,_曲线基线!$E$3:$E$502,_曲线基线!$A$3:$A$502,500,1))</f>
        <v>130</v>
      </c>
      <c r="AQ69" s="15">
        <f t="shared" si="25"/>
        <v>5</v>
      </c>
    </row>
    <row r="70" customHeight="1" spans="1:43">
      <c r="A70" s="1">
        <f>IFERROR(_xlfn.XLOOKUP(B70,_曲线基线!$G$3:$G$107,_曲线基线!$J$3:$J$107,""),"")</f>
        <v>28</v>
      </c>
      <c r="B70" s="1">
        <v>59</v>
      </c>
      <c r="C70" s="1">
        <f t="shared" si="63"/>
        <v>5</v>
      </c>
      <c r="D70" s="1">
        <f t="shared" si="64"/>
        <v>5</v>
      </c>
      <c r="E70" s="1">
        <f t="shared" si="0"/>
        <v>1</v>
      </c>
      <c r="F70" s="11">
        <f t="shared" si="23"/>
        <v>5</v>
      </c>
      <c r="G70" s="12">
        <f t="shared" ref="G70:L70" si="84">IF($B70&lt;G$8,0,G$3+(G$4-G$3)*(POWER(G$5,$B70-G$8)-1)/(POWER(G$5,$C$5-G$8)-1))</f>
        <v>0.533406631558352</v>
      </c>
      <c r="H70" s="12">
        <f t="shared" si="84"/>
        <v>0.419972187217255</v>
      </c>
      <c r="I70" s="12">
        <f t="shared" si="84"/>
        <v>0</v>
      </c>
      <c r="J70" s="12">
        <f t="shared" si="84"/>
        <v>0.267780142191999</v>
      </c>
      <c r="K70" s="12">
        <f t="shared" si="84"/>
        <v>0</v>
      </c>
      <c r="L70" s="12">
        <f t="shared" si="84"/>
        <v>0.414229614067948</v>
      </c>
      <c r="M70" s="2">
        <f>E70*模块规划!$F$10+G70*模块规划!$F$11+H70*模块规划!$F$13</f>
        <v>3560.35183148009</v>
      </c>
      <c r="N70" s="2">
        <f>I70*模块规划!$F$15+J70*模块规划!$F$17+K70*模块规划!$F$16+L70*模块规划!$F$18</f>
        <v>4748.94949225973</v>
      </c>
      <c r="O70" s="2">
        <f t="shared" si="2"/>
        <v>1.90576027024869</v>
      </c>
      <c r="P70" s="13">
        <f t="shared" si="3"/>
        <v>11534.1265608016</v>
      </c>
      <c r="Q70" s="7">
        <f>P70/(P70+_曲线基线!$L$2)</f>
        <v>0.324592938595687</v>
      </c>
      <c r="R70" s="2">
        <f>E70*模块规划!$E$10+G70*模块规划!$E$11+H70*模块规划!$E$13</f>
        <v>5340.52774722013</v>
      </c>
      <c r="S70" s="2">
        <f>I70*模块规划!$E$15+J70*模块规划!$E$17+K70*模块规划!$E$16+L70*模块规划!$E$18</f>
        <v>7123.4242383896</v>
      </c>
      <c r="T70" s="2">
        <f t="shared" si="4"/>
        <v>1.90576027024869</v>
      </c>
      <c r="U70" s="13">
        <f t="shared" si="5"/>
        <v>17301.1898412025</v>
      </c>
      <c r="V70" s="2">
        <f t="shared" si="6"/>
        <v>0.825991656165176</v>
      </c>
      <c r="W70" s="2">
        <f t="shared" si="7"/>
        <v>0.167988874886902</v>
      </c>
      <c r="X70" s="2">
        <f t="shared" si="8"/>
        <v>0.390492351484745</v>
      </c>
      <c r="Y70" s="2">
        <f t="shared" si="9"/>
        <v>1</v>
      </c>
      <c r="Z70" s="2">
        <f t="shared" si="10"/>
        <v>1</v>
      </c>
      <c r="AA70" s="2">
        <f t="shared" si="11"/>
        <v>1</v>
      </c>
      <c r="AB70" s="2">
        <f t="shared" si="12"/>
        <v>1</v>
      </c>
      <c r="AC70" s="2">
        <f t="shared" si="13"/>
        <v>1</v>
      </c>
      <c r="AD70" s="1">
        <f t="shared" si="14"/>
        <v>1.45322490016326</v>
      </c>
      <c r="AE70" s="2">
        <f t="shared" si="15"/>
        <v>1</v>
      </c>
      <c r="AF70" s="2">
        <f t="shared" si="16"/>
        <v>1.07994159470211</v>
      </c>
      <c r="AG70" s="2">
        <f t="shared" si="17"/>
        <v>1.14167427061097</v>
      </c>
      <c r="AH70" s="2">
        <f>MIN(1,_曲线基线!$L$3+AH$9*($H$10*H70+$I$10*I70+$J$10*J70+$K$10*K70+$L$10*L70))</f>
        <v>0.231867127947303</v>
      </c>
      <c r="AI70" s="2">
        <f>_曲线基线!$L$4+AI$9*($H$10*H70+$I$10*I70+$J$10*J70+$K$10*K70+$L$10*L70)</f>
        <v>2.50662985642463</v>
      </c>
      <c r="AJ70" s="2">
        <f t="shared" si="18"/>
        <v>1.41569629245098</v>
      </c>
      <c r="AK70" s="1">
        <f t="shared" si="19"/>
        <v>1.91025271564954</v>
      </c>
      <c r="AL70" s="1">
        <f t="shared" si="20"/>
        <v>240142.834392224</v>
      </c>
      <c r="AM70" s="14">
        <f t="shared" si="21"/>
        <v>36.0483309323765</v>
      </c>
      <c r="AN70" s="14">
        <f>(((E70*模块规划!$D$10+G70*模块规划!$D$11+H70*模块规划!$D$13)*(1+模块规划!$G$14*H70)+(I70*模块规划!$D$15+J70*模块规划!$D$17+K70*模块规划!$D$16+L70*模块规划!$D$18))*(1+模块规划!$J$17*J70))*F70/(1-Q70)</f>
        <v>472216.487938282</v>
      </c>
      <c r="AO70" s="1">
        <f t="shared" si="22"/>
        <v>8656748.36520977</v>
      </c>
      <c r="AP70" s="1">
        <f>IF(AO70="","",_xlfn.XLOOKUP(AO70,_曲线基线!$E$3:$E$502,_曲线基线!$A$3:$A$502,500,1))</f>
        <v>132</v>
      </c>
      <c r="AQ70" s="15">
        <f t="shared" si="25"/>
        <v>5</v>
      </c>
    </row>
    <row r="71" customHeight="1" spans="1:43">
      <c r="A71" s="1">
        <f>IFERROR(_xlfn.XLOOKUP(B71,_曲线基线!$G$3:$G$107,_曲线基线!$J$3:$J$107,""),"")</f>
        <v>29</v>
      </c>
      <c r="B71" s="1">
        <v>60</v>
      </c>
      <c r="C71" s="1">
        <f t="shared" si="63"/>
        <v>5</v>
      </c>
      <c r="D71" s="1">
        <f t="shared" si="64"/>
        <v>6</v>
      </c>
      <c r="E71" s="1">
        <f t="shared" si="0"/>
        <v>1</v>
      </c>
      <c r="F71" s="11">
        <f t="shared" si="23"/>
        <v>5</v>
      </c>
      <c r="G71" s="12">
        <f t="shared" ref="G71:L71" si="85">IF($B71&lt;G$8,0,G$3+(G$4-G$3)*(POWER(G$5,$B71-G$8)-1)/(POWER(G$5,$C$5-G$8)-1))</f>
        <v>0.539110722539472</v>
      </c>
      <c r="H71" s="12">
        <f t="shared" si="85"/>
        <v>0.425639285712421</v>
      </c>
      <c r="I71" s="12">
        <f t="shared" si="85"/>
        <v>0</v>
      </c>
      <c r="J71" s="12">
        <f t="shared" si="85"/>
        <v>0.274503483839883</v>
      </c>
      <c r="K71" s="12">
        <f t="shared" si="85"/>
        <v>0</v>
      </c>
      <c r="L71" s="12">
        <f t="shared" si="85"/>
        <v>0.420012928617975</v>
      </c>
      <c r="M71" s="2">
        <f>E71*模块规划!$F$10+G71*模块规划!$F$11+H71*模块规划!$F$13</f>
        <v>3587.73146818947</v>
      </c>
      <c r="N71" s="2">
        <f>I71*模块规划!$F$15+J71*模块规划!$F$17+K71*模块规划!$F$16+L71*模块规划!$F$18</f>
        <v>4845.09948148871</v>
      </c>
      <c r="O71" s="2">
        <f t="shared" si="2"/>
        <v>1.9240469402041</v>
      </c>
      <c r="P71" s="13">
        <f t="shared" si="3"/>
        <v>11748.0632351326</v>
      </c>
      <c r="Q71" s="7">
        <f>P71/(P71+_曲线基线!$L$2)</f>
        <v>0.328634957308311</v>
      </c>
      <c r="R71" s="2">
        <f>E71*模块规划!$E$10+G71*模块规划!$E$11+H71*模块规划!$E$13</f>
        <v>5381.5972022842</v>
      </c>
      <c r="S71" s="2">
        <f>I71*模块规划!$E$15+J71*模块规划!$E$17+K71*模块规划!$E$16+L71*模块规划!$E$18</f>
        <v>7267.64922223306</v>
      </c>
      <c r="T71" s="2">
        <f t="shared" si="4"/>
        <v>1.9240469402041</v>
      </c>
      <c r="U71" s="13">
        <f t="shared" si="5"/>
        <v>17622.0948526989</v>
      </c>
      <c r="V71" s="2">
        <f t="shared" si="6"/>
        <v>0.827691785713726</v>
      </c>
      <c r="W71" s="2">
        <f t="shared" si="7"/>
        <v>0.170255714284968</v>
      </c>
      <c r="X71" s="2">
        <f t="shared" si="8"/>
        <v>0.392050803570916</v>
      </c>
      <c r="Y71" s="2">
        <f t="shared" si="9"/>
        <v>1</v>
      </c>
      <c r="Z71" s="2">
        <f t="shared" si="10"/>
        <v>1</v>
      </c>
      <c r="AA71" s="2">
        <f t="shared" si="11"/>
        <v>1</v>
      </c>
      <c r="AB71" s="2">
        <f t="shared" si="12"/>
        <v>1</v>
      </c>
      <c r="AC71" s="2">
        <f t="shared" si="13"/>
        <v>1</v>
      </c>
      <c r="AD71" s="1">
        <f t="shared" si="14"/>
        <v>1.4605485001863</v>
      </c>
      <c r="AE71" s="2">
        <f t="shared" si="15"/>
        <v>1</v>
      </c>
      <c r="AF71" s="2">
        <f t="shared" si="16"/>
        <v>1.08155555990465</v>
      </c>
      <c r="AG71" s="2">
        <f t="shared" si="17"/>
        <v>1.1445345756088</v>
      </c>
      <c r="AH71" s="2">
        <f>MIN(1,_曲线基线!$L$3+AH$9*($H$10*H71+$I$10*I71+$J$10*J71+$K$10*K71+$L$10*L71))</f>
        <v>0.235538898783086</v>
      </c>
      <c r="AI71" s="2">
        <f>_曲线基线!$L$4+AI$9*($H$10*H71+$I$10*I71+$J$10*J71+$K$10*K71+$L$10*L71)</f>
        <v>2.51685836089574</v>
      </c>
      <c r="AJ71" s="2">
        <f t="shared" si="18"/>
        <v>1.4240889115042</v>
      </c>
      <c r="AK71" s="1">
        <f t="shared" si="19"/>
        <v>1.93288618439052</v>
      </c>
      <c r="AL71" s="1">
        <f t="shared" si="20"/>
        <v>248742.39057542</v>
      </c>
      <c r="AM71" s="14">
        <f t="shared" si="21"/>
        <v>36.0722388816221</v>
      </c>
      <c r="AN71" s="14">
        <f>(((E71*模块规划!$D$10+G71*模块规划!$D$11+H71*模块规划!$D$13)*(1+模块规划!$G$14*H71)+(I71*模块规划!$D$15+J71*模块规划!$D$17+K71*模块规划!$D$16+L71*模块规划!$D$18))*(1+模块规划!$J$17*J71))*F71/(1-Q71)</f>
        <v>485493.551404958</v>
      </c>
      <c r="AO71" s="1">
        <f t="shared" si="22"/>
        <v>8972694.93282231</v>
      </c>
      <c r="AP71" s="1">
        <f>IF(AO71="","",_xlfn.XLOOKUP(AO71,_曲线基线!$E$3:$E$502,_曲线基线!$A$3:$A$502,500,1))</f>
        <v>134</v>
      </c>
      <c r="AQ71" s="15">
        <f t="shared" si="25"/>
        <v>5</v>
      </c>
    </row>
    <row r="72" customHeight="1" spans="1:43">
      <c r="A72" s="1">
        <f>IFERROR(_xlfn.XLOOKUP(B72,_曲线基线!$G$3:$G$107,_曲线基线!$J$3:$J$107,""),"")</f>
        <v>29</v>
      </c>
      <c r="B72" s="1">
        <v>61</v>
      </c>
      <c r="C72" s="1">
        <f t="shared" si="63"/>
        <v>5</v>
      </c>
      <c r="D72" s="1">
        <f t="shared" si="64"/>
        <v>7</v>
      </c>
      <c r="E72" s="1">
        <f t="shared" si="0"/>
        <v>1</v>
      </c>
      <c r="F72" s="11">
        <f t="shared" si="23"/>
        <v>5</v>
      </c>
      <c r="G72" s="12">
        <f t="shared" ref="G72:L72" si="86">IF($B72&lt;G$8,0,G$3+(G$4-G$3)*(POWER(G$5,$B72-G$8)-1)/(POWER(G$5,$C$5-G$8)-1))</f>
        <v>0.544729252155876</v>
      </c>
      <c r="H72" s="12">
        <f t="shared" si="86"/>
        <v>0.431193042237684</v>
      </c>
      <c r="I72" s="12">
        <f t="shared" si="86"/>
        <v>0</v>
      </c>
      <c r="J72" s="12">
        <f t="shared" si="86"/>
        <v>0.281092358654809</v>
      </c>
      <c r="K72" s="12">
        <f t="shared" si="86"/>
        <v>0</v>
      </c>
      <c r="L72" s="12">
        <f t="shared" si="86"/>
        <v>0.425680576877001</v>
      </c>
      <c r="M72" s="2">
        <f>E72*模块规划!$F$10+G72*模块规划!$F$11+H72*模块规划!$F$13</f>
        <v>3614.70041034821</v>
      </c>
      <c r="N72" s="2">
        <f>I72*模块规划!$F$15+J72*模块规划!$F$17+K72*模块规划!$F$16+L72*模块规划!$F$18</f>
        <v>4939.3264709331</v>
      </c>
      <c r="O72" s="2">
        <f t="shared" si="2"/>
        <v>1.94196787676039</v>
      </c>
      <c r="P72" s="13">
        <f t="shared" si="3"/>
        <v>11958.9585519419</v>
      </c>
      <c r="Q72" s="7">
        <f>P72/(P72+_曲线基线!$L$2)</f>
        <v>0.332572439067374</v>
      </c>
      <c r="R72" s="2">
        <f>E72*模块规划!$E$10+G72*模块规划!$E$11+H72*模块规划!$E$13</f>
        <v>5422.05061552231</v>
      </c>
      <c r="S72" s="2">
        <f>I72*模块规划!$E$15+J72*模块规划!$E$17+K72*模块规划!$E$16+L72*模块规划!$E$18</f>
        <v>7408.98970639964</v>
      </c>
      <c r="T72" s="2">
        <f t="shared" si="4"/>
        <v>1.94196787676039</v>
      </c>
      <c r="U72" s="13">
        <f t="shared" si="5"/>
        <v>17938.4378279129</v>
      </c>
      <c r="V72" s="2">
        <f t="shared" si="6"/>
        <v>0.829357912671305</v>
      </c>
      <c r="W72" s="2">
        <f t="shared" si="7"/>
        <v>0.172477216895074</v>
      </c>
      <c r="X72" s="2">
        <f t="shared" si="8"/>
        <v>0.393578086615363</v>
      </c>
      <c r="Y72" s="2">
        <f t="shared" si="9"/>
        <v>1</v>
      </c>
      <c r="Z72" s="2">
        <f t="shared" si="10"/>
        <v>1</v>
      </c>
      <c r="AA72" s="2">
        <f t="shared" si="11"/>
        <v>1</v>
      </c>
      <c r="AB72" s="2">
        <f t="shared" si="12"/>
        <v>1</v>
      </c>
      <c r="AC72" s="2">
        <f t="shared" si="13"/>
        <v>1</v>
      </c>
      <c r="AD72" s="1">
        <f t="shared" si="14"/>
        <v>1.46774137697689</v>
      </c>
      <c r="AE72" s="2">
        <f t="shared" si="15"/>
        <v>1</v>
      </c>
      <c r="AF72" s="2">
        <f t="shared" si="16"/>
        <v>1.08313724580314</v>
      </c>
      <c r="AG72" s="2">
        <f t="shared" si="17"/>
        <v>1.14733767450668</v>
      </c>
      <c r="AH72" s="2">
        <f>MIN(1,_曲线基线!$L$3+AH$9*($H$10*H72+$I$10*I72+$J$10*J72+$K$10*K72+$L$10*L72))</f>
        <v>0.239137234202152</v>
      </c>
      <c r="AI72" s="2">
        <f>_曲线基线!$L$4+AI$9*($H$10*H72+$I$10*I72+$J$10*J72+$K$10*K72+$L$10*L72)</f>
        <v>2.52688229527742</v>
      </c>
      <c r="AJ72" s="2">
        <f t="shared" si="18"/>
        <v>1.43231367817635</v>
      </c>
      <c r="AK72" s="1">
        <f t="shared" si="19"/>
        <v>1.95530068662416</v>
      </c>
      <c r="AL72" s="1">
        <f t="shared" si="20"/>
        <v>257405.436081674</v>
      </c>
      <c r="AM72" s="14">
        <f t="shared" si="21"/>
        <v>36.0963859103602</v>
      </c>
      <c r="AN72" s="14">
        <f>(((E72*模块规划!$D$10+G72*模块规划!$D$11+H72*模块规划!$D$13)*(1+模块规划!$G$14*H72)+(I72*模块规划!$D$15+J72*模块规划!$D$17+K72*模块规划!$D$16+L72*模块规划!$D$18))*(1+模块规划!$J$17*J72))*F72/(1-Q72)</f>
        <v>498755.725937324</v>
      </c>
      <c r="AO72" s="1">
        <f t="shared" si="22"/>
        <v>9291405.95622865</v>
      </c>
      <c r="AP72" s="1">
        <f>IF(AO72="","",_xlfn.XLOOKUP(AO72,_曲线基线!$E$3:$E$502,_曲线基线!$A$3:$A$502,500,1))</f>
        <v>135</v>
      </c>
      <c r="AQ72" s="15">
        <f t="shared" si="25"/>
        <v>5</v>
      </c>
    </row>
    <row r="73" customHeight="1" spans="1:43">
      <c r="A73" s="1">
        <f>IFERROR(_xlfn.XLOOKUP(B73,_曲线基线!$G$3:$G$107,_曲线基线!$J$3:$J$107,""),"")</f>
        <v>29</v>
      </c>
      <c r="B73" s="1">
        <v>62</v>
      </c>
      <c r="C73" s="1">
        <f t="shared" si="63"/>
        <v>5</v>
      </c>
      <c r="D73" s="1">
        <f t="shared" si="64"/>
        <v>8</v>
      </c>
      <c r="E73" s="1">
        <f t="shared" si="0"/>
        <v>1</v>
      </c>
      <c r="F73" s="11">
        <f t="shared" si="23"/>
        <v>5</v>
      </c>
      <c r="G73" s="12">
        <f t="shared" ref="G73:L73" si="87">IF($B73&lt;G$8,0,G$3+(G$4-G$3)*(POWER(G$5,$B73-G$8)-1)/(POWER(G$5,$C$5-G$8)-1))</f>
        <v>0.550263503828034</v>
      </c>
      <c r="H73" s="12">
        <f t="shared" si="87"/>
        <v>0.436635723632442</v>
      </c>
      <c r="I73" s="12">
        <f t="shared" si="87"/>
        <v>0</v>
      </c>
      <c r="J73" s="12">
        <f t="shared" si="87"/>
        <v>0.287549455973437</v>
      </c>
      <c r="K73" s="12">
        <f t="shared" si="87"/>
        <v>0</v>
      </c>
      <c r="L73" s="12">
        <f t="shared" si="87"/>
        <v>0.431234872170847</v>
      </c>
      <c r="M73" s="2">
        <f>E73*模块规划!$F$10+G73*模块规划!$F$11+H73*模块规划!$F$13</f>
        <v>3641.26481837456</v>
      </c>
      <c r="N73" s="2">
        <f>I73*模块规划!$F$15+J73*模块规划!$F$17+K73*模块规划!$F$16+L73*模块规划!$F$18</f>
        <v>5031.66892058861</v>
      </c>
      <c r="O73" s="2">
        <f t="shared" si="2"/>
        <v>1.95953039458556</v>
      </c>
      <c r="P73" s="13">
        <f t="shared" si="3"/>
        <v>12166.8380069286</v>
      </c>
      <c r="Q73" s="7">
        <f>P73/(P73+_曲线基线!$L$2)</f>
        <v>0.336408673730277</v>
      </c>
      <c r="R73" s="2">
        <f>E73*模块规划!$E$10+G73*模块规划!$E$11+H73*模块规划!$E$13</f>
        <v>5461.89722756184</v>
      </c>
      <c r="S73" s="2">
        <f>I73*模块规划!$E$15+J73*模块规划!$E$17+K73*模块规划!$E$16+L73*模块规划!$E$18</f>
        <v>7547.50338088291</v>
      </c>
      <c r="T73" s="2">
        <f t="shared" si="4"/>
        <v>1.95953039458556</v>
      </c>
      <c r="U73" s="13">
        <f t="shared" si="5"/>
        <v>18250.2570103929</v>
      </c>
      <c r="V73" s="2">
        <f t="shared" si="6"/>
        <v>0.830990717089732</v>
      </c>
      <c r="W73" s="2">
        <f t="shared" si="7"/>
        <v>0.174654289452977</v>
      </c>
      <c r="X73" s="2">
        <f t="shared" si="8"/>
        <v>0.395074823998921</v>
      </c>
      <c r="Y73" s="2">
        <f t="shared" si="9"/>
        <v>1</v>
      </c>
      <c r="Z73" s="2">
        <f t="shared" si="10"/>
        <v>1</v>
      </c>
      <c r="AA73" s="2">
        <f t="shared" si="11"/>
        <v>1</v>
      </c>
      <c r="AB73" s="2">
        <f t="shared" si="12"/>
        <v>1</v>
      </c>
      <c r="AC73" s="2">
        <f t="shared" si="13"/>
        <v>1</v>
      </c>
      <c r="AD73" s="1">
        <f t="shared" si="14"/>
        <v>1.47480552134846</v>
      </c>
      <c r="AE73" s="2">
        <f t="shared" si="15"/>
        <v>1</v>
      </c>
      <c r="AF73" s="2">
        <f t="shared" si="16"/>
        <v>1.08468729798366</v>
      </c>
      <c r="AG73" s="2">
        <f t="shared" si="17"/>
        <v>1.15008471142661</v>
      </c>
      <c r="AH73" s="2">
        <f>MIN(1,_曲线基线!$L$3+AH$9*($H$10*H73+$I$10*I73+$J$10*J73+$K$10*K73+$L$10*L73))</f>
        <v>0.242663602912837</v>
      </c>
      <c r="AI73" s="2">
        <f>_曲线基线!$L$4+AI$9*($H$10*H73+$I$10*I73+$J$10*J73+$K$10*K73+$L$10*L73)</f>
        <v>2.53670575097147</v>
      </c>
      <c r="AJ73" s="2">
        <f t="shared" si="18"/>
        <v>1.44037394951506</v>
      </c>
      <c r="AK73" s="1">
        <f t="shared" si="19"/>
        <v>1.97749307421691</v>
      </c>
      <c r="AL73" s="1">
        <f t="shared" si="20"/>
        <v>266126.863264165</v>
      </c>
      <c r="AM73" s="14">
        <f t="shared" si="21"/>
        <v>36.1207744093856</v>
      </c>
      <c r="AN73" s="14">
        <f>(((E73*模块规划!$D$10+G73*模块规划!$D$11+H73*模块规划!$D$13)*(1+模块规划!$G$14*H73)+(I73*模块规划!$D$15+J73*模块规划!$D$17+K73*模块规划!$D$16+L73*模块规划!$D$18))*(1+模块规划!$J$17*J73))*F73/(1-Q73)</f>
        <v>511997.239512577</v>
      </c>
      <c r="AO73" s="1">
        <f t="shared" si="22"/>
        <v>9612708.39224229</v>
      </c>
      <c r="AP73" s="1">
        <f>IF(AO73="","",_xlfn.XLOOKUP(AO73,_曲线基线!$E$3:$E$502,_曲线基线!$A$3:$A$502,500,1))</f>
        <v>137</v>
      </c>
      <c r="AQ73" s="15">
        <f t="shared" si="25"/>
        <v>5</v>
      </c>
    </row>
    <row r="74" customHeight="1" spans="1:43">
      <c r="A74" s="1">
        <f>IFERROR(_xlfn.XLOOKUP(B74,_曲线基线!$G$3:$G$107,_曲线基线!$J$3:$J$107,""),"")</f>
        <v>29</v>
      </c>
      <c r="B74" s="1">
        <v>63</v>
      </c>
      <c r="C74" s="1">
        <f t="shared" si="63"/>
        <v>5</v>
      </c>
      <c r="D74" s="1">
        <f t="shared" si="64"/>
        <v>9</v>
      </c>
      <c r="E74" s="1">
        <f t="shared" si="0"/>
        <v>1</v>
      </c>
      <c r="F74" s="11">
        <f t="shared" si="23"/>
        <v>5</v>
      </c>
      <c r="G74" s="12">
        <f t="shared" ref="G74:L74" si="88">IF($B74&lt;G$8,0,G$3+(G$4-G$3)*(POWER(G$5,$B74-G$8)-1)/(POWER(G$5,$C$5-G$8)-1))</f>
        <v>0.555714741725109</v>
      </c>
      <c r="H74" s="12">
        <f t="shared" si="88"/>
        <v>0.441969551399304</v>
      </c>
      <c r="I74" s="12">
        <f t="shared" si="88"/>
        <v>0</v>
      </c>
      <c r="J74" s="12">
        <f t="shared" si="88"/>
        <v>0.293877411345692</v>
      </c>
      <c r="K74" s="12">
        <f t="shared" si="88"/>
        <v>0</v>
      </c>
      <c r="L74" s="12">
        <f t="shared" si="88"/>
        <v>0.436678081558815</v>
      </c>
      <c r="M74" s="2">
        <f>E74*模块规划!$F$10+G74*模块规划!$F$11+H74*模块规划!$F$13</f>
        <v>3667.43076028052</v>
      </c>
      <c r="N74" s="2">
        <f>I74*模块规划!$F$15+J74*模块规划!$F$17+K74*模块规划!$F$16+L74*模块规划!$F$18</f>
        <v>5122.164521251</v>
      </c>
      <c r="O74" s="2">
        <f t="shared" si="2"/>
        <v>1.97674166205422</v>
      </c>
      <c r="P74" s="13">
        <f t="shared" si="3"/>
        <v>12371.7276977967</v>
      </c>
      <c r="Q74" s="7">
        <f>P74/(P74+_曲线基线!$L$2)</f>
        <v>0.340146825044721</v>
      </c>
      <c r="R74" s="2">
        <f>E74*模块规划!$E$10+G74*模块规划!$E$11+H74*模块规划!$E$13</f>
        <v>5501.14614042079</v>
      </c>
      <c r="S74" s="2">
        <f>I74*模块规划!$E$15+J74*模块规划!$E$17+K74*模块规划!$E$16+L74*模块规划!$E$18</f>
        <v>7683.24678187649</v>
      </c>
      <c r="T74" s="2">
        <f t="shared" si="4"/>
        <v>1.97674166205422</v>
      </c>
      <c r="U74" s="13">
        <f t="shared" si="5"/>
        <v>18557.591546695</v>
      </c>
      <c r="V74" s="2">
        <f t="shared" si="6"/>
        <v>0.832590865419791</v>
      </c>
      <c r="W74" s="2">
        <f t="shared" si="7"/>
        <v>0.176787820559722</v>
      </c>
      <c r="X74" s="2">
        <f t="shared" si="8"/>
        <v>0.396541626634809</v>
      </c>
      <c r="Y74" s="2">
        <f t="shared" si="9"/>
        <v>1</v>
      </c>
      <c r="Z74" s="2">
        <f t="shared" si="10"/>
        <v>1</v>
      </c>
      <c r="AA74" s="2">
        <f t="shared" si="11"/>
        <v>1</v>
      </c>
      <c r="AB74" s="2">
        <f t="shared" si="12"/>
        <v>1</v>
      </c>
      <c r="AC74" s="2">
        <f t="shared" si="13"/>
        <v>1</v>
      </c>
      <c r="AD74" s="1">
        <f t="shared" si="14"/>
        <v>1.48174290899476</v>
      </c>
      <c r="AE74" s="2">
        <f t="shared" si="15"/>
        <v>1</v>
      </c>
      <c r="AF74" s="2">
        <f t="shared" si="16"/>
        <v>1.08620634912058</v>
      </c>
      <c r="AG74" s="2">
        <f t="shared" si="17"/>
        <v>1.15277680760813</v>
      </c>
      <c r="AH74" s="2">
        <f>MIN(1,_曲线基线!$L$3+AH$9*($H$10*H74+$I$10*I74+$J$10*J74+$K$10*K74+$L$10*L74))</f>
        <v>0.246119444249308</v>
      </c>
      <c r="AI74" s="2">
        <f>_曲线基线!$L$4+AI$9*($H$10*H74+$I$10*I74+$J$10*J74+$K$10*K74+$L$10*L74)</f>
        <v>2.54633273755164</v>
      </c>
      <c r="AJ74" s="2">
        <f t="shared" si="18"/>
        <v>1.44827301542699</v>
      </c>
      <c r="AK74" s="1">
        <f t="shared" si="19"/>
        <v>1.99946045851404</v>
      </c>
      <c r="AL74" s="1">
        <f t="shared" si="20"/>
        <v>274901.616398354</v>
      </c>
      <c r="AM74" s="14">
        <f t="shared" si="21"/>
        <v>36.1454067934014</v>
      </c>
      <c r="AN74" s="14">
        <f>(((E74*模块规划!$D$10+G74*模块规划!$D$11+H74*模块规划!$D$13)*(1+模块规划!$G$14*H74)+(I74*模块规划!$D$15+J74*模块规划!$D$17+K74*模块规划!$D$16+L74*模块规划!$D$18))*(1+模块规划!$J$17*J74))*F74/(1-Q74)</f>
        <v>525212.529552026</v>
      </c>
      <c r="AO74" s="1">
        <f t="shared" si="22"/>
        <v>9936430.7528821</v>
      </c>
      <c r="AP74" s="1">
        <f>IF(AO74="","",_xlfn.XLOOKUP(AO74,_曲线基线!$E$3:$E$502,_曲线基线!$A$3:$A$502,500,1))</f>
        <v>139</v>
      </c>
      <c r="AQ74" s="15">
        <f t="shared" si="25"/>
        <v>5</v>
      </c>
    </row>
    <row r="75" customHeight="1" spans="1:43">
      <c r="A75" s="1">
        <f>IFERROR(_xlfn.XLOOKUP(B75,_曲线基线!$G$3:$G$107,_曲线基线!$J$3:$J$107,""),"")</f>
        <v>30</v>
      </c>
      <c r="B75" s="1">
        <v>64</v>
      </c>
      <c r="C75" s="1">
        <f t="shared" si="63"/>
        <v>5</v>
      </c>
      <c r="D75" s="1">
        <f t="shared" si="64"/>
        <v>10</v>
      </c>
      <c r="E75" s="1">
        <f t="shared" si="0"/>
        <v>1</v>
      </c>
      <c r="F75" s="11">
        <f t="shared" si="23"/>
        <v>5</v>
      </c>
      <c r="G75" s="12">
        <f t="shared" ref="G75:L75" si="89">IF($B75&lt;G$8,0,G$3+(G$4-G$3)*(POWER(G$5,$B75-G$8)-1)/(POWER(G$5,$C$5-G$8)-1))</f>
        <v>0.561084211053728</v>
      </c>
      <c r="H75" s="12">
        <f t="shared" si="89"/>
        <v>0.447196702610829</v>
      </c>
      <c r="I75" s="12">
        <f t="shared" si="89"/>
        <v>0</v>
      </c>
      <c r="J75" s="12">
        <f t="shared" si="89"/>
        <v>0.300078807610502</v>
      </c>
      <c r="K75" s="12">
        <f t="shared" si="89"/>
        <v>0</v>
      </c>
      <c r="L75" s="12">
        <f t="shared" si="89"/>
        <v>0.442012426759025</v>
      </c>
      <c r="M75" s="2">
        <f>E75*模块规划!$F$10+G75*模块规划!$F$11+H75*模块规划!$F$13</f>
        <v>3693.2042130579</v>
      </c>
      <c r="N75" s="2">
        <f>I75*模块规划!$F$15+J75*模块规划!$F$17+K75*模块规划!$F$16+L75*模块规划!$F$18</f>
        <v>5210.85020990015</v>
      </c>
      <c r="O75" s="2">
        <f t="shared" si="2"/>
        <v>1.99360870417351</v>
      </c>
      <c r="P75" s="13">
        <f t="shared" si="3"/>
        <v>12573.6542753427</v>
      </c>
      <c r="Q75" s="7">
        <f>P75/(P75+_曲线基线!$L$2)</f>
        <v>0.343789936348242</v>
      </c>
      <c r="R75" s="2">
        <f>E75*模块规划!$E$10+G75*模块规划!$E$11+H75*模块规划!$E$13</f>
        <v>5539.80631958684</v>
      </c>
      <c r="S75" s="2">
        <f>I75*模块规划!$E$15+J75*模块规划!$E$17+K75*模块规划!$E$16+L75*模块规划!$E$18</f>
        <v>7816.27531485022</v>
      </c>
      <c r="T75" s="2">
        <f t="shared" si="4"/>
        <v>1.99360870417351</v>
      </c>
      <c r="U75" s="13">
        <f t="shared" si="5"/>
        <v>18860.481413014</v>
      </c>
      <c r="V75" s="2">
        <f t="shared" si="6"/>
        <v>0.834159010783249</v>
      </c>
      <c r="W75" s="2">
        <f t="shared" si="7"/>
        <v>0.178878681044332</v>
      </c>
      <c r="X75" s="2">
        <f t="shared" si="8"/>
        <v>0.397979093217978</v>
      </c>
      <c r="Y75" s="2">
        <f t="shared" si="9"/>
        <v>1</v>
      </c>
      <c r="Z75" s="2">
        <f t="shared" si="10"/>
        <v>1</v>
      </c>
      <c r="AA75" s="2">
        <f t="shared" si="11"/>
        <v>1</v>
      </c>
      <c r="AB75" s="2">
        <f t="shared" si="12"/>
        <v>1</v>
      </c>
      <c r="AC75" s="2">
        <f t="shared" si="13"/>
        <v>1</v>
      </c>
      <c r="AD75" s="1">
        <f t="shared" si="14"/>
        <v>1.48855549981428</v>
      </c>
      <c r="AE75" s="2">
        <f t="shared" si="15"/>
        <v>1</v>
      </c>
      <c r="AF75" s="2">
        <f t="shared" si="16"/>
        <v>1.08769501923475</v>
      </c>
      <c r="AG75" s="2">
        <f t="shared" si="17"/>
        <v>1.15541506186603</v>
      </c>
      <c r="AH75" s="2">
        <f>MIN(1,_曲线基线!$L$3+AH$9*($H$10*H75+$I$10*I75+$J$10*J75+$K$10*K75+$L$10*L75))</f>
        <v>0.24950616875905</v>
      </c>
      <c r="AI75" s="2">
        <f>_曲线基线!$L$4+AI$9*($H$10*H75+$I$10*I75+$J$10*J75+$K$10*K75+$L$10*L75)</f>
        <v>2.55576718440021</v>
      </c>
      <c r="AJ75" s="2">
        <f t="shared" si="18"/>
        <v>1.45601410002069</v>
      </c>
      <c r="AK75" s="1">
        <f t="shared" si="19"/>
        <v>2.02120020334126</v>
      </c>
      <c r="AL75" s="1">
        <f t="shared" si="20"/>
        <v>283724.698482438</v>
      </c>
      <c r="AM75" s="14">
        <f t="shared" si="21"/>
        <v>36.1702855012573</v>
      </c>
      <c r="AN75" s="14">
        <f>(((E75*模块规划!$D$10+G75*模块规划!$D$11+H75*模块规划!$D$13)*(1+模块规划!$G$14*H75)+(I75*模块规划!$D$15+J75*模块规划!$D$17+K75*模块规划!$D$16+L75*模块规划!$D$18))*(1+模块规划!$J$17*J75))*F75/(1-Q75)</f>
        <v>538396.240868027</v>
      </c>
      <c r="AO75" s="1">
        <f t="shared" si="22"/>
        <v>10262403.3478679</v>
      </c>
      <c r="AP75" s="1">
        <f>IF(AO75="","",_xlfn.XLOOKUP(AO75,_曲线基线!$E$3:$E$502,_曲线基线!$A$3:$A$502,500,1))</f>
        <v>140</v>
      </c>
      <c r="AQ75" s="15">
        <f t="shared" si="25"/>
        <v>5</v>
      </c>
    </row>
    <row r="76" customHeight="1" spans="1:43">
      <c r="A76" s="1">
        <f>IFERROR(_xlfn.XLOOKUP(B76,_曲线基线!$G$3:$G$107,_曲线基线!$J$3:$J$107,""),"")</f>
        <v>30</v>
      </c>
      <c r="B76" s="1">
        <v>65</v>
      </c>
      <c r="C76" s="1">
        <f t="shared" si="63"/>
        <v>5</v>
      </c>
      <c r="D76" s="1">
        <f t="shared" si="64"/>
        <v>11</v>
      </c>
      <c r="E76" s="1">
        <f t="shared" ref="E76:E139" si="90">IF($B76&lt;E$8,0,E$3+(E$4-E$3)*(POWER(E$5,$B76-E$8)-1)/(POWER(E$5,$C$5-E$8)-1))</f>
        <v>1</v>
      </c>
      <c r="F76" s="11">
        <f t="shared" si="23"/>
        <v>5</v>
      </c>
      <c r="G76" s="12">
        <f t="shared" ref="G76:L76" si="91">IF($B76&lt;G$8,0,G$3+(G$4-G$3)*(POWER(G$5,$B76-G$8)-1)/(POWER(G$5,$C$5-G$8)-1))</f>
        <v>0.566373138342418</v>
      </c>
      <c r="H76" s="12">
        <f t="shared" si="91"/>
        <v>0.452319310798124</v>
      </c>
      <c r="I76" s="12">
        <f t="shared" si="91"/>
        <v>0.0131710913430682</v>
      </c>
      <c r="J76" s="12">
        <f t="shared" si="91"/>
        <v>0.306156175950016</v>
      </c>
      <c r="K76" s="12">
        <f t="shared" si="91"/>
        <v>0</v>
      </c>
      <c r="L76" s="12">
        <f t="shared" si="91"/>
        <v>0.44724008505523</v>
      </c>
      <c r="M76" s="2">
        <f>E76*模块规划!$F$10+G76*模块规划!$F$11+H76*模块规划!$F$13</f>
        <v>3718.59106404361</v>
      </c>
      <c r="N76" s="2">
        <f>I76*模块规划!$F$15+J76*模块规划!$F$17+K76*模块规划!$F$16+L76*模块规划!$F$18</f>
        <v>5403.13091552086</v>
      </c>
      <c r="O76" s="2">
        <f t="shared" ref="O76:O139" si="92">1+O$9*SUMPRODUCT($H$10:$L$10,H76:L76)/SUM($H$10:$L$10)</f>
        <v>2.01289345941943</v>
      </c>
      <c r="P76" s="13">
        <f t="shared" ref="P76:P139" si="93">M76*O76+N76</f>
        <v>12888.2585465898</v>
      </c>
      <c r="Q76" s="7">
        <f>P76/(P76+_曲线基线!$L$2)</f>
        <v>0.349386472942656</v>
      </c>
      <c r="R76" s="2">
        <f>E76*模块规划!$E$10+G76*模块规划!$E$11+H76*模块规划!$E$13</f>
        <v>5577.88659606541</v>
      </c>
      <c r="S76" s="2">
        <f>I76*模块规划!$E$15+J76*模块规划!$E$17+K76*模块规划!$E$16+L76*模块规划!$E$18</f>
        <v>8104.69637328128</v>
      </c>
      <c r="T76" s="2">
        <f t="shared" ref="T76:T139" si="94">1+T$9*SUMPRODUCT($H$10:$L$10,H76:L76)/SUM($H$10:$L$10)</f>
        <v>2.01289345941943</v>
      </c>
      <c r="U76" s="13">
        <f t="shared" ref="U76:U139" si="95">R76*T76+S76</f>
        <v>19332.3878198847</v>
      </c>
      <c r="V76" s="2">
        <f t="shared" ref="V76:V139" si="96">V$8+(V$9-V$8)*H76</f>
        <v>0.835695793239437</v>
      </c>
      <c r="W76" s="2">
        <f t="shared" ref="W76:W139" si="97">IF(B76&lt;$H$8,0,W$8+(W$9-W$8)*H76)</f>
        <v>0.18092772431925</v>
      </c>
      <c r="X76" s="2">
        <f t="shared" ref="X76:X139" si="98">X$8+(X$9-X$8)*H76</f>
        <v>0.399387810469484</v>
      </c>
      <c r="Y76" s="2">
        <f t="shared" ref="Y76:Y139" si="99">Y$8+(Y$9-Y$8)*G76</f>
        <v>1</v>
      </c>
      <c r="Z76" s="2">
        <f t="shared" ref="Z76:Z139" si="100">Z$8+(Z$9-Z$8)*H76</f>
        <v>1</v>
      </c>
      <c r="AA76" s="2">
        <f t="shared" ref="AA76:AA139" si="101">AA$8+(AA$9-AA$8)*I76</f>
        <v>1</v>
      </c>
      <c r="AB76" s="2">
        <f t="shared" ref="AB76:AB139" si="102">AB$8+(AB$9-AB$8)*J76</f>
        <v>1</v>
      </c>
      <c r="AC76" s="2">
        <f t="shared" ref="AC76:AC139" si="103">AC$8+(AC$9-AC$8)*MAX(K76,L76)</f>
        <v>1</v>
      </c>
      <c r="AD76" s="1">
        <f t="shared" ref="AD76:AD139" si="104">(V76*AE76+W76*AF76+X76*AG76)*PRODUCT(Y76:AC76)</f>
        <v>1.49546134004568</v>
      </c>
      <c r="AE76" s="2">
        <f t="shared" ref="AE76:AE139" si="105">1+AE$9*($H$10*H76+$I$10*I76+$J$10*J76+$K$10*K76+$L$10*L76)</f>
        <v>1</v>
      </c>
      <c r="AF76" s="2">
        <f t="shared" ref="AF76:AF139" si="106">1+AF$9*($H$10*H76+$I$10*I76+$J$10*J76+$K$10*K76+$L$10*L76)</f>
        <v>1.08939707455605</v>
      </c>
      <c r="AG76" s="2">
        <f t="shared" ref="AG76:AG139" si="107">1+AG$9*($H$10*H76+$I$10*I76+$J$10*J76+$K$10*K76+$L$10*L76)</f>
        <v>1.15843148212988</v>
      </c>
      <c r="AH76" s="2">
        <f>MIN(1,_曲线基线!$L$3+AH$9*($H$10*H76+$I$10*I76+$J$10*J76+$K$10*K76+$L$10*L76))</f>
        <v>0.253378344615006</v>
      </c>
      <c r="AI76" s="2">
        <f>_曲线基线!$L$4+AI$9*($H$10*H76+$I$10*I76+$J$10*J76+$K$10*K76+$L$10*L76)</f>
        <v>2.56655395999895</v>
      </c>
      <c r="AJ76" s="2">
        <f t="shared" ref="AJ76:AJ139" si="108">1+AJ$9*($H$10*H76+$I$10*I76+$J$10*J76+$K$10*K76+$L$10*L76)</f>
        <v>1.46486478769144</v>
      </c>
      <c r="AK76" s="1">
        <f t="shared" ref="AK76:AK139" si="109">(1+AH76*(AI76-1))*AJ76</f>
        <v>2.04631481173721</v>
      </c>
      <c r="AL76" s="1">
        <f t="shared" ref="AL76:AL139" si="110">U76*AD76*AK76*F76</f>
        <v>295803.386187631</v>
      </c>
      <c r="AM76" s="14">
        <f t="shared" ref="AM76:AM139" si="111">IF($B76&lt;AM$8,0,AM$3+(AM$4-AM$3)*(POWER(AM$5,$B76-AM$8)-1)/(POWER(AM$5,$C$5-AM$8)-1))</f>
        <v>36.1954129961917</v>
      </c>
      <c r="AN76" s="14">
        <f>(((E76*模块规划!$D$10+G76*模块规划!$D$11+H76*模块规划!$D$13)*(1+模块规划!$G$14*H76)+(I76*模块规划!$D$15+J76*模块规划!$D$17+K76*模块规划!$D$16+L76*模块规划!$D$18))*(1+模块规划!$J$17*J76))*F76/(1-Q76)</f>
        <v>558813.590092966</v>
      </c>
      <c r="AO76" s="1">
        <f t="shared" ref="AO76:AO139" si="112">AL76*AM76</f>
        <v>10706725.7287333</v>
      </c>
      <c r="AP76" s="1">
        <f>IF(AO76="","",_xlfn.XLOOKUP(AO76,_曲线基线!$E$3:$E$502,_曲线基线!$A$3:$A$502,500,1))</f>
        <v>142</v>
      </c>
      <c r="AQ76" s="15">
        <f t="shared" si="25"/>
        <v>5</v>
      </c>
    </row>
    <row r="77" customHeight="1" spans="1:43">
      <c r="A77" s="1">
        <f>IFERROR(_xlfn.XLOOKUP(B77,_曲线基线!$G$3:$G$107,_曲线基线!$J$3:$J$107,""),"")</f>
        <v>30</v>
      </c>
      <c r="B77" s="1">
        <v>66</v>
      </c>
      <c r="C77" s="1">
        <f t="shared" si="63"/>
        <v>5</v>
      </c>
      <c r="D77" s="1">
        <f t="shared" si="64"/>
        <v>12</v>
      </c>
      <c r="E77" s="1">
        <f t="shared" si="90"/>
        <v>1</v>
      </c>
      <c r="F77" s="11">
        <f t="shared" ref="F77:F140" si="113">1+IF(B77&lt;3,0,MIN(1,(B77-2)/4))+IF(B77&lt;7,0,MIN(1,(B77-6)/3))+IF(B77&lt;10,0,MIN(1,(B77-9)/5))+IF(B77&lt;20,0,MIN(1,(B77-19)/10))</f>
        <v>5</v>
      </c>
      <c r="G77" s="12">
        <f t="shared" ref="G77:L77" si="114">IF($B77&lt;G$8,0,G$3+(G$4-G$3)*(POWER(G$5,$B77-G$8)-1)/(POWER(G$5,$C$5-G$8)-1))</f>
        <v>0.571582731721778</v>
      </c>
      <c r="H77" s="12">
        <f t="shared" si="114"/>
        <v>0.457339466821673</v>
      </c>
      <c r="I77" s="12">
        <f t="shared" si="114"/>
        <v>0.0260787608592751</v>
      </c>
      <c r="J77" s="12">
        <f t="shared" si="114"/>
        <v>0.312111996922739</v>
      </c>
      <c r="K77" s="12">
        <f t="shared" si="114"/>
        <v>0</v>
      </c>
      <c r="L77" s="12">
        <f t="shared" si="114"/>
        <v>0.452363190185511</v>
      </c>
      <c r="M77" s="2">
        <f>E77*模块规划!$F$10+G77*模块规划!$F$11+H77*模块规划!$F$13</f>
        <v>3743.59711226453</v>
      </c>
      <c r="N77" s="2">
        <f>I77*模块规划!$F$15+J77*模块规划!$F$17+K77*模块规划!$F$16+L77*模块规划!$F$18</f>
        <v>5591.56600702915</v>
      </c>
      <c r="O77" s="2">
        <f t="shared" si="92"/>
        <v>2.03179251956043</v>
      </c>
      <c r="P77" s="13">
        <f t="shared" si="93"/>
        <v>13197.7786159762</v>
      </c>
      <c r="Q77" s="7">
        <f>P77/(P77+_曲线基线!$L$2)</f>
        <v>0.354800181812681</v>
      </c>
      <c r="R77" s="2">
        <f>E77*模块规划!$E$10+G77*模块规划!$E$11+H77*模块规划!$E$13</f>
        <v>5615.3956683968</v>
      </c>
      <c r="S77" s="2">
        <f>I77*模块规划!$E$15+J77*模块规划!$E$17+K77*模块规划!$E$16+L77*模块规划!$E$18</f>
        <v>8387.34901054372</v>
      </c>
      <c r="T77" s="2">
        <f t="shared" si="94"/>
        <v>2.03179251956043</v>
      </c>
      <c r="U77" s="13">
        <f t="shared" si="95"/>
        <v>19796.6679239644</v>
      </c>
      <c r="V77" s="2">
        <f t="shared" si="96"/>
        <v>0.837201840046502</v>
      </c>
      <c r="W77" s="2">
        <f t="shared" si="97"/>
        <v>0.182935786728669</v>
      </c>
      <c r="X77" s="2">
        <f t="shared" si="98"/>
        <v>0.40076835337596</v>
      </c>
      <c r="Y77" s="2">
        <f t="shared" si="99"/>
        <v>1</v>
      </c>
      <c r="Z77" s="2">
        <f t="shared" si="100"/>
        <v>1</v>
      </c>
      <c r="AA77" s="2">
        <f t="shared" si="101"/>
        <v>1</v>
      </c>
      <c r="AB77" s="2">
        <f t="shared" si="102"/>
        <v>1</v>
      </c>
      <c r="AC77" s="2">
        <f t="shared" si="103"/>
        <v>1</v>
      </c>
      <c r="AD77" s="1">
        <f t="shared" si="104"/>
        <v>1.50224407609165</v>
      </c>
      <c r="AE77" s="2">
        <f t="shared" si="105"/>
        <v>1</v>
      </c>
      <c r="AF77" s="2">
        <f t="shared" si="106"/>
        <v>1.09106508877092</v>
      </c>
      <c r="AG77" s="2">
        <f t="shared" si="107"/>
        <v>1.16138757398847</v>
      </c>
      <c r="AH77" s="2">
        <f>MIN(1,_曲线基线!$L$3+AH$9*($H$10*H77+$I$10*I77+$J$10*J77+$K$10*K77+$L$10*L77))</f>
        <v>0.257173076953843</v>
      </c>
      <c r="AI77" s="2">
        <f>_曲线基线!$L$4+AI$9*($H$10*H77+$I$10*I77+$J$10*J77+$K$10*K77+$L$10*L77)</f>
        <v>2.57712500008571</v>
      </c>
      <c r="AJ77" s="2">
        <f t="shared" si="108"/>
        <v>1.47353846160878</v>
      </c>
      <c r="AK77" s="1">
        <f t="shared" si="109"/>
        <v>2.07119695157043</v>
      </c>
      <c r="AL77" s="1">
        <f t="shared" si="110"/>
        <v>307981.053911532</v>
      </c>
      <c r="AM77" s="14">
        <f t="shared" si="111"/>
        <v>36.2207917660755</v>
      </c>
      <c r="AN77" s="14">
        <f>(((E77*模块规划!$D$10+G77*模块规划!$D$11+H77*模块规划!$D$13)*(1+模块规划!$G$14*H77)+(I77*模块规划!$D$15+J77*模块规划!$D$17+K77*模块规划!$D$16+L77*模块规划!$D$18))*(1+模块规划!$J$17*J77))*F77/(1-Q77)</f>
        <v>579258.631963774</v>
      </c>
      <c r="AO77" s="1">
        <f t="shared" si="112"/>
        <v>11155317.6216261</v>
      </c>
      <c r="AP77" s="1">
        <f>IF(AO77="","",_xlfn.XLOOKUP(AO77,_曲线基线!$E$3:$E$502,_曲线基线!$A$3:$A$502,500,1))</f>
        <v>145</v>
      </c>
      <c r="AQ77" s="15">
        <f t="shared" ref="AQ77:AQ140" si="115">IF(B77&lt;=2,1,IF(B77&lt;=6,2,IF(B77&lt;=9,3,IF(B77&lt;=19,4,5))))</f>
        <v>5</v>
      </c>
    </row>
    <row r="78" customHeight="1" spans="1:43">
      <c r="A78" s="1">
        <f>IFERROR(_xlfn.XLOOKUP(B78,_曲线基线!$G$3:$G$107,_曲线基线!$J$3:$J$107,""),"")</f>
        <v>30</v>
      </c>
      <c r="B78" s="1">
        <v>67</v>
      </c>
      <c r="C78" s="1">
        <f t="shared" si="63"/>
        <v>5</v>
      </c>
      <c r="D78" s="1">
        <f t="shared" si="64"/>
        <v>13</v>
      </c>
      <c r="E78" s="1">
        <f t="shared" si="90"/>
        <v>1</v>
      </c>
      <c r="F78" s="11">
        <f t="shared" si="113"/>
        <v>5</v>
      </c>
      <c r="G78" s="12">
        <f t="shared" ref="G78:L78" si="116">IF($B78&lt;G$8,0,G$3+(G$4-G$3)*(POWER(G$5,$B78-G$8)-1)/(POWER(G$5,$C$5-G$8)-1))</f>
        <v>0.576714181200447</v>
      </c>
      <c r="H78" s="12">
        <f t="shared" si="116"/>
        <v>0.462259219724751</v>
      </c>
      <c r="I78" s="12">
        <f t="shared" si="116"/>
        <v>0.0387282769851578</v>
      </c>
      <c r="J78" s="12">
        <f t="shared" si="116"/>
        <v>0.317948701476008</v>
      </c>
      <c r="K78" s="12">
        <f t="shared" si="116"/>
        <v>0</v>
      </c>
      <c r="L78" s="12">
        <f t="shared" si="116"/>
        <v>0.457383833213187</v>
      </c>
      <c r="M78" s="2">
        <f>E78*模块规划!$F$10+G78*模块规划!$F$11+H78*模块规划!$F$13</f>
        <v>3768.22806976215</v>
      </c>
      <c r="N78" s="2">
        <f>I78*模块规划!$F$15+J78*模块规划!$F$17+K78*模块规划!$F$16+L78*模块规划!$F$18</f>
        <v>5776.23239670728</v>
      </c>
      <c r="O78" s="2">
        <f t="shared" si="92"/>
        <v>2.0503135984986</v>
      </c>
      <c r="P78" s="13">
        <f t="shared" si="93"/>
        <v>13502.2816503847</v>
      </c>
      <c r="Q78" s="7">
        <f>P78/(P78+_曲线基线!$L$2)</f>
        <v>0.360038937797435</v>
      </c>
      <c r="R78" s="2">
        <f>E78*模块规划!$E$10+G78*模块规划!$E$11+H78*模块规划!$E$13</f>
        <v>5652.34210464322</v>
      </c>
      <c r="S78" s="2">
        <f>I78*模块规划!$E$15+J78*模块规划!$E$17+K78*模块规划!$E$16+L78*模块规划!$E$18</f>
        <v>8664.34859506092</v>
      </c>
      <c r="T78" s="2">
        <f t="shared" si="94"/>
        <v>2.0503135984986</v>
      </c>
      <c r="U78" s="13">
        <f t="shared" si="95"/>
        <v>20253.4224755771</v>
      </c>
      <c r="V78" s="2">
        <f t="shared" si="96"/>
        <v>0.838677765917425</v>
      </c>
      <c r="W78" s="2">
        <f t="shared" si="97"/>
        <v>0.1849036878899</v>
      </c>
      <c r="X78" s="2">
        <f t="shared" si="98"/>
        <v>0.402121285424307</v>
      </c>
      <c r="Y78" s="2">
        <f t="shared" si="99"/>
        <v>1</v>
      </c>
      <c r="Z78" s="2">
        <f t="shared" si="100"/>
        <v>1</v>
      </c>
      <c r="AA78" s="2">
        <f t="shared" si="101"/>
        <v>1</v>
      </c>
      <c r="AB78" s="2">
        <f t="shared" si="102"/>
        <v>1</v>
      </c>
      <c r="AC78" s="2">
        <f t="shared" si="103"/>
        <v>1</v>
      </c>
      <c r="AD78" s="1">
        <f t="shared" si="104"/>
        <v>1.50890557553618</v>
      </c>
      <c r="AE78" s="2">
        <f t="shared" si="105"/>
        <v>1</v>
      </c>
      <c r="AF78" s="2">
        <f t="shared" si="106"/>
        <v>1.0926997427015</v>
      </c>
      <c r="AG78" s="2">
        <f t="shared" si="107"/>
        <v>1.16428454400988</v>
      </c>
      <c r="AH78" s="2">
        <f>MIN(1,_曲线基线!$L$3+AH$9*($H$10*H78+$I$10*I78+$J$10*J78+$K$10*K78+$L$10*L78))</f>
        <v>0.260891914645903</v>
      </c>
      <c r="AI78" s="2">
        <f>_曲线基线!$L$4+AI$9*($H$10*H78+$I$10*I78+$J$10*J78+$K$10*K78+$L$10*L78)</f>
        <v>2.58748461937073</v>
      </c>
      <c r="AJ78" s="2">
        <f t="shared" si="108"/>
        <v>1.48203866204778</v>
      </c>
      <c r="AK78" s="1">
        <f t="shared" si="109"/>
        <v>2.09584261289011</v>
      </c>
      <c r="AL78" s="1">
        <f t="shared" si="110"/>
        <v>320250.012831974</v>
      </c>
      <c r="AM78" s="14">
        <f t="shared" si="111"/>
        <v>36.2464243236581</v>
      </c>
      <c r="AN78" s="14">
        <f>(((E78*模块规划!$D$10+G78*模块规划!$D$11+H78*模块规划!$D$13)*(1+模块规划!$G$14*H78)+(I78*模块规划!$D$15+J78*模块规划!$D$17+K78*模块规划!$D$16+L78*模块规划!$D$18))*(1+模块规划!$J$17*J78))*F78/(1-Q78)</f>
        <v>599719.62744581</v>
      </c>
      <c r="AO78" s="1">
        <f t="shared" si="112"/>
        <v>11607917.8547647</v>
      </c>
      <c r="AP78" s="1">
        <f>IF(AO78="","",_xlfn.XLOOKUP(AO78,_曲线基线!$E$3:$E$502,_曲线基线!$A$3:$A$502,500,1))</f>
        <v>147</v>
      </c>
      <c r="AQ78" s="15">
        <f t="shared" si="115"/>
        <v>5</v>
      </c>
    </row>
    <row r="79" customHeight="1" spans="1:43">
      <c r="A79" s="1">
        <f>IFERROR(_xlfn.XLOOKUP(B79,_曲线基线!$G$3:$G$107,_曲线基线!$J$3:$J$107,""),"")</f>
        <v>31</v>
      </c>
      <c r="B79" s="1">
        <v>68</v>
      </c>
      <c r="C79" s="1">
        <f t="shared" si="63"/>
        <v>5</v>
      </c>
      <c r="D79" s="1">
        <f t="shared" si="64"/>
        <v>14</v>
      </c>
      <c r="E79" s="1">
        <f t="shared" si="90"/>
        <v>1</v>
      </c>
      <c r="F79" s="11">
        <f t="shared" si="113"/>
        <v>5</v>
      </c>
      <c r="G79" s="12">
        <f t="shared" ref="G79:L79" si="117">IF($B79&lt;G$8,0,G$3+(G$4-G$3)*(POWER(G$5,$B79-G$8)-1)/(POWER(G$5,$C$5-G$8)-1))</f>
        <v>0.581768658936936</v>
      </c>
      <c r="H79" s="12">
        <f t="shared" si="117"/>
        <v>0.467080577569767</v>
      </c>
      <c r="I79" s="12">
        <f t="shared" si="117"/>
        <v>0.0511248027885228</v>
      </c>
      <c r="J79" s="12">
        <f t="shared" si="117"/>
        <v>0.323668671938212</v>
      </c>
      <c r="K79" s="12">
        <f t="shared" si="117"/>
        <v>0</v>
      </c>
      <c r="L79" s="12">
        <f t="shared" si="117"/>
        <v>0.462304063380309</v>
      </c>
      <c r="M79" s="2">
        <f>E79*模块规划!$F$10+G79*模块规划!$F$11+H79*模块规划!$F$13</f>
        <v>3792.48956289729</v>
      </c>
      <c r="N79" s="2">
        <f>I79*模块规划!$F$15+J79*模块规划!$F$17+K79*模块规划!$F$16+L79*模块规划!$F$18</f>
        <v>5957.20545859185</v>
      </c>
      <c r="O79" s="2">
        <f t="shared" si="92"/>
        <v>2.06846425585802</v>
      </c>
      <c r="P79" s="13">
        <f t="shared" si="93"/>
        <v>13801.8345601595</v>
      </c>
      <c r="Q79" s="7">
        <f>P79/(P79+_曲线基线!$L$2)</f>
        <v>0.365110178401386</v>
      </c>
      <c r="R79" s="2">
        <f>E79*模块规划!$E$10+G79*模块规划!$E$11+H79*模块规划!$E$13</f>
        <v>5688.73434434594</v>
      </c>
      <c r="S79" s="2">
        <f>I79*模块规划!$E$15+J79*模块规划!$E$17+K79*模块规划!$E$16+L79*模块规划!$E$18</f>
        <v>8935.80818788777</v>
      </c>
      <c r="T79" s="2">
        <f t="shared" si="94"/>
        <v>2.06846425585802</v>
      </c>
      <c r="U79" s="13">
        <f t="shared" si="95"/>
        <v>20702.7518402393</v>
      </c>
      <c r="V79" s="2">
        <f t="shared" si="96"/>
        <v>0.84012417327093</v>
      </c>
      <c r="W79" s="2">
        <f t="shared" si="97"/>
        <v>0.186832231027907</v>
      </c>
      <c r="X79" s="2">
        <f t="shared" si="98"/>
        <v>0.403447158831686</v>
      </c>
      <c r="Y79" s="2">
        <f t="shared" si="99"/>
        <v>1</v>
      </c>
      <c r="Z79" s="2">
        <f t="shared" si="100"/>
        <v>1</v>
      </c>
      <c r="AA79" s="2">
        <f t="shared" si="101"/>
        <v>1</v>
      </c>
      <c r="AB79" s="2">
        <f t="shared" si="102"/>
        <v>1</v>
      </c>
      <c r="AC79" s="2">
        <f t="shared" si="103"/>
        <v>1</v>
      </c>
      <c r="AD79" s="1">
        <f t="shared" si="104"/>
        <v>1.51544769215376</v>
      </c>
      <c r="AE79" s="2">
        <f t="shared" si="105"/>
        <v>1</v>
      </c>
      <c r="AF79" s="2">
        <f t="shared" si="106"/>
        <v>1.09430170355346</v>
      </c>
      <c r="AG79" s="2">
        <f t="shared" si="107"/>
        <v>1.16712357463086</v>
      </c>
      <c r="AH79" s="2">
        <f>MIN(1,_曲线基线!$L$3+AH$9*($H$10*H79+$I$10*I79+$J$10*J79+$K$10*K79+$L$10*L79))</f>
        <v>0.264536375584122</v>
      </c>
      <c r="AI79" s="2">
        <f>_曲线基线!$L$4+AI$9*($H$10*H79+$I$10*I79+$J$10*J79+$K$10*K79+$L$10*L79)</f>
        <v>2.59763704627006</v>
      </c>
      <c r="AJ79" s="2">
        <f t="shared" si="108"/>
        <v>1.49036885847799</v>
      </c>
      <c r="AK79" s="1">
        <f t="shared" si="109"/>
        <v>2.12024808972668</v>
      </c>
      <c r="AL79" s="1">
        <f t="shared" si="110"/>
        <v>332602.655231633</v>
      </c>
      <c r="AM79" s="14">
        <f t="shared" si="111"/>
        <v>36.2723132068165</v>
      </c>
      <c r="AN79" s="14">
        <f>(((E79*模块规划!$D$10+G79*模块规划!$D$11+H79*模块规划!$D$13)*(1+模块规划!$G$14*H79)+(I79*模块规划!$D$15+J79*模块规划!$D$17+K79*模块规划!$D$16+L79*模块规划!$D$18))*(1+模块规划!$J$17*J79))*F79/(1-Q79)</f>
        <v>620185.254330561</v>
      </c>
      <c r="AO79" s="1">
        <f t="shared" si="112"/>
        <v>12064267.6839806</v>
      </c>
      <c r="AP79" s="1">
        <f>IF(AO79="","",_xlfn.XLOOKUP(AO79,_曲线基线!$E$3:$E$502,_曲线基线!$A$3:$A$502,500,1))</f>
        <v>149</v>
      </c>
      <c r="AQ79" s="15">
        <f t="shared" si="115"/>
        <v>5</v>
      </c>
    </row>
    <row r="80" customHeight="1" spans="1:43">
      <c r="A80" s="1">
        <f>IFERROR(_xlfn.XLOOKUP(B80,_曲线基线!$G$3:$G$107,_曲线基线!$J$3:$J$107,""),"")</f>
        <v>31</v>
      </c>
      <c r="B80" s="1">
        <v>69</v>
      </c>
      <c r="C80" s="1">
        <f t="shared" si="63"/>
        <v>5</v>
      </c>
      <c r="D80" s="1">
        <f t="shared" si="64"/>
        <v>15</v>
      </c>
      <c r="E80" s="1">
        <f t="shared" si="90"/>
        <v>1</v>
      </c>
      <c r="F80" s="11">
        <f t="shared" si="113"/>
        <v>5</v>
      </c>
      <c r="G80" s="12">
        <f t="shared" ref="G80:L80" si="118">IF($B80&lt;G$8,0,G$3+(G$4-G$3)*(POWER(G$5,$B80-G$8)-1)/(POWER(G$5,$C$5-G$8)-1))</f>
        <v>0.586747319507378</v>
      </c>
      <c r="H80" s="12">
        <f t="shared" si="118"/>
        <v>0.471805508257883</v>
      </c>
      <c r="I80" s="12">
        <f t="shared" si="118"/>
        <v>0.0632733980758205</v>
      </c>
      <c r="J80" s="12">
        <f t="shared" si="118"/>
        <v>0.329274242991172</v>
      </c>
      <c r="K80" s="12">
        <f t="shared" si="118"/>
        <v>0</v>
      </c>
      <c r="L80" s="12">
        <f t="shared" si="118"/>
        <v>0.467125888944088</v>
      </c>
      <c r="M80" s="2">
        <f>E80*模块规划!$F$10+G80*模块规划!$F$11+H80*模块规划!$F$13</f>
        <v>3816.38713363541</v>
      </c>
      <c r="N80" s="2">
        <f>I80*模块规划!$F$15+J80*模块规划!$F$17+K80*模块规划!$F$16+L80*模块规划!$F$18</f>
        <v>6134.55905923872</v>
      </c>
      <c r="O80" s="2">
        <f t="shared" si="92"/>
        <v>2.08625190007024</v>
      </c>
      <c r="P80" s="13">
        <f t="shared" si="93"/>
        <v>14096.5039681892</v>
      </c>
      <c r="Q80" s="7">
        <f>P80/(P80+_曲线基线!$L$2)</f>
        <v>0.37002093367832</v>
      </c>
      <c r="R80" s="2">
        <f>E80*模块规划!$E$10+G80*模块规划!$E$11+H80*模块规划!$E$13</f>
        <v>5724.58070045312</v>
      </c>
      <c r="S80" s="2">
        <f>I80*模块规划!$E$15+J80*模块规划!$E$17+K80*模块规划!$E$16+L80*模块规划!$E$18</f>
        <v>9201.83858885809</v>
      </c>
      <c r="T80" s="2">
        <f t="shared" si="94"/>
        <v>2.08625190007024</v>
      </c>
      <c r="U80" s="13">
        <f t="shared" si="95"/>
        <v>21144.7559522838</v>
      </c>
      <c r="V80" s="2">
        <f t="shared" si="96"/>
        <v>0.841541652477365</v>
      </c>
      <c r="W80" s="2">
        <f t="shared" si="97"/>
        <v>0.188722203303153</v>
      </c>
      <c r="X80" s="2">
        <f t="shared" si="98"/>
        <v>0.404746514770918</v>
      </c>
      <c r="Y80" s="2">
        <f t="shared" si="99"/>
        <v>1</v>
      </c>
      <c r="Z80" s="2">
        <f t="shared" si="100"/>
        <v>1</v>
      </c>
      <c r="AA80" s="2">
        <f t="shared" si="101"/>
        <v>1</v>
      </c>
      <c r="AB80" s="2">
        <f t="shared" si="102"/>
        <v>1</v>
      </c>
      <c r="AC80" s="2">
        <f t="shared" si="103"/>
        <v>1</v>
      </c>
      <c r="AD80" s="1">
        <f t="shared" si="104"/>
        <v>1.52187226525333</v>
      </c>
      <c r="AE80" s="2">
        <f t="shared" si="105"/>
        <v>1</v>
      </c>
      <c r="AF80" s="2">
        <f t="shared" si="106"/>
        <v>1.09587162518839</v>
      </c>
      <c r="AG80" s="2">
        <f t="shared" si="107"/>
        <v>1.16990582463942</v>
      </c>
      <c r="AH80" s="2">
        <f>MIN(1,_曲线基线!$L$3+AH$9*($H$10*H80+$I$10*I80+$J$10*J80+$K$10*K80+$L$10*L80))</f>
        <v>0.268107947303577</v>
      </c>
      <c r="AI80" s="2">
        <f>_曲线基线!$L$4+AI$9*($H$10*H80+$I$10*I80+$J$10*J80+$K$10*K80+$L$10*L80)</f>
        <v>2.60758642463139</v>
      </c>
      <c r="AJ80" s="2">
        <f t="shared" si="108"/>
        <v>1.4985324509796</v>
      </c>
      <c r="AK80" s="1">
        <f t="shared" si="109"/>
        <v>2.14440997215602</v>
      </c>
      <c r="AL80" s="1">
        <f t="shared" si="110"/>
        <v>345031.464829746</v>
      </c>
      <c r="AM80" s="14">
        <f t="shared" si="111"/>
        <v>36.2984609788066</v>
      </c>
      <c r="AN80" s="14">
        <f>(((E80*模块规划!$D$10+G80*模块规划!$D$11+H80*模块规划!$D$13)*(1+模块规划!$G$14*H80)+(I80*模块规划!$D$15+J80*模块规划!$D$17+K80*模块规划!$D$16+L80*模块规划!$D$18))*(1+模块规划!$J$17*J80))*F80/(1-Q80)</f>
        <v>640644.603546045</v>
      </c>
      <c r="AO80" s="1">
        <f t="shared" si="112"/>
        <v>12524111.162583</v>
      </c>
      <c r="AP80" s="1">
        <f>IF(AO80="","",_xlfn.XLOOKUP(AO80,_曲线基线!$E$3:$E$502,_曲线基线!$A$3:$A$502,500,1))</f>
        <v>151</v>
      </c>
      <c r="AQ80" s="15">
        <f t="shared" si="115"/>
        <v>5</v>
      </c>
    </row>
    <row r="81" customHeight="1" spans="1:43">
      <c r="A81" s="1">
        <f>IFERROR(_xlfn.XLOOKUP(B81,_曲线基线!$G$3:$G$107,_曲线基线!$J$3:$J$107,""),"")</f>
        <v>31</v>
      </c>
      <c r="B81" s="1">
        <v>70</v>
      </c>
      <c r="C81" s="1">
        <f t="shared" si="63"/>
        <v>6</v>
      </c>
      <c r="D81" s="1">
        <f t="shared" si="64"/>
        <v>1</v>
      </c>
      <c r="E81" s="1">
        <f t="shared" si="90"/>
        <v>1</v>
      </c>
      <c r="F81" s="11">
        <f t="shared" si="113"/>
        <v>5</v>
      </c>
      <c r="G81" s="12">
        <f t="shared" ref="G81:L81" si="119">IF($B81&lt;G$8,0,G$3+(G$4-G$3)*(POWER(G$5,$B81-G$8)-1)/(POWER(G$5,$C$5-G$8)-1))</f>
        <v>0.591651300169263</v>
      </c>
      <c r="H81" s="12">
        <f t="shared" si="119"/>
        <v>0.476435940332237</v>
      </c>
      <c r="I81" s="12">
        <f t="shared" si="119"/>
        <v>0.0751790214573723</v>
      </c>
      <c r="J81" s="12">
        <f t="shared" si="119"/>
        <v>0.334767702623072</v>
      </c>
      <c r="K81" s="12">
        <f t="shared" si="119"/>
        <v>0</v>
      </c>
      <c r="L81" s="12">
        <f t="shared" si="119"/>
        <v>0.471851277996592</v>
      </c>
      <c r="M81" s="2">
        <f>E81*模块规划!$F$10+G81*模块规划!$F$11+H81*模块规划!$F$13</f>
        <v>3839.92624081246</v>
      </c>
      <c r="N81" s="2">
        <f>I81*模块规划!$F$15+J81*模块规划!$F$17+K81*模块规划!$F$16+L81*模块规划!$F$18</f>
        <v>6308.36558787266</v>
      </c>
      <c r="O81" s="2">
        <f t="shared" si="92"/>
        <v>2.10368379139822</v>
      </c>
      <c r="P81" s="13">
        <f t="shared" si="93"/>
        <v>14386.3561808345</v>
      </c>
      <c r="Q81" s="7">
        <f>P81/(P81+_曲线基线!$L$2)</f>
        <v>0.374777853700459</v>
      </c>
      <c r="R81" s="2">
        <f>E81*模块规划!$E$10+G81*模块规划!$E$11+H81*模块规划!$E$13</f>
        <v>5759.8893612187</v>
      </c>
      <c r="S81" s="2">
        <f>I81*模块规划!$E$15+J81*模块规划!$E$17+K81*模块规划!$E$16+L81*模块规划!$E$18</f>
        <v>9462.54838180899</v>
      </c>
      <c r="T81" s="2">
        <f t="shared" si="94"/>
        <v>2.10368379139822</v>
      </c>
      <c r="U81" s="13">
        <f t="shared" si="95"/>
        <v>21579.5342712518</v>
      </c>
      <c r="V81" s="2">
        <f t="shared" si="96"/>
        <v>0.842930782099671</v>
      </c>
      <c r="W81" s="2">
        <f t="shared" si="97"/>
        <v>0.190574376132895</v>
      </c>
      <c r="X81" s="2">
        <f t="shared" si="98"/>
        <v>0.406019883591365</v>
      </c>
      <c r="Y81" s="2">
        <f t="shared" si="99"/>
        <v>1</v>
      </c>
      <c r="Z81" s="2">
        <f t="shared" si="100"/>
        <v>1</v>
      </c>
      <c r="AA81" s="2">
        <f t="shared" si="101"/>
        <v>1</v>
      </c>
      <c r="AB81" s="2">
        <f t="shared" si="102"/>
        <v>1</v>
      </c>
      <c r="AC81" s="2">
        <f t="shared" si="103"/>
        <v>1</v>
      </c>
      <c r="AD81" s="1">
        <f t="shared" si="104"/>
        <v>1.52818111907218</v>
      </c>
      <c r="AE81" s="2">
        <f t="shared" si="105"/>
        <v>1</v>
      </c>
      <c r="AF81" s="2">
        <f t="shared" si="106"/>
        <v>1.09741014839061</v>
      </c>
      <c r="AG81" s="2">
        <f t="shared" si="107"/>
        <v>1.17263242964781</v>
      </c>
      <c r="AH81" s="2">
        <f>MIN(1,_曲线基线!$L$3+AH$9*($H$10*H81+$I$10*I81+$J$10*J81+$K$10*K81+$L$10*L81))</f>
        <v>0.271608087588643</v>
      </c>
      <c r="AI81" s="2">
        <f>_曲线基线!$L$4+AI$9*($H$10*H81+$I$10*I81+$J$10*J81+$K$10*K81+$L$10*L81)</f>
        <v>2.6173368154255</v>
      </c>
      <c r="AJ81" s="2">
        <f t="shared" si="108"/>
        <v>1.50653277163118</v>
      </c>
      <c r="AK81" s="1">
        <f t="shared" si="109"/>
        <v>2.16832513818389</v>
      </c>
      <c r="AL81" s="1">
        <f t="shared" si="110"/>
        <v>357529.026375211</v>
      </c>
      <c r="AM81" s="14">
        <f t="shared" si="111"/>
        <v>36.3248702285165</v>
      </c>
      <c r="AN81" s="14">
        <f>(((E81*模块规划!$D$10+G81*模块规划!$D$11+H81*模块规划!$D$13)*(1+模块规划!$G$14*H81)+(I81*模块规划!$D$15+J81*模块规划!$D$17+K81*模块规划!$D$16+L81*模块规划!$D$18))*(1+模块规划!$J$17*J81))*F81/(1-Q81)</f>
        <v>661087.174827874</v>
      </c>
      <c r="AO81" s="1">
        <f t="shared" si="112"/>
        <v>12987195.4860074</v>
      </c>
      <c r="AP81" s="1">
        <f>IF(AO81="","",_xlfn.XLOOKUP(AO81,_曲线基线!$E$3:$E$502,_曲线基线!$A$3:$A$502,500,1))</f>
        <v>153</v>
      </c>
      <c r="AQ81" s="15">
        <f t="shared" si="115"/>
        <v>5</v>
      </c>
    </row>
    <row r="82" customHeight="1" spans="1:43">
      <c r="A82" s="1">
        <f>IFERROR(_xlfn.XLOOKUP(B82,_曲线基线!$G$3:$G$107,_曲线基线!$J$3:$J$107,""),"")</f>
        <v>32</v>
      </c>
      <c r="B82" s="1">
        <v>71</v>
      </c>
      <c r="C82" s="1">
        <f t="shared" si="63"/>
        <v>6</v>
      </c>
      <c r="D82" s="1">
        <f t="shared" si="64"/>
        <v>2</v>
      </c>
      <c r="E82" s="1">
        <f t="shared" si="90"/>
        <v>1</v>
      </c>
      <c r="F82" s="11">
        <f t="shared" si="113"/>
        <v>5</v>
      </c>
      <c r="G82" s="12">
        <f t="shared" ref="G82:L82" si="120">IF($B82&lt;G$8,0,G$3+(G$4-G$3)*(POWER(G$5,$B82-G$8)-1)/(POWER(G$5,$C$5-G$8)-1))</f>
        <v>0.59648172112122</v>
      </c>
      <c r="H82" s="12">
        <f t="shared" si="120"/>
        <v>0.480973763765104</v>
      </c>
      <c r="I82" s="12">
        <f t="shared" si="120"/>
        <v>0.0868465323712931</v>
      </c>
      <c r="J82" s="12">
        <f t="shared" si="120"/>
        <v>0.340151293062335</v>
      </c>
      <c r="K82" s="12">
        <f t="shared" si="120"/>
        <v>0</v>
      </c>
      <c r="L82" s="12">
        <f t="shared" si="120"/>
        <v>0.476482159268046</v>
      </c>
      <c r="M82" s="2">
        <f>E82*模块规划!$F$10+G82*模块规划!$F$11+H82*模块规划!$F$13</f>
        <v>3863.11226138186</v>
      </c>
      <c r="N82" s="2">
        <f>I82*模块规划!$F$15+J82*模块规划!$F$17+K82*模块规划!$F$16+L82*模块规划!$F$18</f>
        <v>6478.69598593392</v>
      </c>
      <c r="O82" s="2">
        <f t="shared" si="92"/>
        <v>2.12076704489964</v>
      </c>
      <c r="P82" s="13">
        <f t="shared" si="93"/>
        <v>14671.4571606203</v>
      </c>
      <c r="Q82" s="7">
        <f>P82/(P82+_曲线基线!$L$2)</f>
        <v>0.379387233837169</v>
      </c>
      <c r="R82" s="2">
        <f>E82*模块规划!$E$10+G82*模块规划!$E$11+H82*模块规划!$E$13</f>
        <v>5794.66839207278</v>
      </c>
      <c r="S82" s="2">
        <f>I82*模块规划!$E$15+J82*模块规划!$E$17+K82*模块规划!$E$16+L82*模块规划!$E$18</f>
        <v>9718.04397890089</v>
      </c>
      <c r="T82" s="2">
        <f t="shared" si="94"/>
        <v>2.12076704489964</v>
      </c>
      <c r="U82" s="13">
        <f t="shared" si="95"/>
        <v>22007.1857409304</v>
      </c>
      <c r="V82" s="2">
        <f t="shared" si="96"/>
        <v>0.844292129129531</v>
      </c>
      <c r="W82" s="2">
        <f t="shared" si="97"/>
        <v>0.192389505506041</v>
      </c>
      <c r="X82" s="2">
        <f t="shared" si="98"/>
        <v>0.407267785035404</v>
      </c>
      <c r="Y82" s="2">
        <f t="shared" si="99"/>
        <v>1</v>
      </c>
      <c r="Z82" s="2">
        <f t="shared" si="100"/>
        <v>1</v>
      </c>
      <c r="AA82" s="2">
        <f t="shared" si="101"/>
        <v>1</v>
      </c>
      <c r="AB82" s="2">
        <f t="shared" si="102"/>
        <v>1</v>
      </c>
      <c r="AC82" s="2">
        <f t="shared" si="103"/>
        <v>1</v>
      </c>
      <c r="AD82" s="1">
        <f t="shared" si="104"/>
        <v>1.53437606221757</v>
      </c>
      <c r="AE82" s="2">
        <f t="shared" si="105"/>
        <v>1</v>
      </c>
      <c r="AF82" s="2">
        <f t="shared" si="106"/>
        <v>1.09891790112879</v>
      </c>
      <c r="AG82" s="2">
        <f t="shared" si="107"/>
        <v>1.17530450255603</v>
      </c>
      <c r="AH82" s="2">
        <f>MIN(1,_曲线基线!$L$3+AH$9*($H$10*H82+$I$10*I82+$J$10*J82+$K$10*K82+$L$10*L82))</f>
        <v>0.275038225068007</v>
      </c>
      <c r="AI82" s="2">
        <f>_曲线基线!$L$4+AI$9*($H$10*H82+$I$10*I82+$J$10*J82+$K$10*K82+$L$10*L82)</f>
        <v>2.62689219840373</v>
      </c>
      <c r="AJ82" s="2">
        <f t="shared" si="108"/>
        <v>1.51437308586973</v>
      </c>
      <c r="AK82" s="1">
        <f t="shared" si="109"/>
        <v>2.19199074549188</v>
      </c>
      <c r="AL82" s="1">
        <f t="shared" si="110"/>
        <v>370088.034515634</v>
      </c>
      <c r="AM82" s="14">
        <f t="shared" si="111"/>
        <v>36.3515435707235</v>
      </c>
      <c r="AN82" s="14">
        <f>(((E82*模块规划!$D$10+G82*模块规划!$D$11+H82*模块规划!$D$13)*(1+模块规划!$G$14*H82)+(I82*模块规划!$D$15+J82*模块规划!$D$17+K82*模块规划!$D$16+L82*模块规划!$D$18))*(1+模块规划!$J$17*J82))*F82/(1-Q82)</f>
        <v>681502.87181361</v>
      </c>
      <c r="AO82" s="1">
        <f t="shared" si="112"/>
        <v>13453271.3116985</v>
      </c>
      <c r="AP82" s="1">
        <f>IF(AO82="","",_xlfn.XLOOKUP(AO82,_曲线基线!$E$3:$E$502,_曲线基线!$A$3:$A$502,500,1))</f>
        <v>155</v>
      </c>
      <c r="AQ82" s="15">
        <f t="shared" si="115"/>
        <v>5</v>
      </c>
    </row>
    <row r="83" customHeight="1" spans="1:43">
      <c r="A83" s="1">
        <f>IFERROR(_xlfn.XLOOKUP(B83,_曲线基线!$G$3:$G$107,_曲线基线!$J$3:$J$107,""),"")</f>
        <v>32</v>
      </c>
      <c r="B83" s="1">
        <v>72</v>
      </c>
      <c r="C83" s="1">
        <f t="shared" si="63"/>
        <v>6</v>
      </c>
      <c r="D83" s="1">
        <f t="shared" si="64"/>
        <v>3</v>
      </c>
      <c r="E83" s="1">
        <f t="shared" si="90"/>
        <v>1</v>
      </c>
      <c r="F83" s="11">
        <f t="shared" si="113"/>
        <v>5</v>
      </c>
      <c r="G83" s="12">
        <f t="shared" ref="G83:L83" si="121">IF($B83&lt;G$8,0,G$3+(G$4-G$3)*(POWER(G$5,$B83-G$8)-1)/(POWER(G$5,$C$5-G$8)-1))</f>
        <v>0.601239685758898</v>
      </c>
      <c r="H83" s="12">
        <f t="shared" si="121"/>
        <v>0.485420830729313</v>
      </c>
      <c r="I83" s="12">
        <f t="shared" si="121"/>
        <v>0.0982806930669354</v>
      </c>
      <c r="J83" s="12">
        <f t="shared" si="121"/>
        <v>0.345427211692812</v>
      </c>
      <c r="K83" s="12">
        <f t="shared" si="121"/>
        <v>0</v>
      </c>
      <c r="L83" s="12">
        <f t="shared" si="121"/>
        <v>0.481020422914071</v>
      </c>
      <c r="M83" s="2">
        <f>E83*模块规划!$F$10+G83*模块规划!$F$11+H83*模块规划!$F$13</f>
        <v>3885.95049164271</v>
      </c>
      <c r="N83" s="2">
        <f>I83*模块规划!$F$15+J83*模块规划!$F$17+K83*模块规划!$F$16+L83*模块规划!$F$18</f>
        <v>6645.61977603396</v>
      </c>
      <c r="O83" s="2">
        <f t="shared" si="92"/>
        <v>2.13750863333103</v>
      </c>
      <c r="P83" s="13">
        <f t="shared" si="93"/>
        <v>14951.8725006172</v>
      </c>
      <c r="Q83" s="7">
        <f>P83/(P83+_曲线基线!$L$2)</f>
        <v>0.383855038044199</v>
      </c>
      <c r="R83" s="2">
        <f>E83*模块规划!$E$10+G83*模块规划!$E$11+H83*模块规划!$E$13</f>
        <v>5828.92573746406</v>
      </c>
      <c r="S83" s="2">
        <f>I83*模块规划!$E$15+J83*模块规划!$E$17+K83*模块规划!$E$16+L83*模块规划!$E$18</f>
        <v>9968.42966405094</v>
      </c>
      <c r="T83" s="2">
        <f t="shared" si="94"/>
        <v>2.13750863333103</v>
      </c>
      <c r="U83" s="13">
        <f t="shared" si="95"/>
        <v>22427.8087509258</v>
      </c>
      <c r="V83" s="2">
        <f t="shared" si="96"/>
        <v>0.845626249218794</v>
      </c>
      <c r="W83" s="2">
        <f t="shared" si="97"/>
        <v>0.194168332291725</v>
      </c>
      <c r="X83" s="2">
        <f t="shared" si="98"/>
        <v>0.408490728450561</v>
      </c>
      <c r="Y83" s="2">
        <f t="shared" si="99"/>
        <v>1</v>
      </c>
      <c r="Z83" s="2">
        <f t="shared" si="100"/>
        <v>1</v>
      </c>
      <c r="AA83" s="2">
        <f t="shared" si="101"/>
        <v>1</v>
      </c>
      <c r="AB83" s="2">
        <f t="shared" si="102"/>
        <v>1</v>
      </c>
      <c r="AC83" s="2">
        <f t="shared" si="103"/>
        <v>1</v>
      </c>
      <c r="AD83" s="1">
        <f t="shared" si="104"/>
        <v>1.5404588871534</v>
      </c>
      <c r="AE83" s="2">
        <f t="shared" si="105"/>
        <v>1</v>
      </c>
      <c r="AF83" s="2">
        <f t="shared" si="106"/>
        <v>1.10039549881221</v>
      </c>
      <c r="AG83" s="2">
        <f t="shared" si="107"/>
        <v>1.17792313400609</v>
      </c>
      <c r="AH83" s="2">
        <f>MIN(1,_曲线基线!$L$3+AH$9*($H$10*H83+$I$10*I83+$J$10*J83+$K$10*K83+$L$10*L83))</f>
        <v>0.278399759797784</v>
      </c>
      <c r="AI83" s="2">
        <f>_曲线基线!$L$4+AI$9*($H$10*H83+$I$10*I83+$J$10*J83+$K$10*K83+$L$10*L83)</f>
        <v>2.6362564737224</v>
      </c>
      <c r="AJ83" s="2">
        <f t="shared" si="108"/>
        <v>1.52205659382351</v>
      </c>
      <c r="AK83" s="1">
        <f t="shared" si="109"/>
        <v>2.21540422308224</v>
      </c>
      <c r="AL83" s="1">
        <f t="shared" si="110"/>
        <v>382701.301958814</v>
      </c>
      <c r="AM83" s="14">
        <f t="shared" si="111"/>
        <v>36.3784836463527</v>
      </c>
      <c r="AN83" s="14">
        <f>(((E83*模块规划!$D$10+G83*模块规划!$D$11+H83*模块规划!$D$13)*(1+模块规划!$G$14*H83)+(I83*模块规划!$D$15+J83*模块规划!$D$17+K83*模块规划!$D$16+L83*模块规划!$D$18))*(1+模块规划!$J$17*J83))*F83/(1-Q83)</f>
        <v>701881.99661912</v>
      </c>
      <c r="AO83" s="1">
        <f t="shared" si="112"/>
        <v>13922093.0547466</v>
      </c>
      <c r="AP83" s="1">
        <f>IF(AO83="","",_xlfn.XLOOKUP(AO83,_曲线基线!$E$3:$E$502,_曲线基线!$A$3:$A$502,500,1))</f>
        <v>156</v>
      </c>
      <c r="AQ83" s="15">
        <f t="shared" si="115"/>
        <v>5</v>
      </c>
    </row>
    <row r="84" customHeight="1" spans="1:43">
      <c r="A84" s="1">
        <f>IFERROR(_xlfn.XLOOKUP(B84,_曲线基线!$G$3:$G$107,_曲线基线!$J$3:$J$107,""),"")</f>
        <v>32</v>
      </c>
      <c r="B84" s="1">
        <v>73</v>
      </c>
      <c r="C84" s="1">
        <f t="shared" si="63"/>
        <v>6</v>
      </c>
      <c r="D84" s="1">
        <f t="shared" si="64"/>
        <v>4</v>
      </c>
      <c r="E84" s="1">
        <f t="shared" si="90"/>
        <v>1</v>
      </c>
      <c r="F84" s="11">
        <f t="shared" si="113"/>
        <v>5</v>
      </c>
      <c r="G84" s="12">
        <f t="shared" ref="G84:L84" si="122">IF($B84&lt;G$8,0,G$3+(G$4-G$3)*(POWER(G$5,$B84-G$8)-1)/(POWER(G$5,$C$5-G$8)-1))</f>
        <v>0.60592628092701</v>
      </c>
      <c r="H84" s="12">
        <f t="shared" si="122"/>
        <v>0.489778956354238</v>
      </c>
      <c r="I84" s="12">
        <f t="shared" si="122"/>
        <v>0.109486170548665</v>
      </c>
      <c r="J84" s="12">
        <f t="shared" si="122"/>
        <v>0.35059761195068</v>
      </c>
      <c r="K84" s="12">
        <f t="shared" si="122"/>
        <v>0</v>
      </c>
      <c r="L84" s="12">
        <f t="shared" si="122"/>
        <v>0.485467921287175</v>
      </c>
      <c r="M84" s="2">
        <f>E84*模块规划!$F$10+G84*模块规划!$F$11+H84*模块规划!$F$13</f>
        <v>3908.44614844965</v>
      </c>
      <c r="N84" s="2">
        <f>I84*模块规划!$F$15+J84*模块规划!$F$17+K84*模块规划!$F$16+L84*模块规划!$F$18</f>
        <v>6809.205090332</v>
      </c>
      <c r="O84" s="2">
        <f t="shared" si="92"/>
        <v>2.1539153899938</v>
      </c>
      <c r="P84" s="13">
        <f t="shared" si="93"/>
        <v>15227.6674004397</v>
      </c>
      <c r="Q84" s="7">
        <f>P84/(P84+_曲线基线!$L$2)</f>
        <v>0.388186920343599</v>
      </c>
      <c r="R84" s="2">
        <f>E84*模块规划!$E$10+G84*模块规划!$E$11+H84*模块规划!$E$13</f>
        <v>5862.66922267447</v>
      </c>
      <c r="S84" s="2">
        <f>I84*模块规划!$E$15+J84*模块规划!$E$17+K84*模块规划!$E$16+L84*模块规划!$E$18</f>
        <v>10213.807635498</v>
      </c>
      <c r="T84" s="2">
        <f t="shared" si="94"/>
        <v>2.1539153899938</v>
      </c>
      <c r="U84" s="13">
        <f t="shared" si="95"/>
        <v>22841.5011006595</v>
      </c>
      <c r="V84" s="2">
        <f t="shared" si="96"/>
        <v>0.846933686906271</v>
      </c>
      <c r="W84" s="2">
        <f t="shared" si="97"/>
        <v>0.195911582541695</v>
      </c>
      <c r="X84" s="2">
        <f t="shared" si="98"/>
        <v>0.409689212997415</v>
      </c>
      <c r="Y84" s="2">
        <f t="shared" si="99"/>
        <v>1</v>
      </c>
      <c r="Z84" s="2">
        <f t="shared" si="100"/>
        <v>1</v>
      </c>
      <c r="AA84" s="2">
        <f t="shared" si="101"/>
        <v>1</v>
      </c>
      <c r="AB84" s="2">
        <f t="shared" si="102"/>
        <v>1</v>
      </c>
      <c r="AC84" s="2">
        <f t="shared" si="103"/>
        <v>1</v>
      </c>
      <c r="AD84" s="1">
        <f t="shared" si="104"/>
        <v>1.54643136972999</v>
      </c>
      <c r="AE84" s="2">
        <f t="shared" si="105"/>
        <v>1</v>
      </c>
      <c r="AF84" s="2">
        <f t="shared" si="106"/>
        <v>1.10184354454196</v>
      </c>
      <c r="AG84" s="2">
        <f t="shared" si="107"/>
        <v>1.18048939282715</v>
      </c>
      <c r="AH84" s="2">
        <f>MIN(1,_曲线基线!$L$3+AH$9*($H$10*H84+$I$10*I84+$J$10*J84+$K$10*K84+$L$10*L84))</f>
        <v>0.281694063832965</v>
      </c>
      <c r="AI84" s="2">
        <f>_曲线基线!$L$4+AI$9*($H$10*H84+$I$10*I84+$J$10*J84+$K$10*K84+$L$10*L84)</f>
        <v>2.64543346353469</v>
      </c>
      <c r="AJ84" s="2">
        <f t="shared" si="108"/>
        <v>1.52958643161821</v>
      </c>
      <c r="AK84" s="1">
        <f t="shared" si="109"/>
        <v>2.23856326285572</v>
      </c>
      <c r="AL84" s="1">
        <f t="shared" si="110"/>
        <v>395361.766944981</v>
      </c>
      <c r="AM84" s="14">
        <f t="shared" si="111"/>
        <v>36.4056931227381</v>
      </c>
      <c r="AN84" s="14">
        <f>(((E84*模块规划!$D$10+G84*模块规划!$D$11+H84*模块规划!$D$13)*(1+模块规划!$G$14*H84)+(I84*模块规划!$D$15+J84*模块规划!$D$17+K84*模块规划!$D$16+L84*模块规划!$D$18))*(1+模块规划!$J$17*J84))*F84/(1-Q84)</f>
        <v>722215.243951945</v>
      </c>
      <c r="AO84" s="1">
        <f t="shared" si="112"/>
        <v>14393419.1598625</v>
      </c>
      <c r="AP84" s="1">
        <f>IF(AO84="","",_xlfn.XLOOKUP(AO84,_曲线基线!$E$3:$E$502,_曲线基线!$A$3:$A$502,500,1))</f>
        <v>158</v>
      </c>
      <c r="AQ84" s="15">
        <f t="shared" si="115"/>
        <v>5</v>
      </c>
    </row>
    <row r="85" customHeight="1" spans="1:43">
      <c r="A85" s="1">
        <f>IFERROR(_xlfn.XLOOKUP(B85,_曲线基线!$G$3:$G$107,_曲线基线!$J$3:$J$107,""),"")</f>
        <v>32</v>
      </c>
      <c r="B85" s="1">
        <v>74</v>
      </c>
      <c r="C85" s="1">
        <f t="shared" si="63"/>
        <v>6</v>
      </c>
      <c r="D85" s="1">
        <f t="shared" si="64"/>
        <v>5</v>
      </c>
      <c r="E85" s="1">
        <f t="shared" si="90"/>
        <v>1</v>
      </c>
      <c r="F85" s="11">
        <f t="shared" si="113"/>
        <v>5</v>
      </c>
      <c r="G85" s="12">
        <f t="shared" ref="G85:L85" si="123">IF($B85&lt;G$8,0,G$3+(G$4-G$3)*(POWER(G$5,$B85-G$8)-1)/(POWER(G$5,$C$5-G$8)-1))</f>
        <v>0.610542577167601</v>
      </c>
      <c r="H85" s="12">
        <f t="shared" si="123"/>
        <v>0.494049919466665</v>
      </c>
      <c r="I85" s="12">
        <f t="shared" si="123"/>
        <v>0.12046753848076</v>
      </c>
      <c r="J85" s="12">
        <f t="shared" si="123"/>
        <v>0.35566460420339</v>
      </c>
      <c r="K85" s="12">
        <f t="shared" si="123"/>
        <v>0</v>
      </c>
      <c r="L85" s="12">
        <f t="shared" si="123"/>
        <v>0.489826469692817</v>
      </c>
      <c r="M85" s="2">
        <f>E85*模块规划!$F$10+G85*模块规划!$F$11+H85*模块规划!$F$13</f>
        <v>3930.60437040448</v>
      </c>
      <c r="N85" s="2">
        <f>I85*模块规划!$F$15+J85*模块规划!$F$17+K85*模块规划!$F$16+L85*模块规划!$F$18</f>
        <v>6969.51869834407</v>
      </c>
      <c r="O85" s="2">
        <f t="shared" si="92"/>
        <v>2.16999401152331</v>
      </c>
      <c r="P85" s="13">
        <f t="shared" si="93"/>
        <v>15498.9066437891</v>
      </c>
      <c r="Q85" s="7">
        <f>P85/(P85+_曲线基线!$L$2)</f>
        <v>0.392388244656038</v>
      </c>
      <c r="R85" s="2">
        <f>E85*模块规划!$E$10+G85*模块规划!$E$11+H85*模块规划!$E$13</f>
        <v>5895.90655560673</v>
      </c>
      <c r="S85" s="2">
        <f>I85*模块规划!$E$15+J85*模块规划!$E$17+K85*模块规划!$E$16+L85*模块规划!$E$18</f>
        <v>10454.2780475161</v>
      </c>
      <c r="T85" s="2">
        <f t="shared" si="94"/>
        <v>2.16999401152331</v>
      </c>
      <c r="U85" s="13">
        <f t="shared" si="95"/>
        <v>23248.3599656837</v>
      </c>
      <c r="V85" s="2">
        <f t="shared" si="96"/>
        <v>0.848214975839999</v>
      </c>
      <c r="W85" s="2">
        <f t="shared" si="97"/>
        <v>0.197619967786666</v>
      </c>
      <c r="X85" s="2">
        <f t="shared" si="98"/>
        <v>0.410863727853333</v>
      </c>
      <c r="Y85" s="2">
        <f t="shared" si="99"/>
        <v>1</v>
      </c>
      <c r="Z85" s="2">
        <f t="shared" si="100"/>
        <v>1</v>
      </c>
      <c r="AA85" s="2">
        <f t="shared" si="101"/>
        <v>1</v>
      </c>
      <c r="AB85" s="2">
        <f t="shared" si="102"/>
        <v>1</v>
      </c>
      <c r="AC85" s="2">
        <f t="shared" si="103"/>
        <v>1</v>
      </c>
      <c r="AD85" s="1">
        <f t="shared" si="104"/>
        <v>1.5522952687546</v>
      </c>
      <c r="AE85" s="2">
        <f t="shared" si="105"/>
        <v>1</v>
      </c>
      <c r="AF85" s="2">
        <f t="shared" si="106"/>
        <v>1.10326262935712</v>
      </c>
      <c r="AG85" s="2">
        <f t="shared" si="107"/>
        <v>1.18300432647178</v>
      </c>
      <c r="AH85" s="2">
        <f>MIN(1,_曲线基线!$L$3+AH$9*($H$10*H85+$I$10*I85+$J$10*J85+$K$10*K85+$L$10*L85))</f>
        <v>0.284922481787443</v>
      </c>
      <c r="AI85" s="2">
        <f>_曲线基线!$L$4+AI$9*($H$10*H85+$I$10*I85+$J$10*J85+$K$10*K85+$L$10*L85)</f>
        <v>2.65442691355073</v>
      </c>
      <c r="AJ85" s="2">
        <f t="shared" si="108"/>
        <v>1.53696567265701</v>
      </c>
      <c r="AK85" s="1">
        <f t="shared" si="109"/>
        <v>2.26146581115318</v>
      </c>
      <c r="AL85" s="1">
        <f t="shared" si="110"/>
        <v>408062.500049468</v>
      </c>
      <c r="AM85" s="14">
        <f t="shared" si="111"/>
        <v>36.4331746938873</v>
      </c>
      <c r="AN85" s="14">
        <f>(((E85*模块规划!$D$10+G85*模块规划!$D$11+H85*模块规划!$D$13)*(1+模块规划!$G$14*H85)+(I85*模块规划!$D$15+J85*模块规划!$D$17+K85*模块规划!$D$16+L85*模块规划!$D$18))*(1+模块规划!$J$17*J85))*F85/(1-Q85)</f>
        <v>742493.694813083</v>
      </c>
      <c r="AO85" s="1">
        <f t="shared" si="112"/>
        <v>14867012.3503266</v>
      </c>
      <c r="AP85" s="1">
        <f>IF(AO85="","",_xlfn.XLOOKUP(AO85,_曲线基线!$E$3:$E$502,_曲线基线!$A$3:$A$502,500,1))</f>
        <v>160</v>
      </c>
      <c r="AQ85" s="15">
        <f t="shared" si="115"/>
        <v>5</v>
      </c>
    </row>
    <row r="86" customHeight="1" spans="1:43">
      <c r="A86" s="1">
        <f>IFERROR(_xlfn.XLOOKUP(B86,_曲线基线!$G$3:$G$107,_曲线基线!$J$3:$J$107,""),"")</f>
        <v>33</v>
      </c>
      <c r="B86" s="1">
        <v>75</v>
      </c>
      <c r="C86" s="1">
        <f t="shared" si="63"/>
        <v>6</v>
      </c>
      <c r="D86" s="1">
        <f t="shared" si="64"/>
        <v>6</v>
      </c>
      <c r="E86" s="1">
        <f t="shared" si="90"/>
        <v>1</v>
      </c>
      <c r="F86" s="11">
        <f t="shared" si="113"/>
        <v>5</v>
      </c>
      <c r="G86" s="12">
        <f t="shared" ref="G86:L86" si="124">IF($B86&lt;G$8,0,G$3+(G$4-G$3)*(POWER(G$5,$B86-G$8)-1)/(POWER(G$5,$C$5-G$8)-1))</f>
        <v>0.615089628964583</v>
      </c>
      <c r="H86" s="12">
        <f t="shared" si="124"/>
        <v>0.498235463316843</v>
      </c>
      <c r="I86" s="12">
        <f t="shared" si="124"/>
        <v>0.131229279054213</v>
      </c>
      <c r="J86" s="12">
        <f t="shared" si="124"/>
        <v>0.360630256611046</v>
      </c>
      <c r="K86" s="12">
        <f t="shared" si="124"/>
        <v>0</v>
      </c>
      <c r="L86" s="12">
        <f t="shared" si="124"/>
        <v>0.494097847130346</v>
      </c>
      <c r="M86" s="2">
        <f>E86*模块规划!$F$10+G86*模块规划!$F$11+H86*模块规划!$F$13</f>
        <v>3952.43021903</v>
      </c>
      <c r="N86" s="2">
        <f>I86*模块规划!$F$15+J86*模块规划!$F$17+K86*模块规划!$F$16+L86*模块规划!$F$18</f>
        <v>7126.62603419589</v>
      </c>
      <c r="O86" s="2">
        <f t="shared" si="92"/>
        <v>2.18575106062222</v>
      </c>
      <c r="P86" s="13">
        <f t="shared" si="93"/>
        <v>15765.654577476</v>
      </c>
      <c r="Q86" s="7">
        <f>P86/(P86+_曲线基线!$L$2)</f>
        <v>0.396464103130996</v>
      </c>
      <c r="R86" s="2">
        <f>E86*模块规划!$E$10+G86*模块规划!$E$11+H86*模块规划!$E$13</f>
        <v>5928.64532854499</v>
      </c>
      <c r="S86" s="2">
        <f>I86*模块规划!$E$15+J86*模块规划!$E$17+K86*模块规划!$E$16+L86*模块规划!$E$18</f>
        <v>10689.9390512938</v>
      </c>
      <c r="T86" s="2">
        <f t="shared" si="94"/>
        <v>2.18575106062222</v>
      </c>
      <c r="U86" s="13">
        <f t="shared" si="95"/>
        <v>23648.481866214</v>
      </c>
      <c r="V86" s="2">
        <f t="shared" si="96"/>
        <v>0.849470638995053</v>
      </c>
      <c r="W86" s="2">
        <f t="shared" si="97"/>
        <v>0.199294185326737</v>
      </c>
      <c r="X86" s="2">
        <f t="shared" si="98"/>
        <v>0.412014752412132</v>
      </c>
      <c r="Y86" s="2">
        <f t="shared" si="99"/>
        <v>1</v>
      </c>
      <c r="Z86" s="2">
        <f t="shared" si="100"/>
        <v>1</v>
      </c>
      <c r="AA86" s="2">
        <f t="shared" si="101"/>
        <v>1</v>
      </c>
      <c r="AB86" s="2">
        <f t="shared" si="102"/>
        <v>1</v>
      </c>
      <c r="AC86" s="2">
        <f t="shared" si="103"/>
        <v>1</v>
      </c>
      <c r="AD86" s="1">
        <f t="shared" si="104"/>
        <v>1.55805232560074</v>
      </c>
      <c r="AE86" s="2">
        <f t="shared" si="105"/>
        <v>1</v>
      </c>
      <c r="AF86" s="2">
        <f t="shared" si="106"/>
        <v>1.10465333247597</v>
      </c>
      <c r="AG86" s="2">
        <f t="shared" si="107"/>
        <v>1.18546896144353</v>
      </c>
      <c r="AH86" s="2">
        <f>MIN(1,_曲线基线!$L$3+AH$9*($H$10*H86+$I$10*I86+$J$10*J86+$K$10*K86+$L$10*L86))</f>
        <v>0.288086331382831</v>
      </c>
      <c r="AI86" s="2">
        <f>_曲线基线!$L$4+AI$9*($H$10*H86+$I$10*I86+$J$10*J86+$K$10*K86+$L$10*L86)</f>
        <v>2.66324049456646</v>
      </c>
      <c r="AJ86" s="2">
        <f t="shared" si="108"/>
        <v>1.54419732887504</v>
      </c>
      <c r="AK86" s="1">
        <f t="shared" si="109"/>
        <v>2.28411006028882</v>
      </c>
      <c r="AL86" s="1">
        <f t="shared" si="110"/>
        <v>420796.710336776</v>
      </c>
      <c r="AM86" s="14">
        <f t="shared" si="111"/>
        <v>36.460931080748</v>
      </c>
      <c r="AN86" s="14">
        <f>(((E86*模块规划!$D$10+G86*模块规划!$D$11+H86*模块规划!$D$13)*(1+模块规划!$G$14*H86)+(I86*模块规划!$D$15+J86*模块规划!$D$17+K86*模块规划!$D$16+L86*模块规划!$D$18))*(1+模块规划!$J$17*J86))*F86/(1-Q86)</f>
        <v>762708.809835291</v>
      </c>
      <c r="AO86" s="1">
        <f t="shared" si="112"/>
        <v>15342639.8545947</v>
      </c>
      <c r="AP86" s="1">
        <f>IF(AO86="","",_xlfn.XLOOKUP(AO86,_曲线基线!$E$3:$E$502,_曲线基线!$A$3:$A$502,500,1))</f>
        <v>162</v>
      </c>
      <c r="AQ86" s="15">
        <f t="shared" si="115"/>
        <v>5</v>
      </c>
    </row>
    <row r="87" customHeight="1" spans="1:43">
      <c r="A87" s="1">
        <f>IFERROR(_xlfn.XLOOKUP(B87,_曲线基线!$G$3:$G$107,_曲线基线!$J$3:$J$107,""),"")</f>
        <v>33</v>
      </c>
      <c r="B87" s="1">
        <v>76</v>
      </c>
      <c r="C87" s="1">
        <f t="shared" si="63"/>
        <v>6</v>
      </c>
      <c r="D87" s="1">
        <f t="shared" si="64"/>
        <v>7</v>
      </c>
      <c r="E87" s="1">
        <f t="shared" si="90"/>
        <v>1</v>
      </c>
      <c r="F87" s="11">
        <f t="shared" si="113"/>
        <v>5</v>
      </c>
      <c r="G87" s="12">
        <f t="shared" ref="G87:L87" si="125">IF($B87&lt;G$8,0,G$3+(G$4-G$3)*(POWER(G$5,$B87-G$8)-1)/(POWER(G$5,$C$5-G$8)-1))</f>
        <v>0.61956847498461</v>
      </c>
      <c r="H87" s="12">
        <f t="shared" si="125"/>
        <v>0.502337296290017</v>
      </c>
      <c r="I87" s="12">
        <f t="shared" si="125"/>
        <v>0.141775784816197</v>
      </c>
      <c r="J87" s="12">
        <f t="shared" si="125"/>
        <v>0.365496595970549</v>
      </c>
      <c r="K87" s="12">
        <f t="shared" si="125"/>
        <v>0</v>
      </c>
      <c r="L87" s="12">
        <f t="shared" si="125"/>
        <v>0.498283797019125</v>
      </c>
      <c r="M87" s="2">
        <f>E87*模块规划!$F$10+G87*模块规划!$F$11+H87*模块规划!$F$13</f>
        <v>3973.92867992613</v>
      </c>
      <c r="N87" s="2">
        <f>I87*模块规划!$F$15+J87*模块规划!$F$17+K87*模块规划!$F$16+L87*模块规划!$F$18</f>
        <v>7280.59122333069</v>
      </c>
      <c r="O87" s="2">
        <f t="shared" si="92"/>
        <v>2.20119296873916</v>
      </c>
      <c r="P87" s="13">
        <f t="shared" si="93"/>
        <v>16027.975091855</v>
      </c>
      <c r="Q87" s="7">
        <f>P87/(P87+_曲线基线!$L$2)</f>
        <v>0.400419333105771</v>
      </c>
      <c r="R87" s="2">
        <f>E87*模块规划!$E$10+G87*模块规划!$E$11+H87*模块规划!$E$13</f>
        <v>5960.89301988919</v>
      </c>
      <c r="S87" s="2">
        <f>I87*模块规划!$E$15+J87*模块规划!$E$17+K87*模块规划!$E$16+L87*模块规划!$E$18</f>
        <v>10920.886834996</v>
      </c>
      <c r="T87" s="2">
        <f t="shared" si="94"/>
        <v>2.20119296873916</v>
      </c>
      <c r="U87" s="13">
        <f t="shared" si="95"/>
        <v>24041.9626377825</v>
      </c>
      <c r="V87" s="2">
        <f t="shared" si="96"/>
        <v>0.850701188887005</v>
      </c>
      <c r="W87" s="2">
        <f t="shared" si="97"/>
        <v>0.200934918516007</v>
      </c>
      <c r="X87" s="2">
        <f t="shared" si="98"/>
        <v>0.413142756479755</v>
      </c>
      <c r="Y87" s="2">
        <f t="shared" si="99"/>
        <v>1</v>
      </c>
      <c r="Z87" s="2">
        <f t="shared" si="100"/>
        <v>1</v>
      </c>
      <c r="AA87" s="2">
        <f t="shared" si="101"/>
        <v>1</v>
      </c>
      <c r="AB87" s="2">
        <f t="shared" si="102"/>
        <v>1</v>
      </c>
      <c r="AC87" s="2">
        <f t="shared" si="103"/>
        <v>1</v>
      </c>
      <c r="AD87" s="1">
        <f t="shared" si="104"/>
        <v>1.5637042638542</v>
      </c>
      <c r="AE87" s="2">
        <f t="shared" si="105"/>
        <v>1</v>
      </c>
      <c r="AF87" s="2">
        <f t="shared" si="106"/>
        <v>1.10601622153244</v>
      </c>
      <c r="AG87" s="2">
        <f t="shared" si="107"/>
        <v>1.18788430371583</v>
      </c>
      <c r="AH87" s="2">
        <f>MIN(1,_曲线基线!$L$3+AH$9*($H$10*H87+$I$10*I87+$J$10*J87+$K$10*K87+$L$10*L87))</f>
        <v>0.291186903986311</v>
      </c>
      <c r="AI87" s="2">
        <f>_曲线基线!$L$4+AI$9*($H$10*H87+$I$10*I87+$J$10*J87+$K$10*K87+$L$10*L87)</f>
        <v>2.67187780396187</v>
      </c>
      <c r="AJ87" s="2">
        <f t="shared" si="108"/>
        <v>1.55128435196871</v>
      </c>
      <c r="AK87" s="1">
        <f t="shared" si="109"/>
        <v>2.30649444010016</v>
      </c>
      <c r="AL87" s="1">
        <f t="shared" si="110"/>
        <v>433557.750887973</v>
      </c>
      <c r="AM87" s="14">
        <f t="shared" si="111"/>
        <v>36.4889650314774</v>
      </c>
      <c r="AN87" s="14">
        <f>(((E87*模块规划!$D$10+G87*模块规划!$D$11+H87*模块规划!$D$13)*(1+模块规划!$G$14*H87)+(I87*模块规划!$D$15+J87*模块规划!$D$17+K87*模块规划!$D$16+L87*模块规划!$D$18))*(1+模块规划!$J$17*J87))*F87/(1-Q87)</f>
        <v>782852.422302741</v>
      </c>
      <c r="AO87" s="1">
        <f t="shared" si="112"/>
        <v>15820073.6112772</v>
      </c>
      <c r="AP87" s="1">
        <f>IF(AO87="","",_xlfn.XLOOKUP(AO87,_曲线基线!$E$3:$E$502,_曲线基线!$A$3:$A$502,500,1))</f>
        <v>163</v>
      </c>
      <c r="AQ87" s="15">
        <f t="shared" si="115"/>
        <v>5</v>
      </c>
    </row>
    <row r="88" customHeight="1" spans="1:43">
      <c r="A88" s="1">
        <f>IFERROR(_xlfn.XLOOKUP(B88,_曲线基线!$G$3:$G$107,_曲线基线!$J$3:$J$107,""),"")</f>
        <v>33</v>
      </c>
      <c r="B88" s="1">
        <v>77</v>
      </c>
      <c r="C88" s="1">
        <f t="shared" si="63"/>
        <v>6</v>
      </c>
      <c r="D88" s="1">
        <f t="shared" si="64"/>
        <v>8</v>
      </c>
      <c r="E88" s="1">
        <f t="shared" si="90"/>
        <v>1</v>
      </c>
      <c r="F88" s="11">
        <f t="shared" si="113"/>
        <v>5</v>
      </c>
      <c r="G88" s="12">
        <f t="shared" ref="G88:L88" si="126">IF($B88&lt;G$8,0,G$3+(G$4-G$3)*(POWER(G$5,$B88-G$8)-1)/(POWER(G$5,$C$5-G$8)-1))</f>
        <v>0.623980138314336</v>
      </c>
      <c r="H88" s="12">
        <f t="shared" si="126"/>
        <v>0.506357092603728</v>
      </c>
      <c r="I88" s="12">
        <f t="shared" si="126"/>
        <v>0.152111360462941</v>
      </c>
      <c r="J88" s="12">
        <f t="shared" si="126"/>
        <v>0.370265608542862</v>
      </c>
      <c r="K88" s="12">
        <f t="shared" si="126"/>
        <v>0</v>
      </c>
      <c r="L88" s="12">
        <f t="shared" si="126"/>
        <v>0.502386027910128</v>
      </c>
      <c r="M88" s="2">
        <f>E88*模块规划!$F$10+G88*模块规划!$F$11+H88*模块规划!$F$13</f>
        <v>3995.10466390881</v>
      </c>
      <c r="N88" s="2">
        <f>I88*模块规划!$F$15+J88*模块规划!$F$17+K88*模块规划!$F$16+L88*模块规划!$F$18</f>
        <v>7431.47710868279</v>
      </c>
      <c r="O88" s="2">
        <f t="shared" si="92"/>
        <v>2.21632603869377</v>
      </c>
      <c r="P88" s="13">
        <f t="shared" si="93"/>
        <v>16285.9316026108</v>
      </c>
      <c r="Q88" s="7">
        <f>P88/(P88+_曲线基线!$L$2)</f>
        <v>0.404258532811374</v>
      </c>
      <c r="R88" s="2">
        <f>E88*模块规划!$E$10+G88*模块规划!$E$11+H88*模块规划!$E$13</f>
        <v>5992.65699586322</v>
      </c>
      <c r="S88" s="2">
        <f>I88*模块规划!$E$15+J88*模块规划!$E$17+K88*模块规划!$E$16+L88*模块规划!$E$18</f>
        <v>11147.2156630242</v>
      </c>
      <c r="T88" s="2">
        <f t="shared" si="94"/>
        <v>2.21632603869377</v>
      </c>
      <c r="U88" s="13">
        <f t="shared" si="95"/>
        <v>24428.8974039162</v>
      </c>
      <c r="V88" s="2">
        <f t="shared" si="96"/>
        <v>0.851907127781118</v>
      </c>
      <c r="W88" s="2">
        <f t="shared" si="97"/>
        <v>0.202542837041491</v>
      </c>
      <c r="X88" s="2">
        <f t="shared" si="98"/>
        <v>0.414248200466025</v>
      </c>
      <c r="Y88" s="2">
        <f t="shared" si="99"/>
        <v>1</v>
      </c>
      <c r="Z88" s="2">
        <f t="shared" si="100"/>
        <v>1</v>
      </c>
      <c r="AA88" s="2">
        <f t="shared" si="101"/>
        <v>1</v>
      </c>
      <c r="AB88" s="2">
        <f t="shared" si="102"/>
        <v>1</v>
      </c>
      <c r="AC88" s="2">
        <f t="shared" si="103"/>
        <v>1</v>
      </c>
      <c r="AD88" s="1">
        <f t="shared" si="104"/>
        <v>1.5692527889941</v>
      </c>
      <c r="AE88" s="2">
        <f t="shared" si="105"/>
        <v>1</v>
      </c>
      <c r="AF88" s="2">
        <f t="shared" si="106"/>
        <v>1.10735185280779</v>
      </c>
      <c r="AG88" s="2">
        <f t="shared" si="107"/>
        <v>1.1902513391427</v>
      </c>
      <c r="AH88" s="2">
        <f>MIN(1,_曲线基线!$L$3+AH$9*($H$10*H88+$I$10*I88+$J$10*J88+$K$10*K88+$L$10*L88))</f>
        <v>0.294225465137722</v>
      </c>
      <c r="AI88" s="2">
        <f>_曲线基线!$L$4+AI$9*($H$10*H88+$I$10*I88+$J$10*J88+$K$10*K88+$L$10*L88)</f>
        <v>2.68034236716937</v>
      </c>
      <c r="AJ88" s="2">
        <f t="shared" si="108"/>
        <v>1.55822963460051</v>
      </c>
      <c r="AK88" s="1">
        <f t="shared" si="109"/>
        <v>2.32861760953719</v>
      </c>
      <c r="AL88" s="1">
        <f t="shared" si="110"/>
        <v>446339.123724172</v>
      </c>
      <c r="AM88" s="14">
        <f t="shared" si="111"/>
        <v>36.517279321714</v>
      </c>
      <c r="AN88" s="14">
        <f>(((E88*模块规划!$D$10+G88*模块规划!$D$11+H88*模块规划!$D$13)*(1+模块规划!$G$14*H88)+(I88*模块规划!$D$15+J88*模块规划!$D$17+K88*模块规划!$D$16+L88*模块规划!$D$18))*(1+模块规划!$J$17*J88))*F88/(1-Q88)</f>
        <v>802916.730893882</v>
      </c>
      <c r="AO88" s="1">
        <f t="shared" si="112"/>
        <v>16299090.4532447</v>
      </c>
      <c r="AP88" s="1">
        <f>IF(AO88="","",_xlfn.XLOOKUP(AO88,_曲线基线!$E$3:$E$502,_曲线基线!$A$3:$A$502,500,1))</f>
        <v>165</v>
      </c>
      <c r="AQ88" s="15">
        <f t="shared" si="115"/>
        <v>5</v>
      </c>
    </row>
    <row r="89" customHeight="1" spans="1:43">
      <c r="A89" s="1">
        <f>IFERROR(_xlfn.XLOOKUP(B89,_曲线基线!$G$3:$G$107,_曲线基线!$J$3:$J$107,""),"")</f>
        <v>33</v>
      </c>
      <c r="B89" s="1">
        <v>78</v>
      </c>
      <c r="C89" s="1">
        <f t="shared" si="63"/>
        <v>6</v>
      </c>
      <c r="D89" s="1">
        <f t="shared" si="64"/>
        <v>9</v>
      </c>
      <c r="E89" s="1">
        <f t="shared" si="90"/>
        <v>1</v>
      </c>
      <c r="F89" s="11">
        <f t="shared" si="113"/>
        <v>5</v>
      </c>
      <c r="G89" s="12">
        <f t="shared" ref="G89:L89" si="127">IF($B89&lt;G$8,0,G$3+(G$4-G$3)*(POWER(G$5,$B89-G$8)-1)/(POWER(G$5,$C$5-G$8)-1))</f>
        <v>0.628325626694117</v>
      </c>
      <c r="H89" s="12">
        <f t="shared" si="127"/>
        <v>0.510296492991165</v>
      </c>
      <c r="I89" s="12">
        <f t="shared" si="127"/>
        <v>0.16224022459675</v>
      </c>
      <c r="J89" s="12">
        <f t="shared" si="127"/>
        <v>0.374939240863728</v>
      </c>
      <c r="K89" s="12">
        <f t="shared" si="127"/>
        <v>0</v>
      </c>
      <c r="L89" s="12">
        <f t="shared" si="127"/>
        <v>0.506406214183312</v>
      </c>
      <c r="M89" s="2">
        <f>E89*模块规划!$F$10+G89*模块规划!$F$11+H89*模块规划!$F$13</f>
        <v>4015.96300813176</v>
      </c>
      <c r="N89" s="2">
        <f>I89*模块规划!$F$15+J89*模块规划!$F$17+K89*模块规划!$F$16+L89*模块规划!$F$18</f>
        <v>7579.34527632784</v>
      </c>
      <c r="O89" s="2">
        <f t="shared" si="92"/>
        <v>2.23115644724928</v>
      </c>
      <c r="P89" s="13">
        <f t="shared" si="93"/>
        <v>16539.5870338356</v>
      </c>
      <c r="Q89" s="7">
        <f>P89/(P89+_曲线基线!$L$2)</f>
        <v>0.407986075931932</v>
      </c>
      <c r="R89" s="2">
        <f>E89*模块规划!$E$10+G89*模块规划!$E$11+H89*模块规划!$E$13</f>
        <v>6023.94451219764</v>
      </c>
      <c r="S89" s="2">
        <f>I89*模块规划!$E$15+J89*模块规划!$E$17+K89*模块规划!$E$16+L89*模块规划!$E$18</f>
        <v>11369.0179144918</v>
      </c>
      <c r="T89" s="2">
        <f t="shared" si="94"/>
        <v>2.23115644724928</v>
      </c>
      <c r="U89" s="13">
        <f t="shared" si="95"/>
        <v>24809.3805507534</v>
      </c>
      <c r="V89" s="2">
        <f t="shared" si="96"/>
        <v>0.853088947897349</v>
      </c>
      <c r="W89" s="2">
        <f t="shared" si="97"/>
        <v>0.204118597196466</v>
      </c>
      <c r="X89" s="2">
        <f t="shared" si="98"/>
        <v>0.41533153557257</v>
      </c>
      <c r="Y89" s="2">
        <f t="shared" si="99"/>
        <v>1</v>
      </c>
      <c r="Z89" s="2">
        <f t="shared" si="100"/>
        <v>1</v>
      </c>
      <c r="AA89" s="2">
        <f t="shared" si="101"/>
        <v>1</v>
      </c>
      <c r="AB89" s="2">
        <f t="shared" si="102"/>
        <v>1</v>
      </c>
      <c r="AC89" s="2">
        <f t="shared" si="103"/>
        <v>1</v>
      </c>
      <c r="AD89" s="1">
        <f t="shared" si="104"/>
        <v>1.5746995881069</v>
      </c>
      <c r="AE89" s="2">
        <f t="shared" si="105"/>
        <v>1</v>
      </c>
      <c r="AF89" s="2">
        <f t="shared" si="106"/>
        <v>1.10866077145763</v>
      </c>
      <c r="AG89" s="2">
        <f t="shared" si="107"/>
        <v>1.19257103386102</v>
      </c>
      <c r="AH89" s="2">
        <f>MIN(1,_曲线基线!$L$3+AH$9*($H$10*H89+$I$10*I89+$J$10*J89+$K$10*K89+$L$10*L89))</f>
        <v>0.297203255066105</v>
      </c>
      <c r="AI89" s="2">
        <f>_曲线基线!$L$4+AI$9*($H$10*H89+$I$10*I89+$J$10*J89+$K$10*K89+$L$10*L89)</f>
        <v>2.68863763911272</v>
      </c>
      <c r="AJ89" s="2">
        <f t="shared" si="108"/>
        <v>1.56503601157967</v>
      </c>
      <c r="AK89" s="1">
        <f t="shared" si="109"/>
        <v>2.35047844831115</v>
      </c>
      <c r="AL89" s="1">
        <f t="shared" si="110"/>
        <v>459134.484149459</v>
      </c>
      <c r="AM89" s="14">
        <f t="shared" si="111"/>
        <v>36.545876754853</v>
      </c>
      <c r="AN89" s="14">
        <f>(((E89*模块规划!$D$10+G89*模块规划!$D$11+H89*模块规划!$D$13)*(1+模块规划!$G$14*H89)+(I89*模块规划!$D$15+J89*模块规划!$D$17+K89*模块规划!$D$16+L89*模块规划!$D$18))*(1+模块规划!$J$17*J89))*F89/(1-Q89)</f>
        <v>822894.292186447</v>
      </c>
      <c r="AO89" s="1">
        <f t="shared" si="112"/>
        <v>16779472.2716291</v>
      </c>
      <c r="AP89" s="1">
        <f>IF(AO89="","",_xlfn.XLOOKUP(AO89,_曲线基线!$E$3:$E$502,_曲线基线!$A$3:$A$502,500,1))</f>
        <v>167</v>
      </c>
      <c r="AQ89" s="15">
        <f t="shared" si="115"/>
        <v>5</v>
      </c>
    </row>
    <row r="90" customHeight="1" spans="1:43">
      <c r="A90" s="1">
        <f>IFERROR(_xlfn.XLOOKUP(B90,_曲线基线!$G$3:$G$107,_曲线基线!$J$3:$J$107,""),"")</f>
        <v>33</v>
      </c>
      <c r="B90" s="1">
        <v>79</v>
      </c>
      <c r="C90" s="1">
        <f t="shared" si="63"/>
        <v>6</v>
      </c>
      <c r="D90" s="1">
        <f t="shared" si="64"/>
        <v>10</v>
      </c>
      <c r="E90" s="1">
        <f t="shared" si="90"/>
        <v>1</v>
      </c>
      <c r="F90" s="11">
        <f t="shared" si="113"/>
        <v>5</v>
      </c>
      <c r="G90" s="12">
        <f t="shared" ref="G90:L90" si="128">IF($B90&lt;G$8,0,G$3+(G$4-G$3)*(POWER(G$5,$B90-G$8)-1)/(POWER(G$5,$C$5-G$8)-1))</f>
        <v>0.632605932748201</v>
      </c>
      <c r="H90" s="12">
        <f t="shared" si="128"/>
        <v>0.514157105370853</v>
      </c>
      <c r="I90" s="12">
        <f t="shared" si="128"/>
        <v>0.172166511447884</v>
      </c>
      <c r="J90" s="12">
        <f t="shared" si="128"/>
        <v>0.379519400538178</v>
      </c>
      <c r="K90" s="12">
        <f t="shared" si="128"/>
        <v>0</v>
      </c>
      <c r="L90" s="12">
        <f t="shared" si="128"/>
        <v>0.510345996731031</v>
      </c>
      <c r="M90" s="2">
        <f>E90*模块规划!$F$10+G90*模块规划!$F$11+H90*模块规划!$F$13</f>
        <v>4036.50847719137</v>
      </c>
      <c r="N90" s="2">
        <f>I90*模块规划!$F$15+J90*模块规划!$F$17+K90*模块规划!$F$16+L90*模块规划!$F$18</f>
        <v>7724.25608062001</v>
      </c>
      <c r="O90" s="2">
        <f t="shared" si="92"/>
        <v>2.24569024763367</v>
      </c>
      <c r="P90" s="13">
        <f t="shared" si="93"/>
        <v>16789.0038023393</v>
      </c>
      <c r="Q90" s="7">
        <f>P90/(P90+_曲线基线!$L$2)</f>
        <v>0.411606125113956</v>
      </c>
      <c r="R90" s="2">
        <f>E90*模块规划!$E$10+G90*模块规划!$E$11+H90*模块规划!$E$13</f>
        <v>6054.76271578705</v>
      </c>
      <c r="S90" s="2">
        <f>I90*模块规划!$E$15+J90*模块规划!$E$17+K90*模块规划!$E$16+L90*模块规划!$E$18</f>
        <v>11586.38412093</v>
      </c>
      <c r="T90" s="2">
        <f t="shared" si="94"/>
        <v>2.24569024763367</v>
      </c>
      <c r="U90" s="13">
        <f t="shared" si="95"/>
        <v>25183.5057035089</v>
      </c>
      <c r="V90" s="2">
        <f t="shared" si="96"/>
        <v>0.854247131611256</v>
      </c>
      <c r="W90" s="2">
        <f t="shared" si="97"/>
        <v>0.205662842148341</v>
      </c>
      <c r="X90" s="2">
        <f t="shared" si="98"/>
        <v>0.416393203976985</v>
      </c>
      <c r="Y90" s="2">
        <f t="shared" si="99"/>
        <v>1</v>
      </c>
      <c r="Z90" s="2">
        <f t="shared" si="100"/>
        <v>1</v>
      </c>
      <c r="AA90" s="2">
        <f t="shared" si="101"/>
        <v>1</v>
      </c>
      <c r="AB90" s="2">
        <f t="shared" si="102"/>
        <v>1</v>
      </c>
      <c r="AC90" s="2">
        <f t="shared" si="103"/>
        <v>1</v>
      </c>
      <c r="AD90" s="1">
        <f t="shared" si="104"/>
        <v>1.5800463296319</v>
      </c>
      <c r="AE90" s="2">
        <f t="shared" si="105"/>
        <v>1</v>
      </c>
      <c r="AF90" s="2">
        <f t="shared" si="106"/>
        <v>1.10994351173447</v>
      </c>
      <c r="AG90" s="2">
        <f t="shared" si="107"/>
        <v>1.19484433468498</v>
      </c>
      <c r="AH90" s="2">
        <f>MIN(1,_曲线基线!$L$3+AH$9*($H$10*H90+$I$10*I90+$J$10*J90+$K$10*K90+$L$10*L90))</f>
        <v>0.30012148919592</v>
      </c>
      <c r="AI90" s="2">
        <f>_曲线基线!$L$4+AI$9*($H$10*H90+$I$10*I90+$J$10*J90+$K$10*K90+$L$10*L90)</f>
        <v>2.6967670056172</v>
      </c>
      <c r="AJ90" s="2">
        <f t="shared" si="108"/>
        <v>1.57170626101924</v>
      </c>
      <c r="AK90" s="1">
        <f t="shared" si="109"/>
        <v>2.37207604862068</v>
      </c>
      <c r="AL90" s="1">
        <f t="shared" si="110"/>
        <v>471937.644537087</v>
      </c>
      <c r="AM90" s="14">
        <f t="shared" si="111"/>
        <v>36.5747601623234</v>
      </c>
      <c r="AN90" s="14">
        <f>(((E90*模块规划!$D$10+G90*模块规划!$D$11+H90*模块规划!$D$13)*(1+模块规划!$G$14*H90)+(I90*模块规划!$D$15+J90*模块规划!$D$17+K90*模块规划!$D$16+L90*模块规划!$D$18))*(1+模块规划!$J$17*J90))*F90/(1-Q90)</f>
        <v>842778.012960817</v>
      </c>
      <c r="AO90" s="1">
        <f t="shared" si="112"/>
        <v>17261006.1605158</v>
      </c>
      <c r="AP90" s="1">
        <f>IF(AO90="","",_xlfn.XLOOKUP(AO90,_曲线基线!$E$3:$E$502,_曲线基线!$A$3:$A$502,500,1))</f>
        <v>168</v>
      </c>
      <c r="AQ90" s="15">
        <f t="shared" si="115"/>
        <v>5</v>
      </c>
    </row>
    <row r="91" customHeight="1" spans="1:43">
      <c r="A91" s="1">
        <f>IFERROR(_xlfn.XLOOKUP(B91,_曲线基线!$G$3:$G$107,_曲线基线!$J$3:$J$107,""),"")</f>
        <v>34</v>
      </c>
      <c r="B91" s="1">
        <v>80</v>
      </c>
      <c r="C91" s="1">
        <f t="shared" si="63"/>
        <v>6</v>
      </c>
      <c r="D91" s="1">
        <f t="shared" si="64"/>
        <v>11</v>
      </c>
      <c r="E91" s="1">
        <f t="shared" si="90"/>
        <v>1</v>
      </c>
      <c r="F91" s="11">
        <f t="shared" si="113"/>
        <v>5</v>
      </c>
      <c r="G91" s="12">
        <f t="shared" ref="G91:L91" si="129">IF($B91&lt;G$8,0,G$3+(G$4-G$3)*(POWER(G$5,$B91-G$8)-1)/(POWER(G$5,$C$5-G$8)-1))</f>
        <v>0.636822034211474</v>
      </c>
      <c r="H91" s="12">
        <f t="shared" si="129"/>
        <v>0.517940505502947</v>
      </c>
      <c r="I91" s="12">
        <f t="shared" si="129"/>
        <v>0.181894272561994</v>
      </c>
      <c r="J91" s="12">
        <f t="shared" si="129"/>
        <v>0.384007957019138</v>
      </c>
      <c r="K91" s="12">
        <f t="shared" si="129"/>
        <v>0</v>
      </c>
      <c r="L91" s="12">
        <f t="shared" si="129"/>
        <v>0.514206983627796</v>
      </c>
      <c r="M91" s="2">
        <f>E91*模块规划!$F$10+G91*模块规划!$F$11+H91*模块规划!$F$13</f>
        <v>4056.74576421508</v>
      </c>
      <c r="N91" s="2">
        <f>I91*模块规划!$F$15+J91*模块规划!$F$17+K91*模块规划!$F$16+L91*模块规划!$F$18</f>
        <v>7866.26866882631</v>
      </c>
      <c r="O91" s="2">
        <f t="shared" si="92"/>
        <v>2.25993337201039</v>
      </c>
      <c r="P91" s="13">
        <f t="shared" si="93"/>
        <v>17034.2438031378</v>
      </c>
      <c r="Q91" s="7">
        <f>P91/(P91+_曲线基线!$L$2)</f>
        <v>0.415122644512708</v>
      </c>
      <c r="R91" s="2">
        <f>E91*模块规划!$E$10+G91*模块规划!$E$11+H91*模块规划!$E$13</f>
        <v>6085.11864632261</v>
      </c>
      <c r="S91" s="2">
        <f>I91*模块规划!$E$15+J91*模块规划!$E$17+K91*模块规划!$E$16+L91*模块规划!$E$18</f>
        <v>11799.4030032395</v>
      </c>
      <c r="T91" s="2">
        <f t="shared" si="94"/>
        <v>2.25993337201039</v>
      </c>
      <c r="U91" s="13">
        <f t="shared" si="95"/>
        <v>25551.3657047066</v>
      </c>
      <c r="V91" s="2">
        <f t="shared" si="96"/>
        <v>0.855382151650884</v>
      </c>
      <c r="W91" s="2">
        <f t="shared" si="97"/>
        <v>0.207176202201179</v>
      </c>
      <c r="X91" s="2">
        <f t="shared" si="98"/>
        <v>0.417433639013311</v>
      </c>
      <c r="Y91" s="2">
        <f t="shared" si="99"/>
        <v>1</v>
      </c>
      <c r="Z91" s="2">
        <f t="shared" si="100"/>
        <v>1</v>
      </c>
      <c r="AA91" s="2">
        <f t="shared" si="101"/>
        <v>1</v>
      </c>
      <c r="AB91" s="2">
        <f t="shared" si="102"/>
        <v>1</v>
      </c>
      <c r="AC91" s="2">
        <f t="shared" si="103"/>
        <v>1</v>
      </c>
      <c r="AD91" s="1">
        <f t="shared" si="104"/>
        <v>1.58529466313645</v>
      </c>
      <c r="AE91" s="2">
        <f t="shared" si="105"/>
        <v>1</v>
      </c>
      <c r="AF91" s="2">
        <f t="shared" si="106"/>
        <v>1.11120059720578</v>
      </c>
      <c r="AG91" s="2">
        <f t="shared" si="107"/>
        <v>1.19707216949246</v>
      </c>
      <c r="AH91" s="2">
        <f>MIN(1,_曲线基线!$L$3+AH$9*($H$10*H91+$I$10*I91+$J$10*J91+$K$10*K91+$L$10*L91))</f>
        <v>0.302981358643138</v>
      </c>
      <c r="AI91" s="2">
        <f>_曲线基线!$L$4+AI$9*($H$10*H91+$I$10*I91+$J$10*J91+$K$10*K91+$L$10*L91)</f>
        <v>2.7047337847916</v>
      </c>
      <c r="AJ91" s="2">
        <f t="shared" si="108"/>
        <v>1.57824310547003</v>
      </c>
      <c r="AK91" s="1">
        <f t="shared" si="109"/>
        <v>2.39340970697155</v>
      </c>
      <c r="AL91" s="1">
        <f t="shared" si="110"/>
        <v>484742.577583024</v>
      </c>
      <c r="AM91" s="14">
        <f t="shared" si="111"/>
        <v>36.6039324038685</v>
      </c>
      <c r="AN91" s="14">
        <f>(((E91*模块规划!$D$10+G91*模块规划!$D$11+H91*模块规划!$D$13)*(1+模块规划!$G$14*H91)+(I91*模块规划!$D$15+J91*模块规划!$D$17+K91*模块规划!$D$16+L91*模块规划!$D$18))*(1+模块规划!$J$17*J91))*F91/(1-Q91)</f>
        <v>862561.142335382</v>
      </c>
      <c r="AO91" s="1">
        <f t="shared" si="112"/>
        <v>17743484.543126</v>
      </c>
      <c r="AP91" s="1">
        <f>IF(AO91="","",_xlfn.XLOOKUP(AO91,_曲线基线!$E$3:$E$502,_曲线基线!$A$3:$A$502,500,1))</f>
        <v>170</v>
      </c>
      <c r="AQ91" s="15">
        <f t="shared" si="115"/>
        <v>5</v>
      </c>
    </row>
    <row r="92" customHeight="1" spans="1:43">
      <c r="A92" s="1">
        <f>IFERROR(_xlfn.XLOOKUP(B92,_曲线基线!$G$3:$G$107,_曲线基线!$J$3:$J$107,""),"")</f>
        <v>34</v>
      </c>
      <c r="B92" s="1">
        <v>81</v>
      </c>
      <c r="C92" s="1">
        <f t="shared" si="63"/>
        <v>6</v>
      </c>
      <c r="D92" s="1">
        <f t="shared" si="64"/>
        <v>12</v>
      </c>
      <c r="E92" s="1">
        <f t="shared" si="90"/>
        <v>1</v>
      </c>
      <c r="F92" s="11">
        <f t="shared" si="113"/>
        <v>5</v>
      </c>
      <c r="G92" s="12">
        <f t="shared" ref="G92:L92" si="130">IF($B92&lt;G$8,0,G$3+(G$4-G$3)*(POWER(G$5,$B92-G$8)-1)/(POWER(G$5,$C$5-G$8)-1))</f>
        <v>0.640974894152798</v>
      </c>
      <c r="H92" s="12">
        <f t="shared" si="130"/>
        <v>0.5216482376324</v>
      </c>
      <c r="I92" s="12">
        <f t="shared" si="130"/>
        <v>0.191427478453822</v>
      </c>
      <c r="J92" s="12">
        <f t="shared" si="130"/>
        <v>0.388406742370479</v>
      </c>
      <c r="K92" s="12">
        <f t="shared" si="130"/>
        <v>0</v>
      </c>
      <c r="L92" s="12">
        <f t="shared" si="130"/>
        <v>0.517990750786626</v>
      </c>
      <c r="M92" s="2">
        <f>E92*模块规划!$F$10+G92*模块规划!$F$11+H92*模块规划!$F$13</f>
        <v>4076.67949193343</v>
      </c>
      <c r="N92" s="2">
        <f>I92*模块规划!$F$15+J92*模块规划!$F$17+K92*模块规划!$F$16+L92*模块规划!$F$18</f>
        <v>8005.4410052685</v>
      </c>
      <c r="O92" s="2">
        <f t="shared" si="92"/>
        <v>2.27389163389956</v>
      </c>
      <c r="P92" s="13">
        <f t="shared" si="93"/>
        <v>17275.3683960658</v>
      </c>
      <c r="Q92" s="7">
        <f>P92/(P92+_曲线基线!$L$2)</f>
        <v>0.418539411454712</v>
      </c>
      <c r="R92" s="2">
        <f>E92*模块规划!$E$10+G92*模块规划!$E$11+H92*模块规划!$E$13</f>
        <v>6115.01923790014</v>
      </c>
      <c r="S92" s="2">
        <f>I92*模块规划!$E$15+J92*模块规划!$E$17+K92*模块规划!$E$16+L92*模块规划!$E$18</f>
        <v>12008.1615079027</v>
      </c>
      <c r="T92" s="2">
        <f t="shared" si="94"/>
        <v>2.27389163389956</v>
      </c>
      <c r="U92" s="13">
        <f t="shared" si="95"/>
        <v>25913.0525940987</v>
      </c>
      <c r="V92" s="2">
        <f t="shared" si="96"/>
        <v>0.85649447128972</v>
      </c>
      <c r="W92" s="2">
        <f t="shared" si="97"/>
        <v>0.20865929505296</v>
      </c>
      <c r="X92" s="2">
        <f t="shared" si="98"/>
        <v>0.41845326534891</v>
      </c>
      <c r="Y92" s="2">
        <f t="shared" si="99"/>
        <v>1</v>
      </c>
      <c r="Z92" s="2">
        <f t="shared" si="100"/>
        <v>1</v>
      </c>
      <c r="AA92" s="2">
        <f t="shared" si="101"/>
        <v>1</v>
      </c>
      <c r="AB92" s="2">
        <f t="shared" si="102"/>
        <v>1</v>
      </c>
      <c r="AC92" s="2">
        <f t="shared" si="103"/>
        <v>1</v>
      </c>
      <c r="AD92" s="1">
        <f t="shared" si="104"/>
        <v>1.59044621911928</v>
      </c>
      <c r="AE92" s="2">
        <f t="shared" si="105"/>
        <v>1</v>
      </c>
      <c r="AF92" s="2">
        <f t="shared" si="106"/>
        <v>1.11243254096765</v>
      </c>
      <c r="AG92" s="2">
        <f t="shared" si="107"/>
        <v>1.19925544760379</v>
      </c>
      <c r="AH92" s="2">
        <f>MIN(1,_曲线基线!$L$3+AH$9*($H$10*H92+$I$10*I92+$J$10*J92+$K$10*K92+$L$10*L92))</f>
        <v>0.305784030701412</v>
      </c>
      <c r="AI92" s="2">
        <f>_曲线基线!$L$4+AI$9*($H$10*H92+$I$10*I92+$J$10*J92+$K$10*K92+$L$10*L92)</f>
        <v>2.71254122838251</v>
      </c>
      <c r="AJ92" s="2">
        <f t="shared" si="108"/>
        <v>1.5846492130318</v>
      </c>
      <c r="AK92" s="1">
        <f t="shared" si="109"/>
        <v>2.41447891610416</v>
      </c>
      <c r="AL92" s="1">
        <f t="shared" si="110"/>
        <v>497543.419051116</v>
      </c>
      <c r="AM92" s="14">
        <f t="shared" si="111"/>
        <v>36.6333963678291</v>
      </c>
      <c r="AN92" s="14">
        <f>(((E92*模块规划!$D$10+G92*模块规划!$D$11+H92*模块规划!$D$13)*(1+模块规划!$G$14*H92)+(I92*模块规划!$D$15+J92*模块规划!$D$17+K92*模块规划!$D$16+L92*模块规划!$D$18))*(1+模块规划!$J$17*J92))*F92/(1-Q92)</f>
        <v>882237.263765108</v>
      </c>
      <c r="AO92" s="1">
        <f t="shared" si="112"/>
        <v>18226705.2803044</v>
      </c>
      <c r="AP92" s="1">
        <f>IF(AO92="","",_xlfn.XLOOKUP(AO92,_曲线基线!$E$3:$E$502,_曲线基线!$A$3:$A$502,500,1))</f>
        <v>172</v>
      </c>
      <c r="AQ92" s="15">
        <f t="shared" si="115"/>
        <v>5</v>
      </c>
    </row>
    <row r="93" customHeight="1" spans="1:43">
      <c r="A93" s="1">
        <f>IFERROR(_xlfn.XLOOKUP(B93,_曲线基线!$G$3:$G$107,_曲线基线!$J$3:$J$107,""),"")</f>
        <v>34</v>
      </c>
      <c r="B93" s="1">
        <v>82</v>
      </c>
      <c r="C93" s="1">
        <f t="shared" si="63"/>
        <v>6</v>
      </c>
      <c r="D93" s="1">
        <f t="shared" si="64"/>
        <v>13</v>
      </c>
      <c r="E93" s="1">
        <f t="shared" si="90"/>
        <v>1</v>
      </c>
      <c r="F93" s="11">
        <f t="shared" si="113"/>
        <v>5</v>
      </c>
      <c r="G93" s="12">
        <f t="shared" ref="G93:L93" si="131">IF($B93&lt;G$8,0,G$3+(G$4-G$3)*(POWER(G$5,$B93-G$8)-1)/(POWER(G$5,$C$5-G$8)-1))</f>
        <v>0.645065461195002</v>
      </c>
      <c r="H93" s="12">
        <f t="shared" si="131"/>
        <v>0.525281815119263</v>
      </c>
      <c r="I93" s="12">
        <f t="shared" si="131"/>
        <v>0.200770020227814</v>
      </c>
      <c r="J93" s="12">
        <f t="shared" si="131"/>
        <v>0.392717552014794</v>
      </c>
      <c r="K93" s="12">
        <f t="shared" si="131"/>
        <v>0</v>
      </c>
      <c r="L93" s="12">
        <f t="shared" si="131"/>
        <v>0.521698842602279</v>
      </c>
      <c r="M93" s="2">
        <f>E93*模块规划!$F$10+G93*模块规划!$F$11+H93*模块规划!$F$13</f>
        <v>4096.31421373601</v>
      </c>
      <c r="N93" s="2">
        <f>I93*模块规划!$F$15+J93*模块规划!$F$17+K93*模块规划!$F$16+L93*模块规划!$F$18</f>
        <v>8141.82989498185</v>
      </c>
      <c r="O93" s="2">
        <f t="shared" si="92"/>
        <v>2.28757073055096</v>
      </c>
      <c r="P93" s="13">
        <f t="shared" si="93"/>
        <v>17512.4383934642</v>
      </c>
      <c r="Q93" s="7">
        <f>P93/(P93+_曲线基线!$L$2)</f>
        <v>0.421860027288144</v>
      </c>
      <c r="R93" s="2">
        <f>E93*模块规划!$E$10+G93*模块规划!$E$11+H93*模块规划!$E$13</f>
        <v>6144.47132060401</v>
      </c>
      <c r="S93" s="2">
        <f>I93*模块规划!$E$15+J93*模块规划!$E$17+K93*模块规划!$E$16+L93*模块规划!$E$18</f>
        <v>12212.7448424728</v>
      </c>
      <c r="T93" s="2">
        <f t="shared" si="94"/>
        <v>2.28757073055096</v>
      </c>
      <c r="U93" s="13">
        <f t="shared" si="95"/>
        <v>26268.6575901963</v>
      </c>
      <c r="V93" s="2">
        <f t="shared" si="96"/>
        <v>0.857584544535779</v>
      </c>
      <c r="W93" s="2">
        <f t="shared" si="97"/>
        <v>0.210112726047705</v>
      </c>
      <c r="X93" s="2">
        <f t="shared" si="98"/>
        <v>0.419452499157797</v>
      </c>
      <c r="Y93" s="2">
        <f t="shared" si="99"/>
        <v>1</v>
      </c>
      <c r="Z93" s="2">
        <f t="shared" si="100"/>
        <v>1</v>
      </c>
      <c r="AA93" s="2">
        <f t="shared" si="101"/>
        <v>1</v>
      </c>
      <c r="AB93" s="2">
        <f t="shared" si="102"/>
        <v>1</v>
      </c>
      <c r="AC93" s="2">
        <f t="shared" si="103"/>
        <v>1</v>
      </c>
      <c r="AD93" s="1">
        <f t="shared" si="104"/>
        <v>1.59550260884053</v>
      </c>
      <c r="AE93" s="2">
        <f t="shared" si="105"/>
        <v>1</v>
      </c>
      <c r="AF93" s="2">
        <f t="shared" si="106"/>
        <v>1.1136398458543</v>
      </c>
      <c r="AG93" s="2">
        <f t="shared" si="107"/>
        <v>1.20139506015289</v>
      </c>
      <c r="AH93" s="2">
        <f>MIN(1,_曲线基线!$L$3+AH$9*($H$10*H93+$I$10*I93+$J$10*J93+$K$10*K93+$L$10*L93))</f>
        <v>0.308530649318521</v>
      </c>
      <c r="AI93" s="2">
        <f>_曲线基线!$L$4+AI$9*($H$10*H93+$I$10*I93+$J$10*J93+$K$10*K93+$L$10*L93)</f>
        <v>2.72019252310159</v>
      </c>
      <c r="AJ93" s="2">
        <f t="shared" si="108"/>
        <v>1.59092719844233</v>
      </c>
      <c r="AK93" s="1">
        <f t="shared" si="109"/>
        <v>2.43528335704127</v>
      </c>
      <c r="AL93" s="1">
        <f t="shared" si="110"/>
        <v>510334.470034175</v>
      </c>
      <c r="AM93" s="14">
        <f t="shared" si="111"/>
        <v>36.6631549714293</v>
      </c>
      <c r="AN93" s="14">
        <f>(((E93*模块规划!$D$10+G93*模块规划!$D$11+H93*模块规划!$D$13)*(1+模块规划!$G$14*H93)+(I93*模块规划!$D$15+J93*模块规划!$D$17+K93*模块规划!$D$16+L93*模块规划!$D$18))*(1+模块规划!$J$17*J93))*F93/(1-Q93)</f>
        <v>901800.286932156</v>
      </c>
      <c r="AO93" s="1">
        <f t="shared" si="112"/>
        <v>18710471.7621252</v>
      </c>
      <c r="AP93" s="1">
        <f>IF(AO93="","",_xlfn.XLOOKUP(AO93,_曲线基线!$E$3:$E$502,_曲线基线!$A$3:$A$502,500,1))</f>
        <v>173</v>
      </c>
      <c r="AQ93" s="15">
        <f t="shared" si="115"/>
        <v>5</v>
      </c>
    </row>
    <row r="94" customHeight="1" spans="1:43">
      <c r="A94" s="1">
        <f>IFERROR(_xlfn.XLOOKUP(B94,_曲线基线!$G$3:$G$107,_曲线基线!$J$3:$J$107,""),"")</f>
        <v>34</v>
      </c>
      <c r="B94" s="1">
        <v>83</v>
      </c>
      <c r="C94" s="1">
        <f t="shared" si="63"/>
        <v>6</v>
      </c>
      <c r="D94" s="1">
        <f t="shared" si="64"/>
        <v>14</v>
      </c>
      <c r="E94" s="1">
        <f t="shared" si="90"/>
        <v>1</v>
      </c>
      <c r="F94" s="11">
        <f t="shared" si="113"/>
        <v>5</v>
      </c>
      <c r="G94" s="12">
        <f t="shared" ref="G94:L94" si="132">IF($B94&lt;G$8,0,G$3+(G$4-G$3)*(POWER(G$5,$B94-G$8)-1)/(POWER(G$5,$C$5-G$8)-1))</f>
        <v>0.649094669731572</v>
      </c>
      <c r="H94" s="12">
        <f t="shared" si="132"/>
        <v>0.528842721056389</v>
      </c>
      <c r="I94" s="12">
        <f t="shared" si="132"/>
        <v>0.209925711166326</v>
      </c>
      <c r="J94" s="12">
        <f t="shared" si="132"/>
        <v>0.396942145466222</v>
      </c>
      <c r="K94" s="12">
        <f t="shared" si="132"/>
        <v>0</v>
      </c>
      <c r="L94" s="12">
        <f t="shared" si="132"/>
        <v>0.525332772581619</v>
      </c>
      <c r="M94" s="2">
        <f>E94*模块规划!$F$10+G94*模块规划!$F$11+H94*模块规划!$F$13</f>
        <v>4115.65441471155</v>
      </c>
      <c r="N94" s="2">
        <f>I94*模块规划!$F$15+J94*模块规划!$F$17+K94*模块规划!$F$16+L94*模块规划!$F$18</f>
        <v>8275.49100690092</v>
      </c>
      <c r="O94" s="2">
        <f t="shared" si="92"/>
        <v>2.30097624526932</v>
      </c>
      <c r="P94" s="13">
        <f t="shared" si="93"/>
        <v>17745.51404889</v>
      </c>
      <c r="Q94" s="7">
        <f>P94/(P94+_曲线基线!$L$2)</f>
        <v>0.425087927486231</v>
      </c>
      <c r="R94" s="2">
        <f>E94*模块规划!$E$10+G94*模块规划!$E$11+H94*模块规划!$E$13</f>
        <v>6173.48162206732</v>
      </c>
      <c r="S94" s="2">
        <f>I94*模块规划!$E$15+J94*模块规划!$E$17+K94*模块规划!$E$16+L94*模块规划!$E$18</f>
        <v>12413.2365103514</v>
      </c>
      <c r="T94" s="2">
        <f t="shared" si="94"/>
        <v>2.30097624526932</v>
      </c>
      <c r="U94" s="13">
        <f t="shared" si="95"/>
        <v>26618.271073335</v>
      </c>
      <c r="V94" s="2">
        <f t="shared" si="96"/>
        <v>0.858652816316917</v>
      </c>
      <c r="W94" s="2">
        <f t="shared" si="97"/>
        <v>0.211537088422556</v>
      </c>
      <c r="X94" s="2">
        <f t="shared" si="98"/>
        <v>0.420431748290507</v>
      </c>
      <c r="Y94" s="2">
        <f t="shared" si="99"/>
        <v>1</v>
      </c>
      <c r="Z94" s="2">
        <f t="shared" si="100"/>
        <v>1</v>
      </c>
      <c r="AA94" s="2">
        <f t="shared" si="101"/>
        <v>1</v>
      </c>
      <c r="AB94" s="2">
        <f t="shared" si="102"/>
        <v>1</v>
      </c>
      <c r="AC94" s="2">
        <f t="shared" si="103"/>
        <v>1</v>
      </c>
      <c r="AD94" s="1">
        <f t="shared" si="104"/>
        <v>1.60046542417707</v>
      </c>
      <c r="AE94" s="2">
        <f t="shared" si="105"/>
        <v>1</v>
      </c>
      <c r="AF94" s="2">
        <f t="shared" si="106"/>
        <v>1.1148230046432</v>
      </c>
      <c r="AG94" s="2">
        <f t="shared" si="107"/>
        <v>1.20349188045101</v>
      </c>
      <c r="AH94" s="2">
        <f>MIN(1,_曲线基线!$L$3+AH$9*($H$10*H94+$I$10*I94+$J$10*J94+$K$10*K94+$L$10*L94))</f>
        <v>0.311222335563288</v>
      </c>
      <c r="AI94" s="2">
        <f>_曲线基线!$L$4+AI$9*($H$10*H94+$I$10*I94+$J$10*J94+$K$10*K94+$L$10*L94)</f>
        <v>2.7276907919263</v>
      </c>
      <c r="AJ94" s="2">
        <f t="shared" si="108"/>
        <v>1.59707962414466</v>
      </c>
      <c r="AK94" s="1">
        <f t="shared" si="109"/>
        <v>2.45582289126683</v>
      </c>
      <c r="AL94" s="1">
        <f t="shared" si="110"/>
        <v>523110.198755169</v>
      </c>
      <c r="AM94" s="14">
        <f t="shared" si="111"/>
        <v>36.6932111610654</v>
      </c>
      <c r="AN94" s="14">
        <f>(((E94*模块规划!$D$10+G94*模块规划!$D$11+H94*模块规划!$D$13)*(1+模块规划!$G$14*H94)+(I94*模块规划!$D$15+J94*模块规划!$D$17+K94*模块规划!$D$16+L94*模块规划!$D$18))*(1+模块规划!$J$17*J94))*F94/(1-Q94)</f>
        <v>921244.439555273</v>
      </c>
      <c r="AO94" s="1">
        <f t="shared" si="112"/>
        <v>19194592.9834303</v>
      </c>
      <c r="AP94" s="1">
        <f>IF(AO94="","",_xlfn.XLOOKUP(AO94,_曲线基线!$E$3:$E$502,_曲线基线!$A$3:$A$502,500,1))</f>
        <v>175</v>
      </c>
      <c r="AQ94" s="15">
        <f t="shared" si="115"/>
        <v>5</v>
      </c>
    </row>
    <row r="95" customHeight="1" spans="1:43">
      <c r="A95" s="1">
        <f>IFERROR(_xlfn.XLOOKUP(B95,_曲线基线!$G$3:$G$107,_曲线基线!$J$3:$J$107,""),"")</f>
        <v>34</v>
      </c>
      <c r="B95" s="1">
        <v>84</v>
      </c>
      <c r="C95" s="1">
        <f t="shared" si="63"/>
        <v>6</v>
      </c>
      <c r="D95" s="1">
        <f t="shared" si="64"/>
        <v>15</v>
      </c>
      <c r="E95" s="1">
        <f t="shared" si="90"/>
        <v>1</v>
      </c>
      <c r="F95" s="11">
        <f t="shared" si="113"/>
        <v>5</v>
      </c>
      <c r="G95" s="12">
        <f t="shared" ref="G95:L95" si="133">IF($B95&lt;G$8,0,G$3+(G$4-G$3)*(POWER(G$5,$B95-G$8)-1)/(POWER(G$5,$C$5-G$8)-1))</f>
        <v>0.653063440140095</v>
      </c>
      <c r="H95" s="12">
        <f t="shared" si="133"/>
        <v>0.532332408874773</v>
      </c>
      <c r="I95" s="12">
        <f t="shared" si="133"/>
        <v>0.218898288286068</v>
      </c>
      <c r="J95" s="12">
        <f t="shared" si="133"/>
        <v>0.401082247048621</v>
      </c>
      <c r="K95" s="12">
        <f t="shared" si="133"/>
        <v>0</v>
      </c>
      <c r="L95" s="12">
        <f t="shared" si="133"/>
        <v>0.528894023961373</v>
      </c>
      <c r="M95" s="2">
        <f>E95*模块规划!$F$10+G95*模块规划!$F$11+H95*模块规划!$F$13</f>
        <v>4134.70451267245</v>
      </c>
      <c r="N95" s="2">
        <f>I95*模块规划!$F$15+J95*模块规划!$F$17+K95*模块规划!$F$16+L95*模块规划!$F$18</f>
        <v>8406.47889658162</v>
      </c>
      <c r="O95" s="2">
        <f t="shared" si="92"/>
        <v>2.31411364969332</v>
      </c>
      <c r="P95" s="13">
        <f t="shared" si="93"/>
        <v>17974.6550468055</v>
      </c>
      <c r="Q95" s="7">
        <f>P95/(P95+_曲线基线!$L$2)</f>
        <v>0.428226391062944</v>
      </c>
      <c r="R95" s="2">
        <f>E95*模块规划!$E$10+G95*模块规划!$E$11+H95*模块规划!$E$13</f>
        <v>6202.05676900868</v>
      </c>
      <c r="S95" s="2">
        <f>I95*模块规划!$E$15+J95*模块规划!$E$17+K95*模块规划!$E$16+L95*模块规划!$E$18</f>
        <v>12609.7183448724</v>
      </c>
      <c r="T95" s="2">
        <f t="shared" si="94"/>
        <v>2.31411364969332</v>
      </c>
      <c r="U95" s="13">
        <f t="shared" si="95"/>
        <v>26961.9825702083</v>
      </c>
      <c r="V95" s="2">
        <f t="shared" si="96"/>
        <v>0.859699722662432</v>
      </c>
      <c r="W95" s="2">
        <f t="shared" si="97"/>
        <v>0.212932963549909</v>
      </c>
      <c r="X95" s="2">
        <f t="shared" si="98"/>
        <v>0.421391412440563</v>
      </c>
      <c r="Y95" s="2">
        <f t="shared" si="99"/>
        <v>1</v>
      </c>
      <c r="Z95" s="2">
        <f t="shared" si="100"/>
        <v>1</v>
      </c>
      <c r="AA95" s="2">
        <f t="shared" si="101"/>
        <v>1</v>
      </c>
      <c r="AB95" s="2">
        <f t="shared" si="102"/>
        <v>1</v>
      </c>
      <c r="AC95" s="2">
        <f t="shared" si="103"/>
        <v>1</v>
      </c>
      <c r="AD95" s="1">
        <f t="shared" si="104"/>
        <v>1.60533623750157</v>
      </c>
      <c r="AE95" s="2">
        <f t="shared" si="105"/>
        <v>1</v>
      </c>
      <c r="AF95" s="2">
        <f t="shared" si="106"/>
        <v>1.11598250025633</v>
      </c>
      <c r="AG95" s="2">
        <f t="shared" si="107"/>
        <v>1.20554676434317</v>
      </c>
      <c r="AH95" s="2">
        <f>MIN(1,_曲线基线!$L$3+AH$9*($H$10*H95+$I$10*I95+$J$10*J95+$K$10*K95+$L$10*L95))</f>
        <v>0.313860188083159</v>
      </c>
      <c r="AI95" s="2">
        <f>_曲线基线!$L$4+AI$9*($H$10*H95+$I$10*I95+$J$10*J95+$K$10*K95+$L$10*L95)</f>
        <v>2.73503909537451</v>
      </c>
      <c r="AJ95" s="2">
        <f t="shared" si="108"/>
        <v>1.60310900133293</v>
      </c>
      <c r="AK95" s="1">
        <f t="shared" si="109"/>
        <v>2.47609755304557</v>
      </c>
      <c r="AL95" s="1">
        <f t="shared" si="110"/>
        <v>535865.241932534</v>
      </c>
      <c r="AM95" s="14">
        <f t="shared" si="111"/>
        <v>36.7235679125979</v>
      </c>
      <c r="AN95" s="14">
        <f>(((E95*模块规划!$D$10+G95*模块规划!$D$11+H95*模块规划!$D$13)*(1+模块规划!$G$14*H95)+(I95*模块规划!$D$15+J95*模块规划!$D$17+K95*模块规划!$D$16+L95*模块规划!$D$18))*(1+模块规划!$J$17*J95))*F95/(1-Q95)</f>
        <v>940564.25914262</v>
      </c>
      <c r="AO95" s="1">
        <f t="shared" si="112"/>
        <v>19678883.6041101</v>
      </c>
      <c r="AP95" s="1">
        <f>IF(AO95="","",_xlfn.XLOOKUP(AO95,_曲线基线!$E$3:$E$502,_曲线基线!$A$3:$A$502,500,1))</f>
        <v>176</v>
      </c>
      <c r="AQ95" s="15">
        <f t="shared" si="115"/>
        <v>5</v>
      </c>
    </row>
    <row r="96" customHeight="1" spans="1:43">
      <c r="A96" s="1">
        <f>IFERROR(_xlfn.XLOOKUP(B96,_曲线基线!$G$3:$G$107,_曲线基线!$J$3:$J$107,""),"")</f>
        <v>35</v>
      </c>
      <c r="B96" s="1">
        <v>85</v>
      </c>
      <c r="C96" s="1">
        <f t="shared" si="63"/>
        <v>7</v>
      </c>
      <c r="D96" s="1">
        <f t="shared" si="64"/>
        <v>1</v>
      </c>
      <c r="E96" s="1">
        <f t="shared" si="90"/>
        <v>1</v>
      </c>
      <c r="F96" s="11">
        <f t="shared" si="113"/>
        <v>5</v>
      </c>
      <c r="G96" s="12">
        <f t="shared" ref="G96:L96" si="134">IF($B96&lt;G$8,0,G$3+(G$4-G$3)*(POWER(G$5,$B96-G$8)-1)/(POWER(G$5,$C$5-G$8)-1))</f>
        <v>0.656972678992489</v>
      </c>
      <c r="H96" s="12">
        <f t="shared" si="134"/>
        <v>0.535752302936789</v>
      </c>
      <c r="I96" s="12">
        <f t="shared" si="134"/>
        <v>0.227691413863415</v>
      </c>
      <c r="J96" s="12">
        <f t="shared" si="134"/>
        <v>0.405139546599373</v>
      </c>
      <c r="K96" s="12">
        <f t="shared" si="134"/>
        <v>0</v>
      </c>
      <c r="L96" s="12">
        <f t="shared" si="134"/>
        <v>0.532384050313531</v>
      </c>
      <c r="M96" s="2">
        <f>E96*模块规划!$F$10+G96*模块规划!$F$11+H96*模块规划!$F$13</f>
        <v>4153.46885916395</v>
      </c>
      <c r="N96" s="2">
        <f>I96*模块规划!$F$15+J96*模块规划!$F$17+K96*模块规划!$F$16+L96*模块规划!$F$18</f>
        <v>8534.8470284687</v>
      </c>
      <c r="O96" s="2">
        <f t="shared" si="92"/>
        <v>2.32698830602884</v>
      </c>
      <c r="P96" s="13">
        <f t="shared" si="93"/>
        <v>18199.9204931982</v>
      </c>
      <c r="Q96" s="7">
        <f>P96/(P96+_曲线基线!$L$2)</f>
        <v>0.431278549354889</v>
      </c>
      <c r="R96" s="2">
        <f>E96*模块规划!$E$10+G96*模块规划!$E$11+H96*模块规划!$E$13</f>
        <v>6230.20328874592</v>
      </c>
      <c r="S96" s="2">
        <f>I96*模块规划!$E$15+J96*模块规划!$E$17+K96*模块规划!$E$16+L96*模块规划!$E$18</f>
        <v>12802.2705427031</v>
      </c>
      <c r="T96" s="2">
        <f t="shared" si="94"/>
        <v>2.32698830602884</v>
      </c>
      <c r="U96" s="13">
        <f t="shared" si="95"/>
        <v>27299.8807397972</v>
      </c>
      <c r="V96" s="2">
        <f t="shared" si="96"/>
        <v>0.860725690881037</v>
      </c>
      <c r="W96" s="2">
        <f t="shared" si="97"/>
        <v>0.214300921174715</v>
      </c>
      <c r="X96" s="2">
        <f t="shared" si="98"/>
        <v>0.422331883307617</v>
      </c>
      <c r="Y96" s="2">
        <f t="shared" si="99"/>
        <v>1</v>
      </c>
      <c r="Z96" s="2">
        <f t="shared" si="100"/>
        <v>1</v>
      </c>
      <c r="AA96" s="2">
        <f t="shared" si="101"/>
        <v>1</v>
      </c>
      <c r="AB96" s="2">
        <f t="shared" si="102"/>
        <v>1</v>
      </c>
      <c r="AC96" s="2">
        <f t="shared" si="103"/>
        <v>1</v>
      </c>
      <c r="AD96" s="1">
        <f t="shared" si="104"/>
        <v>1.61011660158419</v>
      </c>
      <c r="AE96" s="2">
        <f t="shared" si="105"/>
        <v>1</v>
      </c>
      <c r="AF96" s="2">
        <f t="shared" si="106"/>
        <v>1.1171188059572</v>
      </c>
      <c r="AG96" s="2">
        <f t="shared" si="107"/>
        <v>1.20756055055749</v>
      </c>
      <c r="AH96" s="2">
        <f>MIN(1,_曲线基线!$L$3+AH$9*($H$10*H96+$I$10*I96+$J$10*J96+$K$10*K96+$L$10*L96))</f>
        <v>0.316445283552633</v>
      </c>
      <c r="AI96" s="2">
        <f>_曲线基线!$L$4+AI$9*($H$10*H96+$I$10*I96+$J$10*J96+$K$10*K96+$L$10*L96)</f>
        <v>2.74224043275376</v>
      </c>
      <c r="AJ96" s="2">
        <f t="shared" si="108"/>
        <v>1.60901779097745</v>
      </c>
      <c r="AK96" s="1">
        <f t="shared" si="109"/>
        <v>2.4961075418914</v>
      </c>
      <c r="AL96" s="1">
        <f t="shared" si="110"/>
        <v>548594.405733352</v>
      </c>
      <c r="AM96" s="14">
        <f t="shared" si="111"/>
        <v>36.7542282316458</v>
      </c>
      <c r="AN96" s="14">
        <f>(((E96*模块规划!$D$10+G96*模块规划!$D$11+H96*模块规划!$D$13)*(1+模块规划!$G$14*H96)+(I96*模块规划!$D$15+J96*模块规划!$D$17+K96*模块规划!$D$16+L96*模块规划!$D$18))*(1+模块规划!$J$17*J96))*F96/(1-Q96)</f>
        <v>959754.584710682</v>
      </c>
      <c r="AO96" s="1">
        <f t="shared" si="112"/>
        <v>20163163.9949277</v>
      </c>
      <c r="AP96" s="1">
        <f>IF(AO96="","",_xlfn.XLOOKUP(AO96,_曲线基线!$E$3:$E$502,_曲线基线!$A$3:$A$502,500,1))</f>
        <v>177</v>
      </c>
      <c r="AQ96" s="15">
        <f t="shared" si="115"/>
        <v>5</v>
      </c>
    </row>
    <row r="97" customHeight="1" spans="1:43">
      <c r="A97" s="1">
        <f>IFERROR(_xlfn.XLOOKUP(B97,_曲线基线!$G$3:$G$107,_曲线基线!$J$3:$J$107,""),"")</f>
        <v>35</v>
      </c>
      <c r="B97" s="1">
        <v>86</v>
      </c>
      <c r="C97" s="1">
        <f t="shared" si="63"/>
        <v>7</v>
      </c>
      <c r="D97" s="1">
        <f t="shared" si="64"/>
        <v>2</v>
      </c>
      <c r="E97" s="1">
        <f t="shared" si="90"/>
        <v>1</v>
      </c>
      <c r="F97" s="11">
        <f t="shared" si="113"/>
        <v>5</v>
      </c>
      <c r="G97" s="12">
        <f t="shared" ref="G97:L97" si="135">IF($B97&lt;G$8,0,G$3+(G$4-G$3)*(POWER(G$5,$B97-G$8)-1)/(POWER(G$5,$C$5-G$8)-1))</f>
        <v>0.660823279262098</v>
      </c>
      <c r="H97" s="12">
        <f t="shared" si="135"/>
        <v>0.539103799117564</v>
      </c>
      <c r="I97" s="12">
        <f t="shared" si="135"/>
        <v>0.236308676929215</v>
      </c>
      <c r="J97" s="12">
        <f t="shared" si="135"/>
        <v>0.409115700159109</v>
      </c>
      <c r="K97" s="12">
        <f t="shared" si="135"/>
        <v>0</v>
      </c>
      <c r="L97" s="12">
        <f t="shared" si="135"/>
        <v>0.535804276138646</v>
      </c>
      <c r="M97" s="2">
        <f>E97*模块规划!$F$10+G97*模块规划!$F$11+H97*模块规划!$F$13</f>
        <v>4171.95174045807</v>
      </c>
      <c r="N97" s="2">
        <f>I97*模块规划!$F$15+J97*模块规划!$F$17+K97*模块规划!$F$16+L97*模块规划!$F$18</f>
        <v>8660.64779771804</v>
      </c>
      <c r="O97" s="2">
        <f t="shared" si="92"/>
        <v>2.33960546923765</v>
      </c>
      <c r="P97" s="13">
        <f t="shared" si="93"/>
        <v>18421.3689070893</v>
      </c>
      <c r="Q97" s="7">
        <f>P97/(P97+_曲线基线!$L$2)</f>
        <v>0.434247394218596</v>
      </c>
      <c r="R97" s="2">
        <f>E97*模块规划!$E$10+G97*模块规划!$E$11+H97*模块规划!$E$13</f>
        <v>6257.9276106871</v>
      </c>
      <c r="S97" s="2">
        <f>I97*模块规划!$E$15+J97*模块规划!$E$17+K97*模块规划!$E$16+L97*模块规划!$E$18</f>
        <v>12990.9716965771</v>
      </c>
      <c r="T97" s="2">
        <f t="shared" si="94"/>
        <v>2.33960546923765</v>
      </c>
      <c r="U97" s="13">
        <f t="shared" si="95"/>
        <v>27632.0533606339</v>
      </c>
      <c r="V97" s="2">
        <f t="shared" si="96"/>
        <v>0.861731139735269</v>
      </c>
      <c r="W97" s="2">
        <f t="shared" si="97"/>
        <v>0.215641519647026</v>
      </c>
      <c r="X97" s="2">
        <f t="shared" si="98"/>
        <v>0.42325354475733</v>
      </c>
      <c r="Y97" s="2">
        <f t="shared" si="99"/>
        <v>1</v>
      </c>
      <c r="Z97" s="2">
        <f t="shared" si="100"/>
        <v>1</v>
      </c>
      <c r="AA97" s="2">
        <f t="shared" si="101"/>
        <v>1</v>
      </c>
      <c r="AB97" s="2">
        <f t="shared" si="102"/>
        <v>1</v>
      </c>
      <c r="AC97" s="2">
        <f t="shared" si="103"/>
        <v>1</v>
      </c>
      <c r="AD97" s="1">
        <f t="shared" si="104"/>
        <v>1.6148080495156</v>
      </c>
      <c r="AE97" s="2">
        <f t="shared" si="105"/>
        <v>1</v>
      </c>
      <c r="AF97" s="2">
        <f t="shared" si="106"/>
        <v>1.11823238554405</v>
      </c>
      <c r="AG97" s="2">
        <f t="shared" si="107"/>
        <v>1.20953406104752</v>
      </c>
      <c r="AH97" s="2">
        <f>MIN(1,_曲线基线!$L$3+AH$9*($H$10*H97+$I$10*I97+$J$10*J97+$K$10*K97+$L$10*L97))</f>
        <v>0.318978677112717</v>
      </c>
      <c r="AI97" s="2">
        <f>_曲线基线!$L$4+AI$9*($H$10*H97+$I$10*I97+$J$10*J97+$K$10*K97+$L$10*L97)</f>
        <v>2.74929774338543</v>
      </c>
      <c r="AJ97" s="2">
        <f t="shared" si="108"/>
        <v>1.61480840482907</v>
      </c>
      <c r="AK97" s="1">
        <f t="shared" si="109"/>
        <v>2.51585321519161</v>
      </c>
      <c r="AL97" s="1">
        <f t="shared" si="110"/>
        <v>561292.666337799</v>
      </c>
      <c r="AM97" s="14">
        <f t="shared" si="111"/>
        <v>36.7851951538841</v>
      </c>
      <c r="AN97" s="14">
        <f>(((E97*模块规划!$D$10+G97*模块规划!$D$11+H97*模块规划!$D$13)*(1+模块规划!$G$14*H97)+(I97*模块规划!$D$15+J97*模块规划!$D$17+K97*模块规划!$D$16+L97*模块规划!$D$18))*(1+模块规划!$J$17*J97))*F97/(1-Q97)</f>
        <v>978810.548490182</v>
      </c>
      <c r="AO97" s="1">
        <f t="shared" si="112"/>
        <v>20647260.2696799</v>
      </c>
      <c r="AP97" s="1">
        <f>IF(AO97="","",_xlfn.XLOOKUP(AO97,_曲线基线!$E$3:$E$502,_曲线基线!$A$3:$A$502,500,1))</f>
        <v>179</v>
      </c>
      <c r="AQ97" s="15">
        <f t="shared" si="115"/>
        <v>5</v>
      </c>
    </row>
    <row r="98" customHeight="1" spans="1:43">
      <c r="A98" s="1">
        <f>IFERROR(_xlfn.XLOOKUP(B98,_曲线基线!$G$3:$G$107,_曲线基线!$J$3:$J$107,""),"")</f>
        <v>35</v>
      </c>
      <c r="B98" s="1">
        <v>87</v>
      </c>
      <c r="C98" s="1">
        <f t="shared" si="63"/>
        <v>7</v>
      </c>
      <c r="D98" s="1">
        <f t="shared" si="64"/>
        <v>3</v>
      </c>
      <c r="E98" s="1">
        <f t="shared" si="90"/>
        <v>1</v>
      </c>
      <c r="F98" s="11">
        <f t="shared" si="113"/>
        <v>5</v>
      </c>
      <c r="G98" s="12">
        <f t="shared" ref="G98:L98" si="136">IF($B98&lt;G$8,0,G$3+(G$4-G$3)*(POWER(G$5,$B98-G$8)-1)/(POWER(G$5,$C$5-G$8)-1))</f>
        <v>0.664616120527662</v>
      </c>
      <c r="H98" s="12">
        <f t="shared" si="136"/>
        <v>0.542388265374724</v>
      </c>
      <c r="I98" s="12">
        <f t="shared" si="136"/>
        <v>0.244753594733698</v>
      </c>
      <c r="J98" s="12">
        <f t="shared" si="136"/>
        <v>0.413012330647651</v>
      </c>
      <c r="K98" s="12">
        <f t="shared" si="136"/>
        <v>0</v>
      </c>
      <c r="L98" s="12">
        <f t="shared" si="136"/>
        <v>0.539156097447259</v>
      </c>
      <c r="M98" s="2">
        <f>E98*模块规划!$F$10+G98*模块规划!$F$11+H98*模块规划!$F$13</f>
        <v>4190.15737853278</v>
      </c>
      <c r="N98" s="2">
        <f>I98*模块规划!$F$15+J98*模块规划!$F$17+K98*模块规划!$F$16+L98*模块规划!$F$18</f>
        <v>8783.93255158239</v>
      </c>
      <c r="O98" s="2">
        <f t="shared" si="92"/>
        <v>2.35197028918228</v>
      </c>
      <c r="P98" s="13">
        <f t="shared" si="93"/>
        <v>18639.0582128894</v>
      </c>
      <c r="Q98" s="7">
        <f>P98/(P98+_曲线基线!$L$2)</f>
        <v>0.437135785688038</v>
      </c>
      <c r="R98" s="2">
        <f>E98*模块规划!$E$10+G98*模块规划!$E$11+H98*模块规划!$E$13</f>
        <v>6285.23606779917</v>
      </c>
      <c r="S98" s="2">
        <f>I98*模块规划!$E$15+J98*模块规划!$E$17+K98*模块规划!$E$16+L98*模块规划!$E$18</f>
        <v>13175.8988273736</v>
      </c>
      <c r="T98" s="2">
        <f t="shared" si="94"/>
        <v>2.35197028918228</v>
      </c>
      <c r="U98" s="13">
        <f t="shared" si="95"/>
        <v>27958.5873193341</v>
      </c>
      <c r="V98" s="2">
        <f t="shared" si="96"/>
        <v>0.862716479612417</v>
      </c>
      <c r="W98" s="2">
        <f t="shared" si="97"/>
        <v>0.21695530614989</v>
      </c>
      <c r="X98" s="2">
        <f t="shared" si="98"/>
        <v>0.424156772978049</v>
      </c>
      <c r="Y98" s="2">
        <f t="shared" si="99"/>
        <v>1</v>
      </c>
      <c r="Z98" s="2">
        <f t="shared" si="100"/>
        <v>1</v>
      </c>
      <c r="AA98" s="2">
        <f t="shared" si="101"/>
        <v>1</v>
      </c>
      <c r="AB98" s="2">
        <f t="shared" si="102"/>
        <v>1</v>
      </c>
      <c r="AC98" s="2">
        <f t="shared" si="103"/>
        <v>1</v>
      </c>
      <c r="AD98" s="1">
        <f t="shared" si="104"/>
        <v>1.61941209465005</v>
      </c>
      <c r="AE98" s="2">
        <f t="shared" si="105"/>
        <v>1</v>
      </c>
      <c r="AF98" s="2">
        <f t="shared" si="106"/>
        <v>1.11932369353916</v>
      </c>
      <c r="AG98" s="2">
        <f t="shared" si="107"/>
        <v>1.21146810132774</v>
      </c>
      <c r="AH98" s="2">
        <f>MIN(1,_曲线基线!$L$3+AH$9*($H$10*H98+$I$10*I98+$J$10*J98+$K$10*K98+$L$10*L98))</f>
        <v>0.3214614028016</v>
      </c>
      <c r="AI98" s="2">
        <f>_曲线基线!$L$4+AI$9*($H$10*H98+$I$10*I98+$J$10*J98+$K$10*K98+$L$10*L98)</f>
        <v>2.75621390780446</v>
      </c>
      <c r="AJ98" s="2">
        <f t="shared" si="108"/>
        <v>1.62048320640366</v>
      </c>
      <c r="AK98" s="1">
        <f t="shared" si="109"/>
        <v>2.53533508099276</v>
      </c>
      <c r="AL98" s="1">
        <f t="shared" si="110"/>
        <v>573955.170137779</v>
      </c>
      <c r="AM98" s="14">
        <f t="shared" si="111"/>
        <v>36.8164717453448</v>
      </c>
      <c r="AN98" s="14">
        <f>(((E98*模块规划!$D$10+G98*模块规划!$D$11+H98*模块规划!$D$13)*(1+模块规划!$G$14*H98)+(I98*模块规划!$D$15+J98*模块规划!$D$17+K98*模块规划!$D$16+L98*模块规划!$D$18))*(1+模块规划!$J$17*J98))*F98/(1-Q98)</f>
        <v>997727.567638128</v>
      </c>
      <c r="AO98" s="1">
        <f t="shared" si="112"/>
        <v>21131004.3044721</v>
      </c>
      <c r="AP98" s="1">
        <f>IF(AO98="","",_xlfn.XLOOKUP(AO98,_曲线基线!$E$3:$E$502,_曲线基线!$A$3:$A$502,500,1))</f>
        <v>180</v>
      </c>
      <c r="AQ98" s="15">
        <f t="shared" si="115"/>
        <v>5</v>
      </c>
    </row>
    <row r="99" customHeight="1" spans="1:43">
      <c r="A99" s="1">
        <f>IFERROR(_xlfn.XLOOKUP(B99,_曲线基线!$G$3:$G$107,_曲线基线!$J$3:$J$107,""),"")</f>
        <v>35</v>
      </c>
      <c r="B99" s="1">
        <v>88</v>
      </c>
      <c r="C99" s="1">
        <f t="shared" si="63"/>
        <v>7</v>
      </c>
      <c r="D99" s="1">
        <f t="shared" si="64"/>
        <v>4</v>
      </c>
      <c r="E99" s="1">
        <f t="shared" si="90"/>
        <v>1</v>
      </c>
      <c r="F99" s="11">
        <f t="shared" si="113"/>
        <v>5</v>
      </c>
      <c r="G99" s="12">
        <f t="shared" ref="G99:L99" si="137">IF($B99&lt;G$8,0,G$3+(G$4-G$3)*(POWER(G$5,$B99-G$8)-1)/(POWER(G$5,$C$5-G$8)-1))</f>
        <v>0.668352069174243</v>
      </c>
      <c r="H99" s="12">
        <f t="shared" si="137"/>
        <v>0.545607042306741</v>
      </c>
      <c r="I99" s="12">
        <f t="shared" si="137"/>
        <v>0.253029614182093</v>
      </c>
      <c r="J99" s="12">
        <f t="shared" si="137"/>
        <v>0.416831028526422</v>
      </c>
      <c r="K99" s="12">
        <f t="shared" si="137"/>
        <v>0</v>
      </c>
      <c r="L99" s="12">
        <f t="shared" si="137"/>
        <v>0.542440882329699</v>
      </c>
      <c r="M99" s="2">
        <f>E99*模块规划!$F$10+G99*模块规划!$F$11+H99*模块规划!$F$13</f>
        <v>4208.08993203637</v>
      </c>
      <c r="N99" s="2">
        <f>I99*模块规划!$F$15+J99*模块规划!$F$17+K99*模块规划!$F$16+L99*模块规划!$F$18</f>
        <v>8904.75161036946</v>
      </c>
      <c r="O99" s="2">
        <f t="shared" si="92"/>
        <v>2.36408781272802</v>
      </c>
      <c r="P99" s="13">
        <f t="shared" si="93"/>
        <v>18853.0457335601</v>
      </c>
      <c r="Q99" s="7">
        <f>P99/(P99+_曲线基线!$L$2)</f>
        <v>0.439946459133369</v>
      </c>
      <c r="R99" s="2">
        <f>E99*模块规划!$E$10+G99*模块规划!$E$11+H99*模块规划!$E$13</f>
        <v>6312.13489805455</v>
      </c>
      <c r="S99" s="2">
        <f>I99*模块规划!$E$15+J99*模块规划!$E$17+K99*模块规划!$E$16+L99*模块规划!$E$18</f>
        <v>13357.1274155542</v>
      </c>
      <c r="T99" s="2">
        <f t="shared" si="94"/>
        <v>2.36408781272802</v>
      </c>
      <c r="U99" s="13">
        <f t="shared" si="95"/>
        <v>28279.5686003402</v>
      </c>
      <c r="V99" s="2">
        <f t="shared" si="96"/>
        <v>0.863682112692022</v>
      </c>
      <c r="W99" s="2">
        <f t="shared" si="97"/>
        <v>0.218242816922697</v>
      </c>
      <c r="X99" s="2">
        <f t="shared" si="98"/>
        <v>0.425041936634354</v>
      </c>
      <c r="Y99" s="2">
        <f t="shared" si="99"/>
        <v>1</v>
      </c>
      <c r="Z99" s="2">
        <f t="shared" si="100"/>
        <v>1</v>
      </c>
      <c r="AA99" s="2">
        <f t="shared" si="101"/>
        <v>1</v>
      </c>
      <c r="AB99" s="2">
        <f t="shared" si="102"/>
        <v>1</v>
      </c>
      <c r="AC99" s="2">
        <f t="shared" si="103"/>
        <v>1</v>
      </c>
      <c r="AD99" s="1">
        <f t="shared" si="104"/>
        <v>1.62393023056749</v>
      </c>
      <c r="AE99" s="2">
        <f t="shared" si="105"/>
        <v>1</v>
      </c>
      <c r="AF99" s="2">
        <f t="shared" si="106"/>
        <v>1.12039317537438</v>
      </c>
      <c r="AG99" s="2">
        <f t="shared" si="107"/>
        <v>1.21336346080237</v>
      </c>
      <c r="AH99" s="2">
        <f>MIN(1,_曲线基线!$L$3+AH$9*($H$10*H99+$I$10*I99+$J$10*J99+$K$10*K99+$L$10*L99))</f>
        <v>0.323894473976705</v>
      </c>
      <c r="AI99" s="2">
        <f>_曲线基线!$L$4+AI$9*($H$10*H99+$I$10*I99+$J$10*J99+$K$10*K99+$L$10*L99)</f>
        <v>2.76299174893511</v>
      </c>
      <c r="AJ99" s="2">
        <f t="shared" si="108"/>
        <v>1.62604451194675</v>
      </c>
      <c r="AK99" s="1">
        <f t="shared" si="109"/>
        <v>2.5545537909532</v>
      </c>
      <c r="AL99" s="1">
        <f t="shared" si="110"/>
        <v>586577.233592305</v>
      </c>
      <c r="AM99" s="14">
        <f t="shared" si="111"/>
        <v>36.8480611027201</v>
      </c>
      <c r="AN99" s="14">
        <f>(((E99*模块规划!$D$10+G99*模块规划!$D$11+H99*模块规划!$D$13)*(1+模块规划!$G$14*H99)+(I99*模块规划!$D$15+J99*模块规划!$D$17+K99*模块规划!$D$16+L99*模块规划!$D$18))*(1+模块规划!$J$17*J99))*F99/(1-Q99)</f>
        <v>1016501.33597352</v>
      </c>
      <c r="AO99" s="1">
        <f t="shared" si="112"/>
        <v>21614233.7448738</v>
      </c>
      <c r="AP99" s="1">
        <f>IF(AO99="","",_xlfn.XLOOKUP(AO99,_曲线基线!$E$3:$E$502,_曲线基线!$A$3:$A$502,500,1))</f>
        <v>182</v>
      </c>
      <c r="AQ99" s="15">
        <f t="shared" si="115"/>
        <v>5</v>
      </c>
    </row>
    <row r="100" customHeight="1" spans="1:43">
      <c r="A100" s="1">
        <f>IFERROR(_xlfn.XLOOKUP(B100,_曲线基线!$G$3:$G$107,_曲线基线!$J$3:$J$107,""),"")</f>
        <v>35</v>
      </c>
      <c r="B100" s="1">
        <v>89</v>
      </c>
      <c r="C100" s="1">
        <f t="shared" si="63"/>
        <v>7</v>
      </c>
      <c r="D100" s="1">
        <f t="shared" si="64"/>
        <v>5</v>
      </c>
      <c r="E100" s="1">
        <f t="shared" si="90"/>
        <v>1</v>
      </c>
      <c r="F100" s="11">
        <f t="shared" si="113"/>
        <v>5</v>
      </c>
      <c r="G100" s="12">
        <f t="shared" ref="G100:L100" si="138">IF($B100&lt;G$8,0,G$3+(G$4-G$3)*(POWER(G$5,$B100-G$8)-1)/(POWER(G$5,$C$5-G$8)-1))</f>
        <v>0.672031978591125</v>
      </c>
      <c r="H100" s="12">
        <f t="shared" si="138"/>
        <v>0.548761443700118</v>
      </c>
      <c r="I100" s="12">
        <f t="shared" si="138"/>
        <v>0.261140113241519</v>
      </c>
      <c r="J100" s="12">
        <f t="shared" si="138"/>
        <v>0.420573352447617</v>
      </c>
      <c r="K100" s="12">
        <f t="shared" si="138"/>
        <v>0</v>
      </c>
      <c r="L100" s="12">
        <f t="shared" si="138"/>
        <v>0.545659971514491</v>
      </c>
      <c r="M100" s="2">
        <f>E100*模块规划!$F$10+G100*模块规划!$F$11+H100*模块规划!$F$13</f>
        <v>4225.7534972374</v>
      </c>
      <c r="N100" s="2">
        <f>I100*模块规划!$F$15+J100*模块规划!$F$17+K100*模块规划!$F$16+L100*模块规划!$F$18</f>
        <v>9023.15428798078</v>
      </c>
      <c r="O100" s="2">
        <f t="shared" si="92"/>
        <v>2.37596298580284</v>
      </c>
      <c r="P100" s="13">
        <f t="shared" si="93"/>
        <v>19063.3881845437</v>
      </c>
      <c r="Q100" s="7">
        <f>P100/(P100+_曲线基线!$L$2)</f>
        <v>0.44268203195832</v>
      </c>
      <c r="R100" s="2">
        <f>E100*模块规划!$E$10+G100*模块规划!$E$11+H100*模块规划!$E$13</f>
        <v>6338.6302458561</v>
      </c>
      <c r="S100" s="2">
        <f>I100*模块规划!$E$15+J100*模块规划!$E$17+K100*模块规划!$E$16+L100*模块规划!$E$18</f>
        <v>13534.7314319712</v>
      </c>
      <c r="T100" s="2">
        <f t="shared" si="94"/>
        <v>2.37596298580284</v>
      </c>
      <c r="U100" s="13">
        <f t="shared" si="95"/>
        <v>28595.0822768156</v>
      </c>
      <c r="V100" s="2">
        <f t="shared" si="96"/>
        <v>0.864628433110035</v>
      </c>
      <c r="W100" s="2">
        <f t="shared" si="97"/>
        <v>0.219504577480047</v>
      </c>
      <c r="X100" s="2">
        <f t="shared" si="98"/>
        <v>0.425909397017532</v>
      </c>
      <c r="Y100" s="2">
        <f t="shared" si="99"/>
        <v>1</v>
      </c>
      <c r="Z100" s="2">
        <f t="shared" si="100"/>
        <v>1</v>
      </c>
      <c r="AA100" s="2">
        <f t="shared" si="101"/>
        <v>1</v>
      </c>
      <c r="AB100" s="2">
        <f t="shared" si="102"/>
        <v>1</v>
      </c>
      <c r="AC100" s="2">
        <f t="shared" si="103"/>
        <v>1</v>
      </c>
      <c r="AD100" s="1">
        <f t="shared" si="104"/>
        <v>1.6283639310535</v>
      </c>
      <c r="AE100" s="2">
        <f t="shared" si="105"/>
        <v>1</v>
      </c>
      <c r="AF100" s="2">
        <f t="shared" si="106"/>
        <v>1.12144126757288</v>
      </c>
      <c r="AG100" s="2">
        <f t="shared" si="107"/>
        <v>1.2152209130875</v>
      </c>
      <c r="AH100" s="2">
        <f>MIN(1,_曲线基线!$L$3+AH$9*($H$10*H100+$I$10*I100+$J$10*J100+$K$10*K100+$L$10*L100))</f>
        <v>0.326278883728308</v>
      </c>
      <c r="AI100" s="2">
        <f>_曲线基线!$L$4+AI$9*($H$10*H100+$I$10*I100+$J$10*J100+$K$10*K100+$L$10*L100)</f>
        <v>2.76963403324314</v>
      </c>
      <c r="AJ100" s="2">
        <f t="shared" si="108"/>
        <v>1.63149459137899</v>
      </c>
      <c r="AK100" s="1">
        <f t="shared" si="109"/>
        <v>2.5735101334659</v>
      </c>
      <c r="AL100" s="1">
        <f t="shared" si="110"/>
        <v>599154.342761463</v>
      </c>
      <c r="AM100" s="14">
        <f t="shared" si="111"/>
        <v>36.8799663536692</v>
      </c>
      <c r="AN100" s="14">
        <f>(((E100*模块规划!$D$10+G100*模块规划!$D$11+H100*模块规划!$D$13)*(1+模块规划!$G$14*H100)+(I100*模块规划!$D$15+J100*模块规划!$D$17+K100*模块规划!$D$16+L100*模块规划!$D$18))*(1+模块规划!$J$17*J100))*F100/(1-Q100)</f>
        <v>1035127.81575273</v>
      </c>
      <c r="AO100" s="1">
        <f t="shared" si="112"/>
        <v>22096792.0016975</v>
      </c>
      <c r="AP100" s="1">
        <f>IF(AO100="","",_xlfn.XLOOKUP(AO100,_曲线基线!$E$3:$E$502,_曲线基线!$A$3:$A$502,500,1))</f>
        <v>183</v>
      </c>
      <c r="AQ100" s="15">
        <f t="shared" si="115"/>
        <v>5</v>
      </c>
    </row>
    <row r="101" customHeight="1" spans="1:43">
      <c r="A101" s="1">
        <f>IFERROR(_xlfn.XLOOKUP(B101,_曲线基线!$G$3:$G$107,_曲线基线!$J$3:$J$107,""),"")</f>
        <v>36</v>
      </c>
      <c r="B101" s="1">
        <v>90</v>
      </c>
      <c r="C101" s="1">
        <f t="shared" si="63"/>
        <v>7</v>
      </c>
      <c r="D101" s="1">
        <f t="shared" si="64"/>
        <v>6</v>
      </c>
      <c r="E101" s="1">
        <f t="shared" si="90"/>
        <v>1</v>
      </c>
      <c r="F101" s="11">
        <f t="shared" si="113"/>
        <v>5</v>
      </c>
      <c r="G101" s="12">
        <f t="shared" ref="G101:L101" si="139">IF($B101&lt;G$8,0,G$3+(G$4-G$3)*(POWER(G$5,$B101-G$8)-1)/(POWER(G$5,$C$5-G$8)-1))</f>
        <v>0.675656689366754</v>
      </c>
      <c r="H101" s="12">
        <f t="shared" si="139"/>
        <v>0.551852757065627</v>
      </c>
      <c r="I101" s="12">
        <f t="shared" si="139"/>
        <v>0.269088402319757</v>
      </c>
      <c r="J101" s="12">
        <f t="shared" si="139"/>
        <v>0.424240829890389</v>
      </c>
      <c r="K101" s="12">
        <f t="shared" si="139"/>
        <v>0</v>
      </c>
      <c r="L101" s="12">
        <f t="shared" si="139"/>
        <v>0.548814678915587</v>
      </c>
      <c r="M101" s="2">
        <f>E101*模块规划!$F$10+G101*模块规划!$F$11+H101*模块规划!$F$13</f>
        <v>4243.15210896042</v>
      </c>
      <c r="N101" s="2">
        <f>I101*模块规划!$F$15+J101*模块规划!$F$17+K101*模块规划!$F$16+L101*模块规划!$F$18</f>
        <v>9139.18891203988</v>
      </c>
      <c r="O101" s="2">
        <f t="shared" si="92"/>
        <v>2.38760065541617</v>
      </c>
      <c r="P101" s="13">
        <f t="shared" si="93"/>
        <v>19270.1416684243</v>
      </c>
      <c r="Q101" s="7">
        <f>P101/(P101+_曲线基线!$L$2)</f>
        <v>0.445345009870545</v>
      </c>
      <c r="R101" s="2">
        <f>E101*模块规划!$E$10+G101*模块规划!$E$11+H101*模块规划!$E$13</f>
        <v>6364.72816344063</v>
      </c>
      <c r="S101" s="2">
        <f>I101*模块规划!$E$15+J101*模块规划!$E$17+K101*模块规划!$E$16+L101*模块规划!$E$18</f>
        <v>13708.7833680598</v>
      </c>
      <c r="T101" s="2">
        <f t="shared" si="94"/>
        <v>2.38760065541617</v>
      </c>
      <c r="U101" s="13">
        <f t="shared" si="95"/>
        <v>28905.2125026364</v>
      </c>
      <c r="V101" s="2">
        <f t="shared" si="96"/>
        <v>0.865555827119688</v>
      </c>
      <c r="W101" s="2">
        <f t="shared" si="97"/>
        <v>0.220741102826251</v>
      </c>
      <c r="X101" s="2">
        <f t="shared" si="98"/>
        <v>0.426759508193047</v>
      </c>
      <c r="Y101" s="2">
        <f t="shared" si="99"/>
        <v>1</v>
      </c>
      <c r="Z101" s="2">
        <f t="shared" si="100"/>
        <v>1</v>
      </c>
      <c r="AA101" s="2">
        <f t="shared" si="101"/>
        <v>1</v>
      </c>
      <c r="AB101" s="2">
        <f t="shared" si="102"/>
        <v>1</v>
      </c>
      <c r="AC101" s="2">
        <f t="shared" si="103"/>
        <v>1</v>
      </c>
      <c r="AD101" s="1">
        <f t="shared" si="104"/>
        <v>1.63271465009615</v>
      </c>
      <c r="AE101" s="2">
        <f t="shared" si="105"/>
        <v>1</v>
      </c>
      <c r="AF101" s="2">
        <f t="shared" si="106"/>
        <v>1.12246839792742</v>
      </c>
      <c r="AG101" s="2">
        <f t="shared" si="107"/>
        <v>1.21704121632693</v>
      </c>
      <c r="AH101" s="2">
        <f>MIN(1,_曲线基线!$L$3+AH$9*($H$10*H101+$I$10*I101+$J$10*J101+$K$10*K101+$L$10*L101))</f>
        <v>0.328615605284879</v>
      </c>
      <c r="AI101" s="2">
        <f>_曲线基线!$L$4+AI$9*($H$10*H101+$I$10*I101+$J$10*J101+$K$10*K101+$L$10*L101)</f>
        <v>2.77614347186502</v>
      </c>
      <c r="AJ101" s="2">
        <f t="shared" si="108"/>
        <v>1.63683566922258</v>
      </c>
      <c r="AK101" s="1">
        <f t="shared" si="109"/>
        <v>2.59220502695493</v>
      </c>
      <c r="AL101" s="1">
        <f t="shared" si="110"/>
        <v>611682.152540437</v>
      </c>
      <c r="AM101" s="14">
        <f t="shared" si="111"/>
        <v>36.9121906571278</v>
      </c>
      <c r="AN101" s="14">
        <f>(((E101*模块规划!$D$10+G101*模块规划!$D$11+H101*模块规划!$D$13)*(1+模块规划!$G$14*H101)+(I101*模块规划!$D$15+J101*模块规划!$D$17+K101*模块规划!$D$16+L101*模块规划!$D$18))*(1+模块规划!$J$17*J101))*F101/(1-Q101)</f>
        <v>1053603.22949915</v>
      </c>
      <c r="AO101" s="1">
        <f t="shared" si="112"/>
        <v>22578528.2361349</v>
      </c>
      <c r="AP101" s="1">
        <f>IF(AO101="","",_xlfn.XLOOKUP(AO101,_曲线基线!$E$3:$E$502,_曲线基线!$A$3:$A$502,500,1))</f>
        <v>184</v>
      </c>
      <c r="AQ101" s="15">
        <f t="shared" si="115"/>
        <v>5</v>
      </c>
    </row>
    <row r="102" customHeight="1" spans="1:43">
      <c r="A102" s="1">
        <f>IFERROR(_xlfn.XLOOKUP(B102,_曲线基线!$G$3:$G$107,_曲线基线!$J$3:$J$107,""),"")</f>
        <v>36</v>
      </c>
      <c r="B102" s="1">
        <v>91</v>
      </c>
      <c r="C102" s="1">
        <f t="shared" si="63"/>
        <v>7</v>
      </c>
      <c r="D102" s="1">
        <f t="shared" si="64"/>
        <v>7</v>
      </c>
      <c r="E102" s="1">
        <f t="shared" si="90"/>
        <v>1</v>
      </c>
      <c r="F102" s="11">
        <f t="shared" si="113"/>
        <v>5</v>
      </c>
      <c r="G102" s="12">
        <f t="shared" ref="G102:L102" si="140">IF($B102&lt;G$8,0,G$3+(G$4-G$3)*(POWER(G$5,$B102-G$8)-1)/(POWER(G$5,$C$5-G$8)-1))</f>
        <v>0.679227029480749</v>
      </c>
      <c r="H102" s="12">
        <f t="shared" si="140"/>
        <v>0.554882244163826</v>
      </c>
      <c r="I102" s="12">
        <f t="shared" si="140"/>
        <v>0.27687772561643</v>
      </c>
      <c r="J102" s="12">
        <f t="shared" si="140"/>
        <v>0.427834957784305</v>
      </c>
      <c r="K102" s="12">
        <f t="shared" si="140"/>
        <v>0</v>
      </c>
      <c r="L102" s="12">
        <f t="shared" si="140"/>
        <v>0.551906292168661</v>
      </c>
      <c r="M102" s="2">
        <f>E102*模块规划!$F$10+G102*模块规划!$F$11+H102*模块规划!$F$13</f>
        <v>4260.28974150759</v>
      </c>
      <c r="N102" s="2">
        <f>I102*模块规划!$F$15+J102*模块规划!$F$17+K102*模块规划!$F$16+L102*模块规划!$F$18</f>
        <v>9252.9028436178</v>
      </c>
      <c r="O102" s="2">
        <f t="shared" si="92"/>
        <v>2.39900557163723</v>
      </c>
      <c r="P102" s="13">
        <f t="shared" si="93"/>
        <v>19473.3616702834</v>
      </c>
      <c r="Q102" s="7">
        <f>P102/(P102+_曲线基线!$L$2)</f>
        <v>0.447937792756308</v>
      </c>
      <c r="R102" s="2">
        <f>E102*模块规划!$E$10+G102*模块规划!$E$11+H102*模块规划!$E$13</f>
        <v>6390.43461226139</v>
      </c>
      <c r="S102" s="2">
        <f>I102*模块规划!$E$15+J102*模块规划!$E$17+K102*模块规划!$E$16+L102*模块规划!$E$18</f>
        <v>13879.3542654267</v>
      </c>
      <c r="T102" s="2">
        <f t="shared" si="94"/>
        <v>2.39900557163723</v>
      </c>
      <c r="U102" s="13">
        <f t="shared" si="95"/>
        <v>29210.0425054252</v>
      </c>
      <c r="V102" s="2">
        <f t="shared" si="96"/>
        <v>0.866464673249148</v>
      </c>
      <c r="W102" s="2">
        <f t="shared" si="97"/>
        <v>0.22195289766553</v>
      </c>
      <c r="X102" s="2">
        <f t="shared" si="98"/>
        <v>0.427592617145052</v>
      </c>
      <c r="Y102" s="2">
        <f t="shared" si="99"/>
        <v>1</v>
      </c>
      <c r="Z102" s="2">
        <f t="shared" si="100"/>
        <v>1</v>
      </c>
      <c r="AA102" s="2">
        <f t="shared" si="101"/>
        <v>1</v>
      </c>
      <c r="AB102" s="2">
        <f t="shared" si="102"/>
        <v>1</v>
      </c>
      <c r="AC102" s="2">
        <f t="shared" si="103"/>
        <v>1</v>
      </c>
      <c r="AD102" s="1">
        <f t="shared" si="104"/>
        <v>1.63698382189867</v>
      </c>
      <c r="AE102" s="2">
        <f t="shared" si="105"/>
        <v>1</v>
      </c>
      <c r="AF102" s="2">
        <f t="shared" si="106"/>
        <v>1.12347498567487</v>
      </c>
      <c r="AG102" s="2">
        <f t="shared" si="107"/>
        <v>1.21882511350157</v>
      </c>
      <c r="AH102" s="2">
        <f>MIN(1,_曲线基线!$L$3+AH$9*($H$10*H102+$I$10*I102+$J$10*J102+$K$10*K102+$L$10*L102))</f>
        <v>0.330905592410318</v>
      </c>
      <c r="AI102" s="2">
        <f>_曲线基线!$L$4+AI$9*($H$10*H102+$I$10*I102+$J$10*J102+$K$10*K102+$L$10*L102)</f>
        <v>2.78252272171446</v>
      </c>
      <c r="AJ102" s="2">
        <f t="shared" si="108"/>
        <v>1.6420699255093</v>
      </c>
      <c r="AK102" s="1">
        <f t="shared" si="109"/>
        <v>2.61063951334783</v>
      </c>
      <c r="AL102" s="1">
        <f t="shared" si="110"/>
        <v>624156.485614278</v>
      </c>
      <c r="AM102" s="14">
        <f t="shared" si="111"/>
        <v>36.9447372036209</v>
      </c>
      <c r="AN102" s="14">
        <f>(((E102*模块规划!$D$10+G102*模块规划!$D$11+H102*模块规划!$D$13)*(1+模块规划!$G$14*H102)+(I102*模块规划!$D$15+J102*模块规划!$D$17+K102*模块规划!$D$16+L102*模块规划!$D$18))*(1+模块规划!$J$17*J102))*F102/(1-Q102)</f>
        <v>1071924.05190029</v>
      </c>
      <c r="AO102" s="1">
        <f t="shared" si="112"/>
        <v>23059297.3349551</v>
      </c>
      <c r="AP102" s="1">
        <f>IF(AO102="","",_xlfn.XLOOKUP(AO102,_曲线基线!$E$3:$E$502,_曲线基线!$A$3:$A$502,500,1))</f>
        <v>185</v>
      </c>
      <c r="AQ102" s="15">
        <f t="shared" si="115"/>
        <v>5</v>
      </c>
    </row>
    <row r="103" customHeight="1" spans="1:43">
      <c r="A103" s="1">
        <f>IFERROR(_xlfn.XLOOKUP(B103,_曲线基线!$G$3:$G$107,_曲线基线!$J$3:$J$107,""),"")</f>
        <v>36</v>
      </c>
      <c r="B103" s="1">
        <v>92</v>
      </c>
      <c r="C103" s="1">
        <f t="shared" si="63"/>
        <v>7</v>
      </c>
      <c r="D103" s="1">
        <f t="shared" si="64"/>
        <v>8</v>
      </c>
      <c r="E103" s="1">
        <f t="shared" si="90"/>
        <v>1</v>
      </c>
      <c r="F103" s="11">
        <f t="shared" si="113"/>
        <v>5</v>
      </c>
      <c r="G103" s="12">
        <f t="shared" ref="G103:L103" si="141">IF($B103&lt;G$8,0,G$3+(G$4-G$3)*(POWER(G$5,$B103-G$8)-1)/(POWER(G$5,$C$5-G$8)-1))</f>
        <v>0.682743814493033</v>
      </c>
      <c r="H103" s="12">
        <f t="shared" si="141"/>
        <v>0.55785114152006</v>
      </c>
      <c r="I103" s="12">
        <f t="shared" si="141"/>
        <v>0.28451126244717</v>
      </c>
      <c r="J103" s="12">
        <f t="shared" si="141"/>
        <v>0.431357203120343</v>
      </c>
      <c r="K103" s="12">
        <f t="shared" si="141"/>
        <v>0</v>
      </c>
      <c r="L103" s="12">
        <f t="shared" si="141"/>
        <v>0.554936073156673</v>
      </c>
      <c r="M103" s="2">
        <f>E103*模块规划!$F$10+G103*模块规划!$F$11+H103*模块规划!$F$13</f>
        <v>4277.17030956656</v>
      </c>
      <c r="N103" s="2">
        <f>I103*模块规划!$F$15+J103*模块规划!$F$17+K103*模块规划!$F$16+L103*模块规划!$F$18</f>
        <v>9364.34249656416</v>
      </c>
      <c r="O103" s="2">
        <f t="shared" si="92"/>
        <v>2.41018238953387</v>
      </c>
      <c r="P103" s="13">
        <f t="shared" si="93"/>
        <v>19673.1030537186</v>
      </c>
      <c r="Q103" s="7">
        <f>P103/(P103+_曲线基线!$L$2)</f>
        <v>0.450462680188316</v>
      </c>
      <c r="R103" s="2">
        <f>E103*模块规划!$E$10+G103*模块规划!$E$11+H103*模块规划!$E$13</f>
        <v>6415.75546434984</v>
      </c>
      <c r="S103" s="2">
        <f>I103*模块规划!$E$15+J103*模块规划!$E$17+K103*模块规划!$E$16+L103*模块规划!$E$18</f>
        <v>14046.5137448462</v>
      </c>
      <c r="T103" s="2">
        <f t="shared" si="94"/>
        <v>2.41018238953387</v>
      </c>
      <c r="U103" s="13">
        <f t="shared" si="95"/>
        <v>29509.6545805779</v>
      </c>
      <c r="V103" s="2">
        <f t="shared" si="96"/>
        <v>0.867355342456018</v>
      </c>
      <c r="W103" s="2">
        <f t="shared" si="97"/>
        <v>0.223140456608024</v>
      </c>
      <c r="X103" s="2">
        <f t="shared" si="98"/>
        <v>0.428409063918017</v>
      </c>
      <c r="Y103" s="2">
        <f t="shared" si="99"/>
        <v>1</v>
      </c>
      <c r="Z103" s="2">
        <f t="shared" si="100"/>
        <v>1</v>
      </c>
      <c r="AA103" s="2">
        <f t="shared" si="101"/>
        <v>1</v>
      </c>
      <c r="AB103" s="2">
        <f t="shared" si="102"/>
        <v>1</v>
      </c>
      <c r="AC103" s="2">
        <f t="shared" si="103"/>
        <v>1</v>
      </c>
      <c r="AD103" s="1">
        <f t="shared" si="104"/>
        <v>1.64117286090711</v>
      </c>
      <c r="AE103" s="2">
        <f t="shared" si="105"/>
        <v>1</v>
      </c>
      <c r="AF103" s="2">
        <f t="shared" si="106"/>
        <v>1.12446144166736</v>
      </c>
      <c r="AG103" s="2">
        <f t="shared" si="107"/>
        <v>1.22057333273272</v>
      </c>
      <c r="AH103" s="2">
        <f>MIN(1,_曲线基线!$L$3+AH$9*($H$10*H103+$I$10*I103+$J$10*J103+$K$10*K103+$L$10*L103))</f>
        <v>0.333149779793249</v>
      </c>
      <c r="AI103" s="2">
        <f>_曲线基线!$L$4+AI$9*($H$10*H103+$I$10*I103+$J$10*J103+$K$10*K103+$L$10*L103)</f>
        <v>2.78877438656691</v>
      </c>
      <c r="AJ103" s="2">
        <f t="shared" si="108"/>
        <v>1.64719949667028</v>
      </c>
      <c r="AK103" s="1">
        <f t="shared" si="109"/>
        <v>2.62881475172529</v>
      </c>
      <c r="AL103" s="1">
        <f t="shared" si="110"/>
        <v>636573.331153548</v>
      </c>
      <c r="AM103" s="14">
        <f t="shared" si="111"/>
        <v>36.977609215579</v>
      </c>
      <c r="AN103" s="14">
        <f>(((E103*模块规划!$D$10+G103*模块规划!$D$11+H103*模块规划!$D$13)*(1+模块规划!$G$14*H103)+(I103*模块规划!$D$15+J103*模块规划!$D$17+K103*模块规划!$D$16+L103*模块规划!$D$18))*(1+模块规划!$J$17*J103))*F103/(1-Q103)</f>
        <v>1090087.00178438</v>
      </c>
      <c r="AO103" s="1">
        <f t="shared" si="112"/>
        <v>23538959.8764553</v>
      </c>
      <c r="AP103" s="1">
        <f>IF(AO103="","",_xlfn.XLOOKUP(AO103,_曲线基线!$E$3:$E$502,_曲线基线!$A$3:$A$502,500,1))</f>
        <v>187</v>
      </c>
      <c r="AQ103" s="15">
        <f t="shared" si="115"/>
        <v>5</v>
      </c>
    </row>
    <row r="104" customHeight="1" spans="1:43">
      <c r="A104" s="1">
        <f>IFERROR(_xlfn.XLOOKUP(B104,_曲线基线!$G$3:$G$107,_曲线基线!$J$3:$J$107,""),"")</f>
        <v>36</v>
      </c>
      <c r="B104" s="1">
        <v>93</v>
      </c>
      <c r="C104" s="1">
        <f t="shared" si="63"/>
        <v>7</v>
      </c>
      <c r="D104" s="1">
        <f t="shared" si="64"/>
        <v>9</v>
      </c>
      <c r="E104" s="1">
        <f t="shared" si="90"/>
        <v>1</v>
      </c>
      <c r="F104" s="11">
        <f t="shared" si="113"/>
        <v>5</v>
      </c>
      <c r="G104" s="12">
        <f t="shared" ref="G104:L104" si="142">IF($B104&lt;G$8,0,G$3+(G$4-G$3)*(POWER(G$5,$B104-G$8)-1)/(POWER(G$5,$C$5-G$8)-1))</f>
        <v>0.686207847730134</v>
      </c>
      <c r="H104" s="12">
        <f t="shared" si="142"/>
        <v>0.560760660929171</v>
      </c>
      <c r="I104" s="12">
        <f t="shared" si="142"/>
        <v>0.291992128541294</v>
      </c>
      <c r="J104" s="12">
        <f t="shared" si="142"/>
        <v>0.43480900354966</v>
      </c>
      <c r="K104" s="12">
        <f t="shared" si="142"/>
        <v>0</v>
      </c>
      <c r="L104" s="12">
        <f t="shared" si="142"/>
        <v>0.557905258524925</v>
      </c>
      <c r="M104" s="2">
        <f>E104*模块规划!$F$10+G104*模块规划!$F$11+H104*模块规划!$F$13</f>
        <v>4293.79766910464</v>
      </c>
      <c r="N104" s="2">
        <f>I104*模块规划!$F$15+J104*模块规划!$F$17+K104*模块规划!$F$16+L104*模块规划!$F$18</f>
        <v>9473.55335645158</v>
      </c>
      <c r="O104" s="2">
        <f t="shared" si="92"/>
        <v>2.42113567107258</v>
      </c>
      <c r="P104" s="13">
        <f t="shared" si="93"/>
        <v>19869.4200574891</v>
      </c>
      <c r="Q104" s="7">
        <f>P104/(P104+_曲线基线!$L$2)</f>
        <v>0.452921876593104</v>
      </c>
      <c r="R104" s="2">
        <f>E104*模块规划!$E$10+G104*模块规划!$E$11+H104*模块规划!$E$13</f>
        <v>6440.69650365696</v>
      </c>
      <c r="S104" s="2">
        <f>I104*模块规划!$E$15+J104*模块规划!$E$17+K104*模块规划!$E$16+L104*模块规划!$E$18</f>
        <v>14210.3300346774</v>
      </c>
      <c r="T104" s="2">
        <f t="shared" si="94"/>
        <v>2.42113567107258</v>
      </c>
      <c r="U104" s="13">
        <f t="shared" si="95"/>
        <v>29804.1300862337</v>
      </c>
      <c r="V104" s="2">
        <f t="shared" si="96"/>
        <v>0.868228198278751</v>
      </c>
      <c r="W104" s="2">
        <f t="shared" si="97"/>
        <v>0.224304264371668</v>
      </c>
      <c r="X104" s="2">
        <f t="shared" si="98"/>
        <v>0.429209181755522</v>
      </c>
      <c r="Y104" s="2">
        <f t="shared" si="99"/>
        <v>1</v>
      </c>
      <c r="Z104" s="2">
        <f t="shared" si="100"/>
        <v>1</v>
      </c>
      <c r="AA104" s="2">
        <f t="shared" si="101"/>
        <v>1</v>
      </c>
      <c r="AB104" s="2">
        <f t="shared" si="102"/>
        <v>1</v>
      </c>
      <c r="AC104" s="2">
        <f t="shared" si="103"/>
        <v>1</v>
      </c>
      <c r="AD104" s="1">
        <f t="shared" si="104"/>
        <v>1.64528316185191</v>
      </c>
      <c r="AE104" s="2">
        <f t="shared" si="105"/>
        <v>1</v>
      </c>
      <c r="AF104" s="2">
        <f t="shared" si="106"/>
        <v>1.12542816854001</v>
      </c>
      <c r="AG104" s="2">
        <f t="shared" si="107"/>
        <v>1.22228658757924</v>
      </c>
      <c r="AH104" s="2">
        <f>MIN(1,_曲线基线!$L$3+AH$9*($H$10*H104+$I$10*I104+$J$10*J104+$K$10*K104+$L$10*L104))</f>
        <v>0.335349083428521</v>
      </c>
      <c r="AI104" s="2">
        <f>_曲线基线!$L$4+AI$9*($H$10*H104+$I$10*I104+$J$10*J104+$K$10*K104+$L$10*L104)</f>
        <v>2.79490101812231</v>
      </c>
      <c r="AJ104" s="2">
        <f t="shared" si="108"/>
        <v>1.65222647640805</v>
      </c>
      <c r="AK104" s="1">
        <f t="shared" si="109"/>
        <v>2.6467320121495</v>
      </c>
      <c r="AL104" s="1">
        <f t="shared" si="110"/>
        <v>648928.843270271</v>
      </c>
      <c r="AM104" s="14">
        <f t="shared" si="111"/>
        <v>37.0108099476567</v>
      </c>
      <c r="AN104" s="14">
        <f>(((E104*模块规划!$D$10+G104*模块规划!$D$11+H104*模块规划!$D$13)*(1+模块规划!$G$14*H104)+(I104*模块规划!$D$15+J104*模块规划!$D$17+K104*模块规划!$D$16+L104*模块规划!$D$18))*(1+模块规划!$J$17*J104))*F104/(1-Q104)</f>
        <v>1108089.03418725</v>
      </c>
      <c r="AO104" s="1">
        <f t="shared" si="112"/>
        <v>24017382.0878287</v>
      </c>
      <c r="AP104" s="1">
        <f>IF(AO104="","",_xlfn.XLOOKUP(AO104,_曲线基线!$E$3:$E$502,_曲线基线!$A$3:$A$502,500,1))</f>
        <v>188</v>
      </c>
      <c r="AQ104" s="15">
        <f t="shared" si="115"/>
        <v>5</v>
      </c>
    </row>
    <row r="105" customHeight="1" spans="1:43">
      <c r="A105" s="1">
        <f>IFERROR(_xlfn.XLOOKUP(B105,_曲线基线!$G$3:$G$107,_曲线基线!$J$3:$J$107,""),"")</f>
        <v>36</v>
      </c>
      <c r="B105" s="1">
        <v>94</v>
      </c>
      <c r="C105" s="1">
        <f t="shared" si="63"/>
        <v>7</v>
      </c>
      <c r="D105" s="1">
        <f t="shared" si="64"/>
        <v>10</v>
      </c>
      <c r="E105" s="1">
        <f t="shared" si="90"/>
        <v>1</v>
      </c>
      <c r="F105" s="11">
        <f t="shared" si="113"/>
        <v>5</v>
      </c>
      <c r="G105" s="12">
        <f t="shared" ref="G105:L105" si="143">IF($B105&lt;G$8,0,G$3+(G$4-G$3)*(POWER(G$5,$B105-G$8)-1)/(POWER(G$5,$C$5-G$8)-1))</f>
        <v>0.689619920468677</v>
      </c>
      <c r="H105" s="12">
        <f t="shared" si="143"/>
        <v>0.563611989950099</v>
      </c>
      <c r="I105" s="12">
        <f t="shared" si="143"/>
        <v>0.299323377313537</v>
      </c>
      <c r="J105" s="12">
        <f t="shared" si="143"/>
        <v>0.43819176797039</v>
      </c>
      <c r="K105" s="12">
        <f t="shared" si="143"/>
        <v>0</v>
      </c>
      <c r="L105" s="12">
        <f t="shared" si="143"/>
        <v>0.560815060185813</v>
      </c>
      <c r="M105" s="2">
        <f>E105*模块规划!$F$10+G105*模块规划!$F$11+H105*模块规划!$F$13</f>
        <v>4310.17561824965</v>
      </c>
      <c r="N105" s="2">
        <f>I105*模块规划!$F$15+J105*模块规划!$F$17+K105*模块规划!$F$16+L105*模块规划!$F$18</f>
        <v>9580.57999914126</v>
      </c>
      <c r="O105" s="2">
        <f t="shared" si="92"/>
        <v>2.43186988698051</v>
      </c>
      <c r="P105" s="13">
        <f t="shared" si="93"/>
        <v>20062.3662927602</v>
      </c>
      <c r="Q105" s="7">
        <f>P105/(P105+_曲线基线!$L$2)</f>
        <v>0.45531749610226</v>
      </c>
      <c r="R105" s="2">
        <f>E105*模块规划!$E$10+G105*模块规划!$E$11+H105*模块规划!$E$13</f>
        <v>6465.26342737448</v>
      </c>
      <c r="S105" s="2">
        <f>I105*模块规划!$E$15+J105*模块规划!$E$17+K105*模块规划!$E$16+L105*模块规划!$E$18</f>
        <v>14370.8699987119</v>
      </c>
      <c r="T105" s="2">
        <f t="shared" si="94"/>
        <v>2.43186988698051</v>
      </c>
      <c r="U105" s="13">
        <f t="shared" si="95"/>
        <v>30093.5494391403</v>
      </c>
      <c r="V105" s="2">
        <f t="shared" si="96"/>
        <v>0.86908359698503</v>
      </c>
      <c r="W105" s="2">
        <f t="shared" si="97"/>
        <v>0.225444795980039</v>
      </c>
      <c r="X105" s="2">
        <f t="shared" si="98"/>
        <v>0.429993297236277</v>
      </c>
      <c r="Y105" s="2">
        <f t="shared" si="99"/>
        <v>1</v>
      </c>
      <c r="Z105" s="2">
        <f t="shared" si="100"/>
        <v>1</v>
      </c>
      <c r="AA105" s="2">
        <f t="shared" si="101"/>
        <v>1</v>
      </c>
      <c r="AB105" s="2">
        <f t="shared" si="102"/>
        <v>1</v>
      </c>
      <c r="AC105" s="2">
        <f t="shared" si="103"/>
        <v>1</v>
      </c>
      <c r="AD105" s="1">
        <f t="shared" si="104"/>
        <v>1.64931609980277</v>
      </c>
      <c r="AE105" s="2">
        <f t="shared" si="105"/>
        <v>1</v>
      </c>
      <c r="AF105" s="2">
        <f t="shared" si="106"/>
        <v>1.1263755608752</v>
      </c>
      <c r="AG105" s="2">
        <f t="shared" si="107"/>
        <v>1.22396557732883</v>
      </c>
      <c r="AH105" s="2">
        <f>MIN(1,_曲线基线!$L$3+AH$9*($H$10*H105+$I$10*I105+$J$10*J105+$K$10*K105+$L$10*L105))</f>
        <v>0.337504400991087</v>
      </c>
      <c r="AI105" s="2">
        <f>_曲线基线!$L$4+AI$9*($H$10*H105+$I$10*I105+$J$10*J105+$K$10*K105+$L$10*L105)</f>
        <v>2.8009051170466</v>
      </c>
      <c r="AJ105" s="2">
        <f t="shared" si="108"/>
        <v>1.65715291655106</v>
      </c>
      <c r="AK105" s="1">
        <f t="shared" si="109"/>
        <v>2.66439266967117</v>
      </c>
      <c r="AL105" s="1">
        <f t="shared" si="110"/>
        <v>661219.33925296</v>
      </c>
      <c r="AM105" s="14">
        <f t="shared" si="111"/>
        <v>37.0443426870551</v>
      </c>
      <c r="AN105" s="14">
        <f>(((E105*模块规划!$D$10+G105*模块规划!$D$11+H105*模块规划!$D$13)*(1+模块规划!$G$14*H105)+(I105*模块规划!$D$15+J105*模块规划!$D$17+K105*模块规划!$D$16+L105*模块规划!$D$18))*(1+模块规划!$J$17*J105))*F105/(1-Q105)</f>
        <v>1125927.33251912</v>
      </c>
      <c r="AO105" s="1">
        <f t="shared" si="112"/>
        <v>24494435.7945948</v>
      </c>
      <c r="AP105" s="1">
        <f>IF(AO105="","",_xlfn.XLOOKUP(AO105,_曲线基线!$E$3:$E$502,_曲线基线!$A$3:$A$502,500,1))</f>
        <v>189</v>
      </c>
      <c r="AQ105" s="15">
        <f t="shared" si="115"/>
        <v>5</v>
      </c>
    </row>
    <row r="106" customHeight="1" spans="1:43">
      <c r="A106" s="1">
        <f>IFERROR(_xlfn.XLOOKUP(B106,_曲线基线!$G$3:$G$107,_曲线基线!$J$3:$J$107,""),"")</f>
        <v>37</v>
      </c>
      <c r="B106" s="1">
        <v>95</v>
      </c>
      <c r="C106" s="1">
        <f t="shared" si="63"/>
        <v>7</v>
      </c>
      <c r="D106" s="1">
        <f t="shared" si="64"/>
        <v>11</v>
      </c>
      <c r="E106" s="1">
        <f t="shared" si="90"/>
        <v>1</v>
      </c>
      <c r="F106" s="11">
        <f t="shared" si="113"/>
        <v>5</v>
      </c>
      <c r="G106" s="12">
        <f t="shared" ref="G106:L106" si="144">IF($B106&lt;G$8,0,G$3+(G$4-G$3)*(POWER(G$5,$B106-G$8)-1)/(POWER(G$5,$C$5-G$8)-1))</f>
        <v>0.692980812116143</v>
      </c>
      <c r="H106" s="12">
        <f t="shared" si="144"/>
        <v>0.566406292390608</v>
      </c>
      <c r="I106" s="12">
        <f t="shared" si="144"/>
        <v>0.306508001110334</v>
      </c>
      <c r="J106" s="12">
        <f t="shared" si="144"/>
        <v>0.441506877102706</v>
      </c>
      <c r="K106" s="12">
        <f t="shared" si="144"/>
        <v>0</v>
      </c>
      <c r="L106" s="12">
        <f t="shared" si="144"/>
        <v>0.563666665813482</v>
      </c>
      <c r="M106" s="2">
        <f>E106*模块规划!$F$10+G106*模块规划!$F$11+H106*模块规划!$F$13</f>
        <v>4326.30789815749</v>
      </c>
      <c r="N106" s="2">
        <f>I106*模块规划!$F$15+J106*模块规划!$F$17+K106*模块规划!$F$16+L106*模块规划!$F$18</f>
        <v>9685.46610897714</v>
      </c>
      <c r="O106" s="2">
        <f t="shared" si="92"/>
        <v>2.44238941857029</v>
      </c>
      <c r="P106" s="13">
        <f t="shared" si="93"/>
        <v>20251.9947409141</v>
      </c>
      <c r="Q106" s="7">
        <f>P106/(P106+_曲线基线!$L$2)</f>
        <v>0.457651567109803</v>
      </c>
      <c r="R106" s="2">
        <f>E106*模块规划!$E$10+G106*模块规划!$E$11+H106*模块规划!$E$13</f>
        <v>6489.46184723623</v>
      </c>
      <c r="S106" s="2">
        <f>I106*模块规划!$E$15+J106*模块规划!$E$17+K106*模块规划!$E$16+L106*模块规划!$E$18</f>
        <v>14528.1991634657</v>
      </c>
      <c r="T106" s="2">
        <f t="shared" si="94"/>
        <v>2.44238941857029</v>
      </c>
      <c r="U106" s="13">
        <f t="shared" si="95"/>
        <v>30377.9921113711</v>
      </c>
      <c r="V106" s="2">
        <f t="shared" si="96"/>
        <v>0.869921887717182</v>
      </c>
      <c r="W106" s="2">
        <f t="shared" si="97"/>
        <v>0.226562516956243</v>
      </c>
      <c r="X106" s="2">
        <f t="shared" si="98"/>
        <v>0.430761730407417</v>
      </c>
      <c r="Y106" s="2">
        <f t="shared" si="99"/>
        <v>1</v>
      </c>
      <c r="Z106" s="2">
        <f t="shared" si="100"/>
        <v>1</v>
      </c>
      <c r="AA106" s="2">
        <f t="shared" si="101"/>
        <v>1</v>
      </c>
      <c r="AB106" s="2">
        <f t="shared" si="102"/>
        <v>1</v>
      </c>
      <c r="AC106" s="2">
        <f t="shared" si="103"/>
        <v>1</v>
      </c>
      <c r="AD106" s="1">
        <f t="shared" si="104"/>
        <v>1.65327303023579</v>
      </c>
      <c r="AE106" s="2">
        <f t="shared" si="105"/>
        <v>1</v>
      </c>
      <c r="AF106" s="2">
        <f t="shared" si="106"/>
        <v>1.12730400536369</v>
      </c>
      <c r="AG106" s="2">
        <f t="shared" si="107"/>
        <v>1.22561098728344</v>
      </c>
      <c r="AH106" s="2">
        <f>MIN(1,_曲线基线!$L$3+AH$9*($H$10*H106+$I$10*I106+$J$10*J106+$K$10*K106+$L$10*L106))</f>
        <v>0.339616612202403</v>
      </c>
      <c r="AI106" s="2">
        <f>_曲线基线!$L$4+AI$9*($H$10*H106+$I$10*I106+$J$10*J106+$K$10*K106+$L$10*L106)</f>
        <v>2.80678913399241</v>
      </c>
      <c r="AJ106" s="2">
        <f t="shared" si="108"/>
        <v>1.66198082789121</v>
      </c>
      <c r="AK106" s="1">
        <f t="shared" si="109"/>
        <v>2.6817981985154</v>
      </c>
      <c r="AL106" s="1">
        <f t="shared" si="110"/>
        <v>673441.297598761</v>
      </c>
      <c r="AM106" s="14">
        <f t="shared" si="111"/>
        <v>37.0782107538475</v>
      </c>
      <c r="AN106" s="14">
        <f>(((E106*模块规划!$D$10+G106*模块规划!$D$11+H106*模块规划!$D$13)*(1+模块规划!$G$14*H106)+(I106*模块规划!$D$15+J106*模块规划!$D$17+K106*模块规划!$D$16+L106*模块规划!$D$18))*(1+模块规划!$J$17*J106))*F106/(1-Q106)</f>
        <v>1143599.30084008</v>
      </c>
      <c r="AO106" s="1">
        <f t="shared" si="112"/>
        <v>24969998.3627114</v>
      </c>
      <c r="AP106" s="1">
        <f>IF(AO106="","",_xlfn.XLOOKUP(AO106,_曲线基线!$E$3:$E$502,_曲线基线!$A$3:$A$502,500,1))</f>
        <v>190</v>
      </c>
      <c r="AQ106" s="15">
        <f t="shared" si="115"/>
        <v>5</v>
      </c>
    </row>
    <row r="107" customHeight="1" spans="1:43">
      <c r="A107" s="1">
        <f>IFERROR(_xlfn.XLOOKUP(B107,_曲线基线!$G$3:$G$107,_曲线基线!$J$3:$J$107,""),"")</f>
        <v>37</v>
      </c>
      <c r="B107" s="1">
        <v>96</v>
      </c>
      <c r="C107" s="1">
        <f t="shared" si="63"/>
        <v>7</v>
      </c>
      <c r="D107" s="1">
        <f t="shared" si="64"/>
        <v>12</v>
      </c>
      <c r="E107" s="1">
        <f t="shared" si="90"/>
        <v>1</v>
      </c>
      <c r="F107" s="11">
        <f t="shared" si="113"/>
        <v>5</v>
      </c>
      <c r="G107" s="12">
        <f t="shared" ref="G107:L107" si="145">IF($B107&lt;G$8,0,G$3+(G$4-G$3)*(POWER(G$5,$B107-G$8)-1)/(POWER(G$5,$C$5-G$8)-1))</f>
        <v>0.696291290388897</v>
      </c>
      <c r="H107" s="12">
        <f t="shared" si="145"/>
        <v>0.569144708782307</v>
      </c>
      <c r="I107" s="12">
        <f t="shared" si="145"/>
        <v>0.313548932431196</v>
      </c>
      <c r="J107" s="12">
        <f t="shared" si="145"/>
        <v>0.444755684052376</v>
      </c>
      <c r="K107" s="12">
        <f t="shared" si="145"/>
        <v>0</v>
      </c>
      <c r="L107" s="12">
        <f t="shared" si="145"/>
        <v>0.566461239328598</v>
      </c>
      <c r="M107" s="2">
        <f>E107*模块规划!$F$10+G107*模块规划!$F$11+H107*模块规划!$F$13</f>
        <v>4342.1981938667</v>
      </c>
      <c r="N107" s="2">
        <f>I107*模块规划!$F$15+J107*模块规划!$F$17+K107*模块规划!$F$16+L107*模块规划!$F$18</f>
        <v>9788.25449661632</v>
      </c>
      <c r="O107" s="2">
        <f t="shared" si="92"/>
        <v>2.45269855952827</v>
      </c>
      <c r="P107" s="13">
        <f t="shared" si="93"/>
        <v>20438.3577518994</v>
      </c>
      <c r="Q107" s="7">
        <f>P107/(P107+_曲线基线!$L$2)</f>
        <v>0.459926036556241</v>
      </c>
      <c r="R107" s="2">
        <f>E107*模块规划!$E$10+G107*模块规划!$E$11+H107*模块规划!$E$13</f>
        <v>6513.29729080006</v>
      </c>
      <c r="S107" s="2">
        <f>I107*模块规划!$E$15+J107*模块规划!$E$17+K107*模块规划!$E$16+L107*模块规划!$E$18</f>
        <v>14682.3817449245</v>
      </c>
      <c r="T107" s="2">
        <f t="shared" si="94"/>
        <v>2.45269855952827</v>
      </c>
      <c r="U107" s="13">
        <f t="shared" si="95"/>
        <v>30657.5366278492</v>
      </c>
      <c r="V107" s="2">
        <f t="shared" si="96"/>
        <v>0.870743412634692</v>
      </c>
      <c r="W107" s="2">
        <f t="shared" si="97"/>
        <v>0.227657883512923</v>
      </c>
      <c r="X107" s="2">
        <f t="shared" si="98"/>
        <v>0.431514794915134</v>
      </c>
      <c r="Y107" s="2">
        <f t="shared" si="99"/>
        <v>1</v>
      </c>
      <c r="Z107" s="2">
        <f t="shared" si="100"/>
        <v>1</v>
      </c>
      <c r="AA107" s="2">
        <f t="shared" si="101"/>
        <v>1</v>
      </c>
      <c r="AB107" s="2">
        <f t="shared" si="102"/>
        <v>1</v>
      </c>
      <c r="AC107" s="2">
        <f t="shared" si="103"/>
        <v>1</v>
      </c>
      <c r="AD107" s="1">
        <f t="shared" si="104"/>
        <v>1.65715528911217</v>
      </c>
      <c r="AE107" s="2">
        <f t="shared" si="105"/>
        <v>1</v>
      </c>
      <c r="AF107" s="2">
        <f t="shared" si="106"/>
        <v>1.12821388096241</v>
      </c>
      <c r="AG107" s="2">
        <f t="shared" si="107"/>
        <v>1.22722348903895</v>
      </c>
      <c r="AH107" s="2">
        <f>MIN(1,_曲线基线!$L$3+AH$9*($H$10*H107+$I$10*I107+$J$10*J107+$K$10*K107+$L$10*L107))</f>
        <v>0.341686579189492</v>
      </c>
      <c r="AI107" s="2">
        <f>_曲线基线!$L$4+AI$9*($H$10*H107+$I$10*I107+$J$10*J107+$K$10*K107+$L$10*L107)</f>
        <v>2.8125554705993</v>
      </c>
      <c r="AJ107" s="2">
        <f t="shared" si="108"/>
        <v>1.66671218100455</v>
      </c>
      <c r="AK107" s="1">
        <f t="shared" si="109"/>
        <v>2.69895016644563</v>
      </c>
      <c r="AL107" s="1">
        <f t="shared" si="110"/>
        <v>685591.355860024</v>
      </c>
      <c r="AM107" s="14">
        <f t="shared" si="111"/>
        <v>37.1124175013079</v>
      </c>
      <c r="AN107" s="14">
        <f>(((E107*模块规划!$D$10+G107*模块规划!$D$11+H107*模块规划!$D$13)*(1+模块规划!$G$14*H107)+(I107*模块规划!$D$15+J107*模块规划!$D$17+K107*模块规划!$D$16+L107*模块规划!$D$18))*(1+模块规划!$J$17*J107))*F107/(1-Q107)</f>
        <v>1161102.55625193</v>
      </c>
      <c r="AO107" s="1">
        <f t="shared" si="112"/>
        <v>25443952.633965</v>
      </c>
      <c r="AP107" s="1">
        <f>IF(AO107="","",_xlfn.XLOOKUP(AO107,_曲线基线!$E$3:$E$502,_曲线基线!$A$3:$A$502,500,1))</f>
        <v>191</v>
      </c>
      <c r="AQ107" s="15">
        <f t="shared" si="115"/>
        <v>5</v>
      </c>
    </row>
    <row r="108" customHeight="1" spans="1:43">
      <c r="A108" s="1">
        <f>IFERROR(_xlfn.XLOOKUP(B108,_曲线基线!$G$3:$G$107,_曲线基线!$J$3:$J$107,""),"")</f>
        <v>37</v>
      </c>
      <c r="B108" s="1">
        <v>97</v>
      </c>
      <c r="C108" s="1">
        <f t="shared" si="63"/>
        <v>7</v>
      </c>
      <c r="D108" s="1">
        <f t="shared" si="64"/>
        <v>13</v>
      </c>
      <c r="E108" s="1">
        <f t="shared" si="90"/>
        <v>1</v>
      </c>
      <c r="F108" s="11">
        <f t="shared" si="113"/>
        <v>5</v>
      </c>
      <c r="G108" s="12">
        <f t="shared" ref="G108:L108" si="146">IF($B108&lt;G$8,0,G$3+(G$4-G$3)*(POWER(G$5,$B108-G$8)-1)/(POWER(G$5,$C$5-G$8)-1))</f>
        <v>0.699552111487559</v>
      </c>
      <c r="H108" s="12">
        <f t="shared" si="146"/>
        <v>0.571828356846172</v>
      </c>
      <c r="I108" s="12">
        <f t="shared" si="146"/>
        <v>0.32044904512564</v>
      </c>
      <c r="J108" s="12">
        <f t="shared" si="146"/>
        <v>0.447939514863053</v>
      </c>
      <c r="K108" s="12">
        <f t="shared" si="146"/>
        <v>0</v>
      </c>
      <c r="L108" s="12">
        <f t="shared" si="146"/>
        <v>0.569199921373412</v>
      </c>
      <c r="M108" s="2">
        <f>E108*模块规划!$F$10+G108*模块规划!$F$11+H108*模块规划!$F$13</f>
        <v>4357.85013514028</v>
      </c>
      <c r="N108" s="2">
        <f>I108*模块规划!$F$15+J108*模块规划!$F$17+K108*模块规划!$F$16+L108*模块规划!$F$18</f>
        <v>9888.98711650271</v>
      </c>
      <c r="O108" s="2">
        <f t="shared" si="92"/>
        <v>2.46280151766709</v>
      </c>
      <c r="P108" s="13">
        <f t="shared" si="93"/>
        <v>20621.5070430919</v>
      </c>
      <c r="Q108" s="7">
        <f>P108/(P108+_曲线基线!$L$2)</f>
        <v>0.462142773958246</v>
      </c>
      <c r="R108" s="2">
        <f>E108*模块规划!$E$10+G108*模块规划!$E$11+H108*模块规划!$E$13</f>
        <v>6536.77520271043</v>
      </c>
      <c r="S108" s="2">
        <f>I108*模块规划!$E$15+J108*模块规划!$E$17+K108*模块规划!$E$16+L108*模块规划!$E$18</f>
        <v>14833.4806747541</v>
      </c>
      <c r="T108" s="2">
        <f t="shared" si="94"/>
        <v>2.46280151766709</v>
      </c>
      <c r="U108" s="13">
        <f t="shared" si="95"/>
        <v>30932.2605646379</v>
      </c>
      <c r="V108" s="2">
        <f t="shared" si="96"/>
        <v>0.871548507053852</v>
      </c>
      <c r="W108" s="2">
        <f t="shared" si="97"/>
        <v>0.228731342738469</v>
      </c>
      <c r="X108" s="2">
        <f t="shared" si="98"/>
        <v>0.432252798132697</v>
      </c>
      <c r="Y108" s="2">
        <f t="shared" si="99"/>
        <v>1</v>
      </c>
      <c r="Z108" s="2">
        <f t="shared" si="100"/>
        <v>1</v>
      </c>
      <c r="AA108" s="2">
        <f t="shared" si="101"/>
        <v>1</v>
      </c>
      <c r="AB108" s="2">
        <f t="shared" si="102"/>
        <v>1</v>
      </c>
      <c r="AC108" s="2">
        <f t="shared" si="103"/>
        <v>1</v>
      </c>
      <c r="AD108" s="1">
        <f t="shared" si="104"/>
        <v>1.66096419296779</v>
      </c>
      <c r="AE108" s="2">
        <f t="shared" si="105"/>
        <v>1</v>
      </c>
      <c r="AF108" s="2">
        <f t="shared" si="106"/>
        <v>1.12910555904916</v>
      </c>
      <c r="AG108" s="2">
        <f t="shared" si="107"/>
        <v>1.22880374075935</v>
      </c>
      <c r="AH108" s="2">
        <f>MIN(1,_曲线基线!$L$3+AH$9*($H$10*H108+$I$10*I108+$J$10*J108+$K$10*K108+$L$10*L108))</f>
        <v>0.343715146836839</v>
      </c>
      <c r="AI108" s="2">
        <f>_曲线基线!$L$4+AI$9*($H$10*H108+$I$10*I108+$J$10*J108+$K$10*K108+$L$10*L108)</f>
        <v>2.81820648047405</v>
      </c>
      <c r="AJ108" s="2">
        <f t="shared" si="108"/>
        <v>1.67134890705563</v>
      </c>
      <c r="AK108" s="1">
        <f t="shared" si="109"/>
        <v>2.71585022930484</v>
      </c>
      <c r="AL108" s="1">
        <f t="shared" si="110"/>
        <v>697666.308322014</v>
      </c>
      <c r="AM108" s="14">
        <f t="shared" si="111"/>
        <v>37.1469663162428</v>
      </c>
      <c r="AN108" s="14">
        <f>(((E108*模块规划!$D$10+G108*模块规划!$D$11+H108*模块规划!$D$13)*(1+模块规划!$G$14*H108)+(I108*模块规划!$D$15+J108*模块规划!$D$17+K108*模块规划!$D$16+L108*模块规划!$D$18))*(1+模块规划!$J$17*J108))*F108/(1-Q108)</f>
        <v>1178434.92141308</v>
      </c>
      <c r="AO108" s="1">
        <f t="shared" si="112"/>
        <v>25916186.8552153</v>
      </c>
      <c r="AP108" s="1">
        <f>IF(AO108="","",_xlfn.XLOOKUP(AO108,_曲线基线!$E$3:$E$502,_曲线基线!$A$3:$A$502,500,1))</f>
        <v>193</v>
      </c>
      <c r="AQ108" s="15">
        <f t="shared" si="115"/>
        <v>5</v>
      </c>
    </row>
    <row r="109" customHeight="1" spans="1:43">
      <c r="A109" s="1">
        <f>IFERROR(_xlfn.XLOOKUP(B109,_曲线基线!$G$3:$G$107,_曲线基线!$J$3:$J$107,""),"")</f>
        <v>37</v>
      </c>
      <c r="B109" s="1">
        <v>98</v>
      </c>
      <c r="C109" s="1">
        <f t="shared" si="63"/>
        <v>7</v>
      </c>
      <c r="D109" s="1">
        <f t="shared" si="64"/>
        <v>14</v>
      </c>
      <c r="E109" s="1">
        <f t="shared" si="90"/>
        <v>1</v>
      </c>
      <c r="F109" s="11">
        <f t="shared" si="113"/>
        <v>5</v>
      </c>
      <c r="G109" s="12">
        <f t="shared" ref="G109:L109" si="147">IF($B109&lt;G$8,0,G$3+(G$4-G$3)*(POWER(G$5,$B109-G$8)-1)/(POWER(G$5,$C$5-G$8)-1))</f>
        <v>0.702764020269742</v>
      </c>
      <c r="H109" s="12">
        <f t="shared" si="147"/>
        <v>0.57445833194876</v>
      </c>
      <c r="I109" s="12">
        <f t="shared" si="147"/>
        <v>0.327211155566195</v>
      </c>
      <c r="J109" s="12">
        <f t="shared" si="147"/>
        <v>0.451059669057515</v>
      </c>
      <c r="K109" s="12">
        <f t="shared" si="147"/>
        <v>0</v>
      </c>
      <c r="L109" s="12">
        <f t="shared" si="147"/>
        <v>0.571883829777329</v>
      </c>
      <c r="M109" s="2">
        <f>E109*模块规划!$F$10+G109*模块规划!$F$11+H109*模块规划!$F$13</f>
        <v>4373.26729729476</v>
      </c>
      <c r="N109" s="2">
        <f>I109*模块规划!$F$15+J109*模块规划!$F$17+K109*模块规划!$F$16+L109*模块规划!$F$18</f>
        <v>9987.70508399136</v>
      </c>
      <c r="O109" s="2">
        <f t="shared" si="92"/>
        <v>2.47270241664313</v>
      </c>
      <c r="P109" s="13">
        <f t="shared" si="93"/>
        <v>20801.4936986385</v>
      </c>
      <c r="Q109" s="7">
        <f>P109/(P109+_曲线基线!$L$2)</f>
        <v>0.464303575201347</v>
      </c>
      <c r="R109" s="2">
        <f>E109*模块规划!$E$10+G109*模块规划!$E$11+H109*模块规划!$E$13</f>
        <v>6559.90094594214</v>
      </c>
      <c r="S109" s="2">
        <f>I109*模块规划!$E$15+J109*模块规划!$E$17+K109*模块规划!$E$16+L109*模块规划!$E$18</f>
        <v>14981.557625987</v>
      </c>
      <c r="T109" s="2">
        <f t="shared" si="94"/>
        <v>2.47270241664313</v>
      </c>
      <c r="U109" s="13">
        <f t="shared" si="95"/>
        <v>31202.2405479577</v>
      </c>
      <c r="V109" s="2">
        <f t="shared" si="96"/>
        <v>0.872337499584628</v>
      </c>
      <c r="W109" s="2">
        <f t="shared" si="97"/>
        <v>0.229783332779504</v>
      </c>
      <c r="X109" s="2">
        <f t="shared" si="98"/>
        <v>0.432976041285909</v>
      </c>
      <c r="Y109" s="2">
        <f t="shared" si="99"/>
        <v>1</v>
      </c>
      <c r="Z109" s="2">
        <f t="shared" si="100"/>
        <v>1</v>
      </c>
      <c r="AA109" s="2">
        <f t="shared" si="101"/>
        <v>1</v>
      </c>
      <c r="AB109" s="2">
        <f t="shared" si="102"/>
        <v>1</v>
      </c>
      <c r="AC109" s="2">
        <f t="shared" si="103"/>
        <v>1</v>
      </c>
      <c r="AD109" s="1">
        <f t="shared" si="104"/>
        <v>1.66470103901285</v>
      </c>
      <c r="AE109" s="2">
        <f t="shared" si="105"/>
        <v>1</v>
      </c>
      <c r="AF109" s="2">
        <f t="shared" si="106"/>
        <v>1.12997940357417</v>
      </c>
      <c r="AG109" s="2">
        <f t="shared" si="107"/>
        <v>1.23035238744534</v>
      </c>
      <c r="AH109" s="2">
        <f>MIN(1,_曲线基线!$L$3+AH$9*($H$10*H109+$I$10*I109+$J$10*J109+$K$10*K109+$L$10*L109))</f>
        <v>0.345703143131239</v>
      </c>
      <c r="AI109" s="2">
        <f>_曲线基线!$L$4+AI$9*($H$10*H109+$I$10*I109+$J$10*J109+$K$10*K109+$L$10*L109)</f>
        <v>2.82374447015131</v>
      </c>
      <c r="AJ109" s="2">
        <f t="shared" si="108"/>
        <v>1.67589289858569</v>
      </c>
      <c r="AK109" s="1">
        <f t="shared" si="109"/>
        <v>2.73250012573246</v>
      </c>
      <c r="AL109" s="1">
        <f t="shared" si="110"/>
        <v>709663.103527574</v>
      </c>
      <c r="AM109" s="14">
        <f t="shared" si="111"/>
        <v>37.1818606193271</v>
      </c>
      <c r="AN109" s="14">
        <f>(((E109*模块规划!$D$10+G109*模块规划!$D$11+H109*模块规划!$D$13)*(1+模块规划!$G$14*H109)+(I109*模块规划!$D$15+J109*模块规划!$D$17+K109*模块规划!$D$16+L109*模块规划!$D$18))*(1+模块规划!$J$17*J109))*F109/(1-Q109)</f>
        <v>1195594.41718271</v>
      </c>
      <c r="AO109" s="1">
        <f t="shared" si="112"/>
        <v>26386594.6020414</v>
      </c>
      <c r="AP109" s="1">
        <f>IF(AO109="","",_xlfn.XLOOKUP(AO109,_曲线基线!$E$3:$E$502,_曲线基线!$A$3:$A$502,500,1))</f>
        <v>194</v>
      </c>
      <c r="AQ109" s="15">
        <f t="shared" si="115"/>
        <v>5</v>
      </c>
    </row>
    <row r="110" customHeight="1" spans="1:43">
      <c r="A110" s="1">
        <f>IFERROR(_xlfn.XLOOKUP(B110,_曲线基线!$G$3:$G$107,_曲线基线!$J$3:$J$107,""),"")</f>
        <v>37</v>
      </c>
      <c r="B110" s="1">
        <v>99</v>
      </c>
      <c r="C110" s="1">
        <f t="shared" si="63"/>
        <v>7</v>
      </c>
      <c r="D110" s="1">
        <f t="shared" si="64"/>
        <v>15</v>
      </c>
      <c r="E110" s="1">
        <f t="shared" si="90"/>
        <v>1</v>
      </c>
      <c r="F110" s="11">
        <f t="shared" si="113"/>
        <v>5</v>
      </c>
      <c r="G110" s="12">
        <f t="shared" ref="G110:L110" si="148">IF($B110&lt;G$8,0,G$3+(G$4-G$3)*(POWER(G$5,$B110-G$8)-1)/(POWER(G$5,$C$5-G$8)-1))</f>
        <v>0.705927750420191</v>
      </c>
      <c r="H110" s="12">
        <f t="shared" si="148"/>
        <v>0.577035707549296</v>
      </c>
      <c r="I110" s="12">
        <f t="shared" si="148"/>
        <v>0.33383802379794</v>
      </c>
      <c r="J110" s="12">
        <f t="shared" si="148"/>
        <v>0.454117420168089</v>
      </c>
      <c r="K110" s="12">
        <f t="shared" si="148"/>
        <v>0</v>
      </c>
      <c r="L110" s="12">
        <f t="shared" si="148"/>
        <v>0.574514060013168</v>
      </c>
      <c r="M110" s="2">
        <f>E110*模块规划!$F$10+G110*模块规划!$F$11+H110*模块规划!$F$13</f>
        <v>4388.45320201692</v>
      </c>
      <c r="N110" s="2">
        <f>I110*模块规划!$F$15+J110*模块规划!$F$17+K110*模块规划!$F$16+L110*模块规划!$F$18</f>
        <v>10084.4486921302</v>
      </c>
      <c r="O110" s="2">
        <f t="shared" si="92"/>
        <v>2.48240529763965</v>
      </c>
      <c r="P110" s="13">
        <f t="shared" si="93"/>
        <v>20978.3681692607</v>
      </c>
      <c r="Q110" s="7">
        <f>P110/(P110+_曲线基线!$L$2)</f>
        <v>0.466410166111759</v>
      </c>
      <c r="R110" s="2">
        <f>E110*模块规划!$E$10+G110*模块规划!$E$11+H110*模块规划!$E$13</f>
        <v>6582.67980302538</v>
      </c>
      <c r="S110" s="2">
        <f>I110*模块规划!$E$15+J110*模块规划!$E$17+K110*模块规划!$E$16+L110*模块规划!$E$18</f>
        <v>15126.6730381954</v>
      </c>
      <c r="T110" s="2">
        <f t="shared" si="94"/>
        <v>2.48240529763965</v>
      </c>
      <c r="U110" s="13">
        <f t="shared" si="95"/>
        <v>31467.5522538911</v>
      </c>
      <c r="V110" s="2">
        <f t="shared" si="96"/>
        <v>0.873110712264789</v>
      </c>
      <c r="W110" s="2">
        <f t="shared" si="97"/>
        <v>0.230814283019719</v>
      </c>
      <c r="X110" s="2">
        <f t="shared" si="98"/>
        <v>0.433684819576057</v>
      </c>
      <c r="Y110" s="2">
        <f t="shared" si="99"/>
        <v>1</v>
      </c>
      <c r="Z110" s="2">
        <f t="shared" si="100"/>
        <v>1</v>
      </c>
      <c r="AA110" s="2">
        <f t="shared" si="101"/>
        <v>1</v>
      </c>
      <c r="AB110" s="2">
        <f t="shared" si="102"/>
        <v>1</v>
      </c>
      <c r="AC110" s="2">
        <f t="shared" si="103"/>
        <v>1</v>
      </c>
      <c r="AD110" s="1">
        <f t="shared" si="104"/>
        <v>1.668367105241</v>
      </c>
      <c r="AE110" s="2">
        <f t="shared" si="105"/>
        <v>1</v>
      </c>
      <c r="AF110" s="2">
        <f t="shared" si="106"/>
        <v>1.13083577120868</v>
      </c>
      <c r="AG110" s="2">
        <f t="shared" si="107"/>
        <v>1.23187006119761</v>
      </c>
      <c r="AH110" s="2">
        <f>MIN(1,_曲线基线!$L$3+AH$9*($H$10*H110+$I$10*I110+$J$10*J110+$K$10*K110+$L$10*L110))</f>
        <v>0.347651379499751</v>
      </c>
      <c r="AI110" s="2">
        <f>_曲线基线!$L$4+AI$9*($H$10*H110+$I$10*I110+$J$10*J110+$K$10*K110+$L$10*L110)</f>
        <v>2.82917170003502</v>
      </c>
      <c r="AJ110" s="2">
        <f t="shared" si="108"/>
        <v>1.68034601028515</v>
      </c>
      <c r="AK110" s="1">
        <f t="shared" si="109"/>
        <v>2.74890167205531</v>
      </c>
      <c r="AL110" s="1">
        <f t="shared" si="110"/>
        <v>721578.841664008</v>
      </c>
      <c r="AM110" s="14">
        <f t="shared" si="111"/>
        <v>37.2171038654422</v>
      </c>
      <c r="AN110" s="14">
        <f>(((E110*模块规划!$D$10+G110*模块规划!$D$11+H110*模块规划!$D$13)*(1+模块规划!$G$14*H110)+(I110*模块规划!$D$15+J110*模块规划!$D$17+K110*模块规划!$D$16+L110*模块规划!$D$18))*(1+模块规划!$J$17*J110))*F110/(1-Q110)</f>
        <v>1212579.25539915</v>
      </c>
      <c r="AO110" s="1">
        <f t="shared" si="112"/>
        <v>26855074.6973149</v>
      </c>
      <c r="AP110" s="1">
        <f>IF(AO110="","",_xlfn.XLOOKUP(AO110,_曲线基线!$E$3:$E$502,_曲线基线!$A$3:$A$502,500,1))</f>
        <v>195</v>
      </c>
      <c r="AQ110" s="15">
        <f t="shared" si="115"/>
        <v>5</v>
      </c>
    </row>
    <row r="111" customHeight="1" spans="1:43">
      <c r="A111" s="1">
        <f>IFERROR(_xlfn.XLOOKUP(B111,_曲线基线!$G$3:$G$107,_曲线基线!$J$3:$J$107,""),"")</f>
        <v>38</v>
      </c>
      <c r="B111" s="1">
        <v>100</v>
      </c>
      <c r="C111" s="1">
        <f t="shared" si="63"/>
        <v>8</v>
      </c>
      <c r="D111" s="1">
        <f t="shared" si="64"/>
        <v>1</v>
      </c>
      <c r="E111" s="1">
        <f t="shared" si="90"/>
        <v>1</v>
      </c>
      <c r="F111" s="11">
        <f t="shared" si="113"/>
        <v>5</v>
      </c>
      <c r="G111" s="12">
        <f t="shared" ref="G111:L111" si="149">IF($B111&lt;G$8,0,G$3+(G$4-G$3)*(POWER(G$5,$B111-G$8)-1)/(POWER(G$5,$C$5-G$8)-1))</f>
        <v>0.709044024618384</v>
      </c>
      <c r="H111" s="12">
        <f t="shared" si="149"/>
        <v>0.579561535637822</v>
      </c>
      <c r="I111" s="12">
        <f t="shared" si="149"/>
        <v>0.340332354665049</v>
      </c>
      <c r="J111" s="12">
        <f t="shared" si="149"/>
        <v>0.457114016256451</v>
      </c>
      <c r="K111" s="12">
        <f t="shared" si="149"/>
        <v>0</v>
      </c>
      <c r="L111" s="12">
        <f t="shared" si="149"/>
        <v>0.577091685644291</v>
      </c>
      <c r="M111" s="2">
        <f>E111*模块规划!$F$10+G111*模块规划!$F$11+H111*模块规划!$F$13</f>
        <v>4403.41131816824</v>
      </c>
      <c r="N111" s="2">
        <f>I111*模块规划!$F$15+J111*模块规划!$F$17+K111*模块规划!$F$16+L111*模块规划!$F$18</f>
        <v>10179.2574281064</v>
      </c>
      <c r="O111" s="2">
        <f t="shared" si="92"/>
        <v>2.49191412101624</v>
      </c>
      <c r="P111" s="13">
        <f t="shared" si="93"/>
        <v>21152.1802724925</v>
      </c>
      <c r="Q111" s="7">
        <f>P111/(P111+_曲线基线!$L$2)</f>
        <v>0.468464205822167</v>
      </c>
      <c r="R111" s="2">
        <f>E111*模块规划!$E$10+G111*模块规划!$E$11+H111*模块规划!$E$13</f>
        <v>6605.11697725237</v>
      </c>
      <c r="S111" s="2">
        <f>I111*模块规划!$E$15+J111*模块规划!$E$17+K111*模块规划!$E$16+L111*模块规划!$E$18</f>
        <v>15268.8861421595</v>
      </c>
      <c r="T111" s="2">
        <f t="shared" si="94"/>
        <v>2.49191412101624</v>
      </c>
      <c r="U111" s="13">
        <f t="shared" si="95"/>
        <v>31728.2704087388</v>
      </c>
      <c r="V111" s="2">
        <f t="shared" si="96"/>
        <v>0.873868460691346</v>
      </c>
      <c r="W111" s="2">
        <f t="shared" si="97"/>
        <v>0.231824614255129</v>
      </c>
      <c r="X111" s="2">
        <f t="shared" si="98"/>
        <v>0.434379422300401</v>
      </c>
      <c r="Y111" s="2">
        <f t="shared" si="99"/>
        <v>1</v>
      </c>
      <c r="Z111" s="2">
        <f t="shared" si="100"/>
        <v>1</v>
      </c>
      <c r="AA111" s="2">
        <f t="shared" si="101"/>
        <v>1</v>
      </c>
      <c r="AB111" s="2">
        <f t="shared" si="102"/>
        <v>1</v>
      </c>
      <c r="AC111" s="2">
        <f t="shared" si="103"/>
        <v>1</v>
      </c>
      <c r="AD111" s="1">
        <f t="shared" si="104"/>
        <v>1.67196365054728</v>
      </c>
      <c r="AE111" s="2">
        <f t="shared" si="105"/>
        <v>1</v>
      </c>
      <c r="AF111" s="2">
        <f t="shared" si="106"/>
        <v>1.1316750114905</v>
      </c>
      <c r="AG111" s="2">
        <f t="shared" si="107"/>
        <v>1.23335738147484</v>
      </c>
      <c r="AH111" s="2">
        <f>MIN(1,_曲线基线!$L$3+AH$9*($H$10*H111+$I$10*I111+$J$10*J111+$K$10*K111+$L$10*L111))</f>
        <v>0.349560651140893</v>
      </c>
      <c r="AI111" s="2">
        <f>_曲线基线!$L$4+AI$9*($H$10*H111+$I$10*I111+$J$10*J111+$K$10*K111+$L$10*L111)</f>
        <v>2.83449038532106</v>
      </c>
      <c r="AJ111" s="2">
        <f t="shared" si="108"/>
        <v>1.68471005975061</v>
      </c>
      <c r="AK111" s="1">
        <f t="shared" si="109"/>
        <v>2.76505675735073</v>
      </c>
      <c r="AL111" s="1">
        <f t="shared" si="110"/>
        <v>733410.771826677</v>
      </c>
      <c r="AM111" s="14">
        <f t="shared" si="111"/>
        <v>37.2526995440185</v>
      </c>
      <c r="AN111" s="14">
        <f>(((E111*模块规划!$D$10+G111*模块规划!$D$11+H111*模块规划!$D$13)*(1+模块规划!$G$14*H111)+(I111*模块规划!$D$15+J111*模块规划!$D$17+K111*模块规划!$D$16+L111*模块规划!$D$18))*(1+模块规划!$J$17*J111))*F111/(1-Q111)</f>
        <v>1229387.83179704</v>
      </c>
      <c r="AO111" s="1">
        <f t="shared" si="112"/>
        <v>27321531.1252059</v>
      </c>
      <c r="AP111" s="1">
        <f>IF(AO111="","",_xlfn.XLOOKUP(AO111,_曲线基线!$E$3:$E$502,_曲线基线!$A$3:$A$502,500,1))</f>
        <v>196</v>
      </c>
      <c r="AQ111" s="15">
        <f t="shared" si="115"/>
        <v>5</v>
      </c>
    </row>
    <row r="112" customHeight="1" spans="1:43">
      <c r="A112" s="1">
        <f>IFERROR(_xlfn.XLOOKUP(B112,_曲线基线!$G$3:$G$107,_曲线基线!$J$3:$J$107,""),"")</f>
        <v>38</v>
      </c>
      <c r="B112" s="1">
        <v>101</v>
      </c>
      <c r="C112" s="1">
        <f t="shared" si="63"/>
        <v>8</v>
      </c>
      <c r="D112" s="1">
        <f t="shared" si="64"/>
        <v>2</v>
      </c>
      <c r="E112" s="1">
        <f t="shared" si="90"/>
        <v>1</v>
      </c>
      <c r="F112" s="11">
        <f t="shared" si="113"/>
        <v>5</v>
      </c>
      <c r="G112" s="12">
        <f t="shared" ref="G112:L112" si="150">IF($B112&lt;G$8,0,G$3+(G$4-G$3)*(POWER(G$5,$B112-G$8)-1)/(POWER(G$5,$C$5-G$8)-1))</f>
        <v>0.712113554703604</v>
      </c>
      <c r="H112" s="12">
        <f t="shared" si="150"/>
        <v>0.582036847164577</v>
      </c>
      <c r="I112" s="12">
        <f t="shared" si="150"/>
        <v>0.346696798914816</v>
      </c>
      <c r="J112" s="12">
        <f t="shared" si="150"/>
        <v>0.460050680423046</v>
      </c>
      <c r="K112" s="12">
        <f t="shared" si="150"/>
        <v>0.0133591249349735</v>
      </c>
      <c r="L112" s="12">
        <f t="shared" si="150"/>
        <v>0.579617758762791</v>
      </c>
      <c r="M112" s="2">
        <f>E112*模块规划!$F$10+G112*模块规划!$F$11+H112*模块规划!$F$13</f>
        <v>4418.1450625773</v>
      </c>
      <c r="N112" s="2">
        <f>I112*模块规划!$F$15+J112*模块规划!$F$17+K112*模块规划!$F$16+L112*模块规划!$F$18</f>
        <v>10352.3247389728</v>
      </c>
      <c r="O112" s="2">
        <f t="shared" si="92"/>
        <v>2.51101311810706</v>
      </c>
      <c r="P112" s="13">
        <f t="shared" si="93"/>
        <v>21446.3449488043</v>
      </c>
      <c r="Q112" s="7">
        <f>P112/(P112+_曲线基线!$L$2)</f>
        <v>0.471904725736774</v>
      </c>
      <c r="R112" s="2">
        <f>E112*模块规划!$E$10+G112*模块规划!$E$11+H112*模块规划!$E$13</f>
        <v>6627.21759386595</v>
      </c>
      <c r="S112" s="2">
        <f>I112*模块规划!$E$15+J112*模块规划!$E$17+K112*模块规划!$E$16+L112*模块规划!$E$18</f>
        <v>15528.4871084592</v>
      </c>
      <c r="T112" s="2">
        <f t="shared" si="94"/>
        <v>2.51101311810706</v>
      </c>
      <c r="U112" s="13">
        <f t="shared" si="95"/>
        <v>32169.5174232065</v>
      </c>
      <c r="V112" s="2">
        <f t="shared" si="96"/>
        <v>0.874611054149373</v>
      </c>
      <c r="W112" s="2">
        <f t="shared" si="97"/>
        <v>0.232814738865831</v>
      </c>
      <c r="X112" s="2">
        <f t="shared" si="98"/>
        <v>0.435060132970259</v>
      </c>
      <c r="Y112" s="2">
        <f t="shared" si="99"/>
        <v>1</v>
      </c>
      <c r="Z112" s="2">
        <f t="shared" si="100"/>
        <v>1</v>
      </c>
      <c r="AA112" s="2">
        <f t="shared" si="101"/>
        <v>1</v>
      </c>
      <c r="AB112" s="2">
        <f t="shared" si="102"/>
        <v>1</v>
      </c>
      <c r="AC112" s="2">
        <f t="shared" si="103"/>
        <v>1</v>
      </c>
      <c r="AD112" s="1">
        <f t="shared" si="104"/>
        <v>1.67635843280873</v>
      </c>
      <c r="AE112" s="2">
        <f t="shared" si="105"/>
        <v>1</v>
      </c>
      <c r="AF112" s="2">
        <f t="shared" si="106"/>
        <v>1.13336067196249</v>
      </c>
      <c r="AG112" s="2">
        <f t="shared" si="107"/>
        <v>1.23634474642241</v>
      </c>
      <c r="AH112" s="2">
        <f>MIN(1,_曲线基线!$L$3+AH$9*($H$10*H112+$I$10*I112+$J$10*J112+$K$10*K112+$L$10*L112))</f>
        <v>0.353395528714654</v>
      </c>
      <c r="AI112" s="2">
        <f>_曲线基线!$L$4+AI$9*($H$10*H112+$I$10*I112+$J$10*J112+$K$10*K112+$L$10*L112)</f>
        <v>2.84517325856225</v>
      </c>
      <c r="AJ112" s="2">
        <f t="shared" si="108"/>
        <v>1.69347549420492</v>
      </c>
      <c r="AK112" s="1">
        <f t="shared" si="109"/>
        <v>2.79775018547485</v>
      </c>
      <c r="AL112" s="1">
        <f t="shared" si="110"/>
        <v>754380.349405637</v>
      </c>
      <c r="AM112" s="14">
        <f t="shared" si="111"/>
        <v>37.2886511793806</v>
      </c>
      <c r="AN112" s="14">
        <f>(((E112*模块规划!$D$10+G112*模块规划!$D$11+H112*模块规划!$D$13)*(1+模块规划!$G$14*H112)+(I112*模块规划!$D$15+J112*模块规划!$D$17+K112*模块规划!$D$16+L112*模块规划!$D$18))*(1+模块规划!$J$17*J112))*F112/(1-Q112)</f>
        <v>1255299.61646539</v>
      </c>
      <c r="AO112" s="1">
        <f t="shared" si="112"/>
        <v>28129825.7055661</v>
      </c>
      <c r="AP112" s="1">
        <f>IF(AO112="","",_xlfn.XLOOKUP(AO112,_曲线基线!$E$3:$E$502,_曲线基线!$A$3:$A$502,500,1))</f>
        <v>198</v>
      </c>
      <c r="AQ112" s="15">
        <f t="shared" si="115"/>
        <v>5</v>
      </c>
    </row>
    <row r="113" customHeight="1" spans="1:43">
      <c r="A113" s="1">
        <f>IFERROR(_xlfn.XLOOKUP(B113,_曲线基线!$G$3:$G$107,_曲线基线!$J$3:$J$107,""),"")</f>
        <v>38</v>
      </c>
      <c r="B113" s="1">
        <v>102</v>
      </c>
      <c r="C113" s="1">
        <f t="shared" si="63"/>
        <v>8</v>
      </c>
      <c r="D113" s="1">
        <f t="shared" si="64"/>
        <v>3</v>
      </c>
      <c r="E113" s="1">
        <f t="shared" si="90"/>
        <v>1</v>
      </c>
      <c r="F113" s="11">
        <f t="shared" si="113"/>
        <v>5</v>
      </c>
      <c r="G113" s="12">
        <f t="shared" ref="G113:L113" si="151">IF($B113&lt;G$8,0,G$3+(G$4-G$3)*(POWER(G$5,$B113-G$8)-1)/(POWER(G$5,$C$5-G$8)-1))</f>
        <v>0.715137041837546</v>
      </c>
      <c r="H113" s="12">
        <f t="shared" si="151"/>
        <v>0.584462652460797</v>
      </c>
      <c r="I113" s="12">
        <f t="shared" si="151"/>
        <v>0.352933954279588</v>
      </c>
      <c r="J113" s="12">
        <f t="shared" si="151"/>
        <v>0.462928611306309</v>
      </c>
      <c r="K113" s="12">
        <f t="shared" si="151"/>
        <v>0.0264510673712477</v>
      </c>
      <c r="L113" s="12">
        <f t="shared" si="151"/>
        <v>0.582093310418921</v>
      </c>
      <c r="M113" s="2">
        <f>E113*模块规划!$F$10+G113*模块规划!$F$11+H113*模块规划!$F$13</f>
        <v>4432.65780082022</v>
      </c>
      <c r="N113" s="2">
        <f>I113*模块规划!$F$15+J113*模块规划!$F$17+K113*模块规划!$F$16+L113*模块规划!$F$18</f>
        <v>10521.9307036219</v>
      </c>
      <c r="O113" s="2">
        <f t="shared" si="92"/>
        <v>2.52973013525605</v>
      </c>
      <c r="P113" s="13">
        <f t="shared" si="93"/>
        <v>21735.3587216346</v>
      </c>
      <c r="Q113" s="7">
        <f>P113/(P113+_曲线基线!$L$2)</f>
        <v>0.475241898810185</v>
      </c>
      <c r="R113" s="2">
        <f>E113*模块规划!$E$10+G113*模块规划!$E$11+H113*模块规划!$E$13</f>
        <v>6648.98670123033</v>
      </c>
      <c r="S113" s="2">
        <f>I113*模块规划!$E$15+J113*模块规划!$E$17+K113*模块规划!$E$16+L113*模块规划!$E$18</f>
        <v>15782.8960554328</v>
      </c>
      <c r="T113" s="2">
        <f t="shared" si="94"/>
        <v>2.52973013525605</v>
      </c>
      <c r="U113" s="13">
        <f t="shared" si="95"/>
        <v>32603.0380824519</v>
      </c>
      <c r="V113" s="2">
        <f t="shared" si="96"/>
        <v>0.875338795738239</v>
      </c>
      <c r="W113" s="2">
        <f t="shared" si="97"/>
        <v>0.233785060984319</v>
      </c>
      <c r="X113" s="2">
        <f t="shared" si="98"/>
        <v>0.435727229426719</v>
      </c>
      <c r="Y113" s="2">
        <f t="shared" si="99"/>
        <v>1</v>
      </c>
      <c r="Z113" s="2">
        <f t="shared" si="100"/>
        <v>1</v>
      </c>
      <c r="AA113" s="2">
        <f t="shared" si="101"/>
        <v>1</v>
      </c>
      <c r="AB113" s="2">
        <f t="shared" si="102"/>
        <v>1</v>
      </c>
      <c r="AC113" s="2">
        <f t="shared" si="103"/>
        <v>1</v>
      </c>
      <c r="AD113" s="1">
        <f t="shared" si="104"/>
        <v>1.6806725038435</v>
      </c>
      <c r="AE113" s="2">
        <f t="shared" si="105"/>
        <v>1</v>
      </c>
      <c r="AF113" s="2">
        <f t="shared" si="106"/>
        <v>1.13501261922503</v>
      </c>
      <c r="AG113" s="2">
        <f t="shared" si="107"/>
        <v>1.23927236407102</v>
      </c>
      <c r="AH113" s="2">
        <f>MIN(1,_曲线基线!$L$3+AH$9*($H$10*H113+$I$10*I113+$J$10*J113+$K$10*K113+$L$10*L113))</f>
        <v>0.357153708736939</v>
      </c>
      <c r="AI113" s="2">
        <f>_曲线基线!$L$4+AI$9*($H$10*H113+$I$10*I113+$J$10*J113+$K$10*K113+$L$10*L113)</f>
        <v>2.85564247433861</v>
      </c>
      <c r="AJ113" s="2">
        <f t="shared" si="108"/>
        <v>1.70206561997015</v>
      </c>
      <c r="AK113" s="1">
        <f t="shared" si="109"/>
        <v>2.83010891482188</v>
      </c>
      <c r="AL113" s="1">
        <f t="shared" si="110"/>
        <v>775379.509458662</v>
      </c>
      <c r="AM113" s="14">
        <f t="shared" si="111"/>
        <v>37.3249623310963</v>
      </c>
      <c r="AN113" s="14">
        <f>(((E113*模块规划!$D$10+G113*模块规划!$D$11+H113*模块规划!$D$13)*(1+模块规划!$G$14*H113)+(I113*模块规划!$D$15+J113*模块规划!$D$17+K113*模块规划!$D$16+L113*模块规划!$D$18))*(1+模块规划!$J$17*J113))*F113/(1-Q113)</f>
        <v>1281018.46855859</v>
      </c>
      <c r="AO113" s="1">
        <f t="shared" si="112"/>
        <v>28941010.9828485</v>
      </c>
      <c r="AP113" s="1">
        <f>IF(AO113="","",_xlfn.XLOOKUP(AO113,_曲线基线!$E$3:$E$502,_曲线基线!$A$3:$A$502,500,1))</f>
        <v>200</v>
      </c>
      <c r="AQ113" s="15">
        <f t="shared" si="115"/>
        <v>5</v>
      </c>
    </row>
    <row r="114" customHeight="1" spans="1:43">
      <c r="A114" s="1">
        <f>IFERROR(_xlfn.XLOOKUP(B114,_曲线基线!$G$3:$G$107,_曲线基线!$J$3:$J$107,""),"")</f>
        <v>38</v>
      </c>
      <c r="B114" s="1">
        <v>103</v>
      </c>
      <c r="C114" s="1">
        <f t="shared" si="63"/>
        <v>8</v>
      </c>
      <c r="D114" s="1">
        <f t="shared" si="64"/>
        <v>4</v>
      </c>
      <c r="E114" s="1">
        <f t="shared" si="90"/>
        <v>1</v>
      </c>
      <c r="F114" s="11">
        <f t="shared" si="113"/>
        <v>5</v>
      </c>
      <c r="G114" s="12">
        <f t="shared" ref="G114:L114" si="152">IF($B114&lt;G$8,0,G$3+(G$4-G$3)*(POWER(G$5,$B114-G$8)-1)/(POWER(G$5,$C$5-G$8)-1))</f>
        <v>0.718115176664479</v>
      </c>
      <c r="H114" s="12">
        <f t="shared" si="152"/>
        <v>0.586839941651092</v>
      </c>
      <c r="I114" s="12">
        <f t="shared" si="152"/>
        <v>0.359046366537064</v>
      </c>
      <c r="J114" s="12">
        <f t="shared" si="152"/>
        <v>0.465748983571907</v>
      </c>
      <c r="K114" s="12">
        <f t="shared" si="152"/>
        <v>0.0392811709587962</v>
      </c>
      <c r="L114" s="12">
        <f t="shared" si="152"/>
        <v>0.584519351041928</v>
      </c>
      <c r="M114" s="2">
        <f>E114*模块规划!$F$10+G114*模块规划!$F$11+H114*模块规划!$F$13</f>
        <v>4446.9528479895</v>
      </c>
      <c r="N114" s="2">
        <f>I114*模块规划!$F$15+J114*模块规划!$F$17+K114*模块规划!$F$16+L114*模块规划!$F$18</f>
        <v>10688.144548978</v>
      </c>
      <c r="O114" s="2">
        <f t="shared" si="92"/>
        <v>2.54807281206207</v>
      </c>
      <c r="P114" s="13">
        <f t="shared" si="93"/>
        <v>22019.304197462</v>
      </c>
      <c r="Q114" s="7">
        <f>P114/(P114+_曲线基线!$L$2)</f>
        <v>0.478479728919422</v>
      </c>
      <c r="R114" s="2">
        <f>E114*模块规划!$E$10+G114*模块规划!$E$11+H114*模块规划!$E$13</f>
        <v>6670.42927198425</v>
      </c>
      <c r="S114" s="2">
        <f>I114*模块规划!$E$15+J114*模块规划!$E$17+K114*模块规划!$E$16+L114*模块规划!$E$18</f>
        <v>16032.216823467</v>
      </c>
      <c r="T114" s="2">
        <f t="shared" si="94"/>
        <v>2.54807281206207</v>
      </c>
      <c r="U114" s="13">
        <f t="shared" si="95"/>
        <v>33028.956296193</v>
      </c>
      <c r="V114" s="2">
        <f t="shared" si="96"/>
        <v>0.876051982495328</v>
      </c>
      <c r="W114" s="2">
        <f t="shared" si="97"/>
        <v>0.234735976660437</v>
      </c>
      <c r="X114" s="2">
        <f t="shared" si="98"/>
        <v>0.43638098395405</v>
      </c>
      <c r="Y114" s="2">
        <f t="shared" si="99"/>
        <v>1</v>
      </c>
      <c r="Z114" s="2">
        <f t="shared" si="100"/>
        <v>1</v>
      </c>
      <c r="AA114" s="2">
        <f t="shared" si="101"/>
        <v>1</v>
      </c>
      <c r="AB114" s="2">
        <f t="shared" si="102"/>
        <v>1</v>
      </c>
      <c r="AC114" s="2">
        <f t="shared" si="103"/>
        <v>1</v>
      </c>
      <c r="AD114" s="1">
        <f t="shared" si="104"/>
        <v>1.68490719337314</v>
      </c>
      <c r="AE114" s="2">
        <f t="shared" si="105"/>
        <v>1</v>
      </c>
      <c r="AF114" s="2">
        <f t="shared" si="106"/>
        <v>1.13663152754232</v>
      </c>
      <c r="AG114" s="2">
        <f t="shared" si="107"/>
        <v>1.24214142936667</v>
      </c>
      <c r="AH114" s="2">
        <f>MIN(1,_曲线基线!$L$3+AH$9*($H$10*H114+$I$10*I114+$J$10*J114+$K$10*K114+$L$10*L114))</f>
        <v>0.360836725158778</v>
      </c>
      <c r="AI114" s="2">
        <f>_曲线基线!$L$4+AI$9*($H$10*H114+$I$10*I114+$J$10*J114+$K$10*K114+$L$10*L114)</f>
        <v>2.86590230579945</v>
      </c>
      <c r="AJ114" s="2">
        <f t="shared" si="108"/>
        <v>1.71048394322006</v>
      </c>
      <c r="AK114" s="1">
        <f t="shared" si="109"/>
        <v>2.86212896796185</v>
      </c>
      <c r="AL114" s="1">
        <f t="shared" si="110"/>
        <v>796397.775622901</v>
      </c>
      <c r="AM114" s="14">
        <f t="shared" si="111"/>
        <v>37.3616365943291</v>
      </c>
      <c r="AN114" s="14">
        <f>(((E114*模块规划!$D$10+G114*模块规划!$D$11+H114*模块规划!$D$13)*(1+模块规划!$G$14*H114)+(I114*模块规划!$D$15+J114*模块规划!$D$17+K114*模块规划!$D$16+L114*模块规划!$D$18))*(1+模块规划!$J$17*J114))*F114/(1-Q114)</f>
        <v>1306538.20825466</v>
      </c>
      <c r="AO114" s="1">
        <f t="shared" si="112"/>
        <v>29754724.2773549</v>
      </c>
      <c r="AP114" s="1">
        <f>IF(AO114="","",_xlfn.XLOOKUP(AO114,_曲线基线!$E$3:$E$502,_曲线基线!$A$3:$A$502,500,1))</f>
        <v>201</v>
      </c>
      <c r="AQ114" s="15">
        <f t="shared" si="115"/>
        <v>5</v>
      </c>
    </row>
    <row r="115" customHeight="1" spans="1:43">
      <c r="A115" s="1">
        <f>IFERROR(_xlfn.XLOOKUP(B115,_曲线基线!$G$3:$G$107,_曲线基线!$J$3:$J$107,""),"")</f>
        <v>38</v>
      </c>
      <c r="B115" s="1">
        <v>104</v>
      </c>
      <c r="C115" s="1">
        <f t="shared" ref="C115:C178" si="153">C100+1</f>
        <v>8</v>
      </c>
      <c r="D115" s="1">
        <f t="shared" ref="D115:D178" si="154">D100</f>
        <v>5</v>
      </c>
      <c r="E115" s="1">
        <f t="shared" si="90"/>
        <v>1</v>
      </c>
      <c r="F115" s="11">
        <f t="shared" si="113"/>
        <v>5</v>
      </c>
      <c r="G115" s="12">
        <f t="shared" ref="G115:L115" si="155">IF($B115&lt;G$8,0,G$3+(G$4-G$3)*(POWER(G$5,$B115-G$8)-1)/(POWER(G$5,$C$5-G$8)-1))</f>
        <v>0.721048639469008</v>
      </c>
      <c r="H115" s="12">
        <f t="shared" si="155"/>
        <v>0.589169685057581</v>
      </c>
      <c r="I115" s="12">
        <f t="shared" si="155"/>
        <v>0.365036530549391</v>
      </c>
      <c r="J115" s="12">
        <f t="shared" si="155"/>
        <v>0.468512948392192</v>
      </c>
      <c r="K115" s="12">
        <f t="shared" si="155"/>
        <v>0.0518546724745939</v>
      </c>
      <c r="L115" s="12">
        <f t="shared" si="155"/>
        <v>0.586896870852475</v>
      </c>
      <c r="M115" s="2">
        <f>E115*模块规划!$F$10+G115*模块规划!$F$11+H115*模块规划!$F$13</f>
        <v>4461.03346945124</v>
      </c>
      <c r="N115" s="2">
        <f>I115*模块规划!$F$15+J115*模块规划!$F$17+K115*模块规划!$F$16+L115*模块规划!$F$18</f>
        <v>10851.034117427</v>
      </c>
      <c r="O115" s="2">
        <f t="shared" si="92"/>
        <v>2.56604863533196</v>
      </c>
      <c r="P115" s="13">
        <f t="shared" si="93"/>
        <v>22298.2629638825</v>
      </c>
      <c r="Q115" s="7">
        <f>P115/(P115+_曲线基线!$L$2)</f>
        <v>0.481622020706857</v>
      </c>
      <c r="R115" s="2">
        <f>E115*模块规划!$E$10+G115*模块规划!$E$11+H115*模块规划!$E$13</f>
        <v>6691.55020417685</v>
      </c>
      <c r="S115" s="2">
        <f>I115*模块规划!$E$15+J115*模块规划!$E$17+K115*模块规划!$E$16+L115*模块规划!$E$18</f>
        <v>16276.5511761405</v>
      </c>
      <c r="T115" s="2">
        <f t="shared" si="94"/>
        <v>2.56604863533196</v>
      </c>
      <c r="U115" s="13">
        <f t="shared" si="95"/>
        <v>33447.3944458238</v>
      </c>
      <c r="V115" s="2">
        <f t="shared" si="96"/>
        <v>0.876750905517274</v>
      </c>
      <c r="W115" s="2">
        <f t="shared" si="97"/>
        <v>0.235667874023033</v>
      </c>
      <c r="X115" s="2">
        <f t="shared" si="98"/>
        <v>0.437021663390835</v>
      </c>
      <c r="Y115" s="2">
        <f t="shared" si="99"/>
        <v>1</v>
      </c>
      <c r="Z115" s="2">
        <f t="shared" si="100"/>
        <v>1</v>
      </c>
      <c r="AA115" s="2">
        <f t="shared" si="101"/>
        <v>1</v>
      </c>
      <c r="AB115" s="2">
        <f t="shared" si="102"/>
        <v>1</v>
      </c>
      <c r="AC115" s="2">
        <f t="shared" si="103"/>
        <v>1</v>
      </c>
      <c r="AD115" s="1">
        <f t="shared" si="104"/>
        <v>1.68906381579109</v>
      </c>
      <c r="AE115" s="2">
        <f t="shared" si="105"/>
        <v>1</v>
      </c>
      <c r="AF115" s="2">
        <f t="shared" si="106"/>
        <v>1.13821805769327</v>
      </c>
      <c r="AG115" s="2">
        <f t="shared" si="107"/>
        <v>1.2449531133564</v>
      </c>
      <c r="AH115" s="2">
        <f>MIN(1,_曲线基线!$L$3+AH$9*($H$10*H115+$I$10*I115+$J$10*J115+$K$10*K115+$L$10*L115))</f>
        <v>0.36444608125218</v>
      </c>
      <c r="AI115" s="2">
        <f>_曲线基线!$L$4+AI$9*($H$10*H115+$I$10*I115+$J$10*J115+$K$10*K115+$L$10*L115)</f>
        <v>2.87595694063107</v>
      </c>
      <c r="AJ115" s="2">
        <f t="shared" si="108"/>
        <v>1.71873390000498</v>
      </c>
      <c r="AK115" s="1">
        <f t="shared" si="109"/>
        <v>2.89380675388349</v>
      </c>
      <c r="AL115" s="1">
        <f t="shared" si="110"/>
        <v>817424.933020041</v>
      </c>
      <c r="AM115" s="14">
        <f t="shared" si="111"/>
        <v>37.3986776001942</v>
      </c>
      <c r="AN115" s="14">
        <f>(((E115*模块规划!$D$10+G115*模块规划!$D$11+H115*模块规划!$D$13)*(1+模块规划!$G$14*H115)+(I115*模块规划!$D$15+J115*模块规划!$D$17+K115*模块规划!$D$16+L115*模块规划!$D$18))*(1+模块规划!$J$17*J115))*F115/(1-Q115)</f>
        <v>1331853.05839458</v>
      </c>
      <c r="AO115" s="1">
        <f t="shared" si="112"/>
        <v>30570611.5323769</v>
      </c>
      <c r="AP115" s="1">
        <f>IF(AO115="","",_xlfn.XLOOKUP(AO115,_曲线基线!$E$3:$E$502,_曲线基线!$A$3:$A$502,500,1))</f>
        <v>203</v>
      </c>
      <c r="AQ115" s="15">
        <f t="shared" si="115"/>
        <v>5</v>
      </c>
    </row>
    <row r="116" customHeight="1" spans="1:43">
      <c r="A116" s="1">
        <f>IFERROR(_xlfn.XLOOKUP(B116,_曲线基线!$G$3:$G$107,_曲线基线!$J$3:$J$107,""),"")</f>
        <v>39</v>
      </c>
      <c r="B116" s="1">
        <v>105</v>
      </c>
      <c r="C116" s="1">
        <f t="shared" si="153"/>
        <v>8</v>
      </c>
      <c r="D116" s="1">
        <f t="shared" si="154"/>
        <v>6</v>
      </c>
      <c r="E116" s="1">
        <f t="shared" si="90"/>
        <v>1</v>
      </c>
      <c r="F116" s="11">
        <f t="shared" si="113"/>
        <v>5</v>
      </c>
      <c r="G116" s="12">
        <f t="shared" ref="G116:L116" si="156">IF($B116&lt;G$8,0,G$3+(G$4-G$3)*(POWER(G$5,$B116-G$8)-1)/(POWER(G$5,$C$5-G$8)-1))</f>
        <v>0.723938100331468</v>
      </c>
      <c r="H116" s="12">
        <f t="shared" si="156"/>
        <v>0.591452833595941</v>
      </c>
      <c r="I116" s="12">
        <f t="shared" si="156"/>
        <v>0.370906891281472</v>
      </c>
      <c r="J116" s="12">
        <f t="shared" si="156"/>
        <v>0.471221633916072</v>
      </c>
      <c r="K116" s="12">
        <f t="shared" si="156"/>
        <v>0.0641767039600755</v>
      </c>
      <c r="L116" s="12">
        <f t="shared" si="156"/>
        <v>0.589226840266811</v>
      </c>
      <c r="M116" s="2">
        <f>E116*模块规划!$F$10+G116*模块规划!$F$11+H116*模块规划!$F$13</f>
        <v>4474.90288159105</v>
      </c>
      <c r="N116" s="2">
        <f>I116*模块规划!$F$15+J116*模块规划!$F$17+K116*模块规划!$F$16+L116*模块规划!$F$18</f>
        <v>11010.665894507</v>
      </c>
      <c r="O116" s="2">
        <f t="shared" si="92"/>
        <v>2.58366494213646</v>
      </c>
      <c r="P116" s="13">
        <f t="shared" si="93"/>
        <v>22572.3155891392</v>
      </c>
      <c r="Q116" s="7">
        <f>P116/(P116+_曲线基线!$L$2)</f>
        <v>0.484672391819039</v>
      </c>
      <c r="R116" s="2">
        <f>E116*模块规划!$E$10+G116*模块规划!$E$11+H116*模块规划!$E$13</f>
        <v>6712.35432238657</v>
      </c>
      <c r="S116" s="2">
        <f>I116*模块规划!$E$15+J116*模块规划!$E$17+K116*模块规划!$E$16+L116*模块规划!$E$18</f>
        <v>16515.9988417605</v>
      </c>
      <c r="T116" s="2">
        <f t="shared" si="94"/>
        <v>2.58366494213646</v>
      </c>
      <c r="U116" s="13">
        <f t="shared" si="95"/>
        <v>33858.4733837088</v>
      </c>
      <c r="V116" s="2">
        <f t="shared" si="96"/>
        <v>0.877435850078782</v>
      </c>
      <c r="W116" s="2">
        <f t="shared" si="97"/>
        <v>0.236581133438376</v>
      </c>
      <c r="X116" s="2">
        <f t="shared" si="98"/>
        <v>0.437649529238884</v>
      </c>
      <c r="Y116" s="2">
        <f t="shared" si="99"/>
        <v>1</v>
      </c>
      <c r="Z116" s="2">
        <f t="shared" si="100"/>
        <v>1</v>
      </c>
      <c r="AA116" s="2">
        <f t="shared" si="101"/>
        <v>1</v>
      </c>
      <c r="AB116" s="2">
        <f t="shared" si="102"/>
        <v>1</v>
      </c>
      <c r="AC116" s="2">
        <f t="shared" si="103"/>
        <v>1</v>
      </c>
      <c r="AD116" s="1">
        <f t="shared" si="104"/>
        <v>1.6931436700231</v>
      </c>
      <c r="AE116" s="2">
        <f t="shared" si="105"/>
        <v>1</v>
      </c>
      <c r="AF116" s="2">
        <f t="shared" si="106"/>
        <v>1.13977285724119</v>
      </c>
      <c r="AG116" s="2">
        <f t="shared" si="107"/>
        <v>1.24770856366634</v>
      </c>
      <c r="AH116" s="2">
        <f>MIN(1,_曲线基线!$L$3+AH$9*($H$10*H116+$I$10*I116+$J$10*J116+$K$10*K116+$L$10*L116))</f>
        <v>0.367983250223715</v>
      </c>
      <c r="AI116" s="2">
        <f>_曲线基线!$L$4+AI$9*($H$10*H116+$I$10*I116+$J$10*J116+$K$10*K116+$L$10*L116)</f>
        <v>2.88581048276606</v>
      </c>
      <c r="AJ116" s="2">
        <f t="shared" si="108"/>
        <v>1.72681885765421</v>
      </c>
      <c r="AK116" s="1">
        <f t="shared" si="109"/>
        <v>2.92513905491893</v>
      </c>
      <c r="AL116" s="1">
        <f t="shared" si="110"/>
        <v>838451.034024111</v>
      </c>
      <c r="AM116" s="14">
        <f t="shared" si="111"/>
        <v>37.4360890161181</v>
      </c>
      <c r="AN116" s="14">
        <f>(((E116*模块规划!$D$10+G116*模块规划!$D$11+H116*模块规划!$D$13)*(1+模块规划!$G$14*H116)+(I116*模块规划!$D$15+J116*模块规划!$D$17+K116*模块规划!$D$16+L116*模块规划!$D$18))*(1+模块规划!$J$17*J116))*F116/(1-Q116)</f>
        <v>1356957.63097548</v>
      </c>
      <c r="AO116" s="1">
        <f t="shared" si="112"/>
        <v>31388327.5453829</v>
      </c>
      <c r="AP116" s="1">
        <f>IF(AO116="","",_xlfn.XLOOKUP(AO116,_曲线基线!$E$3:$E$502,_曲线基线!$A$3:$A$502,500,1))</f>
        <v>205</v>
      </c>
      <c r="AQ116" s="15">
        <f t="shared" si="115"/>
        <v>5</v>
      </c>
    </row>
    <row r="117" customHeight="1" spans="1:43">
      <c r="A117" s="1" t="str">
        <f>IFERROR(_xlfn.XLOOKUP(B117,_曲线基线!$G$3:$G$107,_曲线基线!$J$3:$J$107,""),"")</f>
        <v/>
      </c>
      <c r="B117" s="1">
        <v>106</v>
      </c>
      <c r="C117" s="1">
        <f t="shared" si="153"/>
        <v>8</v>
      </c>
      <c r="D117" s="1">
        <f t="shared" si="154"/>
        <v>7</v>
      </c>
      <c r="E117" s="1">
        <f t="shared" si="90"/>
        <v>1</v>
      </c>
      <c r="F117" s="11">
        <f t="shared" si="113"/>
        <v>5</v>
      </c>
      <c r="G117" s="12">
        <f t="shared" ref="G117:L117" si="157">IF($B117&lt;G$8,0,G$3+(G$4-G$3)*(POWER(G$5,$B117-G$8)-1)/(POWER(G$5,$C$5-G$8)-1))</f>
        <v>0.726784219280992</v>
      </c>
      <c r="H117" s="12">
        <f t="shared" si="157"/>
        <v>0.593690319163534</v>
      </c>
      <c r="I117" s="12">
        <f t="shared" si="157"/>
        <v>0.376659844798911</v>
      </c>
      <c r="J117" s="12">
        <f t="shared" si="157"/>
        <v>0.473876145729475</v>
      </c>
      <c r="K117" s="12">
        <f t="shared" si="157"/>
        <v>0.0762522948158476</v>
      </c>
      <c r="L117" s="12">
        <f t="shared" si="157"/>
        <v>0.591510210292861</v>
      </c>
      <c r="M117" s="2">
        <f>E117*模块规划!$F$10+G117*模块规划!$F$11+H117*模块规划!$F$13</f>
        <v>4488.56425254876</v>
      </c>
      <c r="N117" s="2">
        <f>I117*模块规划!$F$15+J117*模块规划!$F$17+K117*模块规划!$F$16+L117*模块规划!$F$18</f>
        <v>11167.1050360454</v>
      </c>
      <c r="O117" s="2">
        <f t="shared" si="92"/>
        <v>2.60092892280486</v>
      </c>
      <c r="P117" s="13">
        <f t="shared" si="93"/>
        <v>22841.5416223675</v>
      </c>
      <c r="Q117" s="7">
        <f>P117/(P117+_曲线基线!$L$2)</f>
        <v>0.487634284253794</v>
      </c>
      <c r="R117" s="2">
        <f>E117*模块规划!$E$10+G117*模块规划!$E$11+H117*模块规划!$E$13</f>
        <v>6732.84637882314</v>
      </c>
      <c r="S117" s="2">
        <f>I117*模块规划!$E$15+J117*模块规划!$E$17+K117*模块规划!$E$16+L117*模块规划!$E$18</f>
        <v>16750.6575540681</v>
      </c>
      <c r="T117" s="2">
        <f t="shared" si="94"/>
        <v>2.60092892280486</v>
      </c>
      <c r="U117" s="13">
        <f t="shared" si="95"/>
        <v>34262.3124335512</v>
      </c>
      <c r="V117" s="2">
        <f t="shared" si="96"/>
        <v>0.87810709574906</v>
      </c>
      <c r="W117" s="2">
        <f t="shared" si="97"/>
        <v>0.237476127665414</v>
      </c>
      <c r="X117" s="2">
        <f t="shared" si="98"/>
        <v>0.438264837769972</v>
      </c>
      <c r="Y117" s="2">
        <f t="shared" si="99"/>
        <v>1</v>
      </c>
      <c r="Z117" s="2">
        <f t="shared" si="100"/>
        <v>1</v>
      </c>
      <c r="AA117" s="2">
        <f t="shared" si="101"/>
        <v>1</v>
      </c>
      <c r="AB117" s="2">
        <f t="shared" si="102"/>
        <v>1</v>
      </c>
      <c r="AC117" s="2">
        <f t="shared" si="103"/>
        <v>1</v>
      </c>
      <c r="AD117" s="1">
        <f t="shared" si="104"/>
        <v>1.6971480394081</v>
      </c>
      <c r="AE117" s="2">
        <f t="shared" si="105"/>
        <v>1</v>
      </c>
      <c r="AF117" s="2">
        <f t="shared" si="106"/>
        <v>1.14129656079816</v>
      </c>
      <c r="AG117" s="2">
        <f t="shared" si="107"/>
        <v>1.25040890497008</v>
      </c>
      <c r="AH117" s="2">
        <f>MIN(1,_曲线基线!$L$3+AH$9*($H$10*H117+$I$10*I117+$J$10*J117+$K$10*K117+$L$10*L117))</f>
        <v>0.371449675815819</v>
      </c>
      <c r="AI117" s="2">
        <f>_曲线基线!$L$4+AI$9*($H$10*H117+$I$10*I117+$J$10*J117+$K$10*K117+$L$10*L117)</f>
        <v>2.89546695405835</v>
      </c>
      <c r="AJ117" s="2">
        <f t="shared" si="108"/>
        <v>1.73474211615044</v>
      </c>
      <c r="AK117" s="1">
        <f t="shared" si="109"/>
        <v>2.9561230137414</v>
      </c>
      <c r="AL117" s="1">
        <f t="shared" si="110"/>
        <v>859466.403129215</v>
      </c>
      <c r="AM117" s="14">
        <f t="shared" si="111"/>
        <v>37.4738745462011</v>
      </c>
      <c r="AN117" s="14">
        <f>(((E117*模块规划!$D$10+G117*模块规划!$D$11+H117*模块规划!$D$13)*(1+模块规划!$G$14*H117)+(I117*模块规划!$D$15+J117*模块规划!$D$17+K117*模块规划!$D$16+L117*模块规划!$D$18))*(1+模块规划!$J$17*J117))*F117/(1-Q117)</f>
        <v>1381846.91385462</v>
      </c>
      <c r="AO117" s="1">
        <f t="shared" si="112"/>
        <v>32207536.1675389</v>
      </c>
      <c r="AP117" s="1">
        <f>IF(AO117="","",_xlfn.XLOOKUP(AO117,_曲线基线!$E$3:$E$502,_曲线基线!$A$3:$A$502,500,1))</f>
        <v>206</v>
      </c>
      <c r="AQ117" s="15">
        <f t="shared" si="115"/>
        <v>5</v>
      </c>
    </row>
    <row r="118" customHeight="1" spans="1:43">
      <c r="A118" s="1" t="str">
        <f>IFERROR(_xlfn.XLOOKUP(B118,_曲线基线!$G$3:$G$107,_曲线基线!$J$3:$J$107,""),"")</f>
        <v/>
      </c>
      <c r="B118" s="1">
        <v>107</v>
      </c>
      <c r="C118" s="1">
        <f t="shared" si="153"/>
        <v>8</v>
      </c>
      <c r="D118" s="1">
        <f t="shared" si="154"/>
        <v>8</v>
      </c>
      <c r="E118" s="1">
        <f t="shared" si="90"/>
        <v>1</v>
      </c>
      <c r="F118" s="11">
        <f t="shared" si="113"/>
        <v>5</v>
      </c>
      <c r="G118" s="12">
        <f t="shared" ref="G118:L118" si="158">IF($B118&lt;G$8,0,G$3+(G$4-G$3)*(POWER(G$5,$B118-G$8)-1)/(POWER(G$5,$C$5-G$8)-1))</f>
        <v>0.729587646446273</v>
      </c>
      <c r="H118" s="12">
        <f t="shared" si="158"/>
        <v>0.595883055019774</v>
      </c>
      <c r="I118" s="12">
        <f t="shared" si="158"/>
        <v>0.382297739246</v>
      </c>
      <c r="J118" s="12">
        <f t="shared" si="158"/>
        <v>0.476477567306609</v>
      </c>
      <c r="K118" s="12">
        <f t="shared" si="158"/>
        <v>0.0880863738545041</v>
      </c>
      <c r="L118" s="12">
        <f t="shared" si="158"/>
        <v>0.593747912918389</v>
      </c>
      <c r="M118" s="2">
        <f>E118*模块规划!$F$10+G118*模块规划!$F$11+H118*模块规划!$F$13</f>
        <v>4502.02070294211</v>
      </c>
      <c r="N118" s="2">
        <f>I118*模块规划!$F$15+J118*模块规划!$F$17+K118*模块规划!$F$16+L118*模块规划!$F$18</f>
        <v>11320.4153947531</v>
      </c>
      <c r="O118" s="2">
        <f t="shared" si="92"/>
        <v>2.6178476238599</v>
      </c>
      <c r="P118" s="13">
        <f t="shared" si="93"/>
        <v>23106.0195945181</v>
      </c>
      <c r="Q118" s="7">
        <f>P118/(P118+_曲线基线!$L$2)</f>
        <v>0.490510974890501</v>
      </c>
      <c r="R118" s="2">
        <f>E118*模块规划!$E$10+G118*模块规划!$E$11+H118*模块规划!$E$13</f>
        <v>6753.03105441317</v>
      </c>
      <c r="S118" s="2">
        <f>I118*模块规划!$E$15+J118*模块规划!$E$17+K118*模块规划!$E$16+L118*模块规划!$E$18</f>
        <v>16980.6230921296</v>
      </c>
      <c r="T118" s="2">
        <f t="shared" si="94"/>
        <v>2.6178476238599</v>
      </c>
      <c r="U118" s="13">
        <f t="shared" si="95"/>
        <v>34659.0293917772</v>
      </c>
      <c r="V118" s="2">
        <f t="shared" si="96"/>
        <v>0.878764916505932</v>
      </c>
      <c r="W118" s="2">
        <f t="shared" si="97"/>
        <v>0.23835322200791</v>
      </c>
      <c r="X118" s="2">
        <f t="shared" si="98"/>
        <v>0.438867840130438</v>
      </c>
      <c r="Y118" s="2">
        <f t="shared" si="99"/>
        <v>1</v>
      </c>
      <c r="Z118" s="2">
        <f t="shared" si="100"/>
        <v>1</v>
      </c>
      <c r="AA118" s="2">
        <f t="shared" si="101"/>
        <v>1</v>
      </c>
      <c r="AB118" s="2">
        <f t="shared" si="102"/>
        <v>1</v>
      </c>
      <c r="AC118" s="2">
        <f t="shared" si="103"/>
        <v>1</v>
      </c>
      <c r="AD118" s="1">
        <f t="shared" si="104"/>
        <v>1.70107819159842</v>
      </c>
      <c r="AE118" s="2">
        <f t="shared" si="105"/>
        <v>1</v>
      </c>
      <c r="AF118" s="2">
        <f t="shared" si="106"/>
        <v>1.14278979028399</v>
      </c>
      <c r="AG118" s="2">
        <f t="shared" si="107"/>
        <v>1.25305523944774</v>
      </c>
      <c r="AH118" s="2">
        <f>MIN(1,_曲线基线!$L$3+AH$9*($H$10*H118+$I$10*I118+$J$10*J118+$K$10*K118+$L$10*L118))</f>
        <v>0.374846772896081</v>
      </c>
      <c r="AI118" s="2">
        <f>_曲线基线!$L$4+AI$9*($H$10*H118+$I$10*I118+$J$10*J118+$K$10*K118+$L$10*L118)</f>
        <v>2.9049302959248</v>
      </c>
      <c r="AJ118" s="2">
        <f t="shared" si="108"/>
        <v>1.74250690947676</v>
      </c>
      <c r="AK118" s="1">
        <f t="shared" si="109"/>
        <v>2.9867561204656</v>
      </c>
      <c r="AL118" s="1">
        <f t="shared" si="110"/>
        <v>880461.640961848</v>
      </c>
      <c r="AM118" s="14">
        <f t="shared" si="111"/>
        <v>37.512037931585</v>
      </c>
      <c r="AN118" s="14">
        <f>(((E118*模块规划!$D$10+G118*模块规划!$D$11+H118*模块规划!$D$13)*(1+模块规划!$G$14*H118)+(I118*模块规划!$D$15+J118*模块规划!$D$17+K118*模块规划!$D$16+L118*模块规划!$D$18))*(1+模块规划!$J$17*J118))*F118/(1-Q118)</f>
        <v>1406516.25767587</v>
      </c>
      <c r="AO118" s="1">
        <f t="shared" si="112"/>
        <v>33027910.4730664</v>
      </c>
      <c r="AP118" s="1">
        <f>IF(AO118="","",_xlfn.XLOOKUP(AO118,_曲线基线!$E$3:$E$502,_曲线基线!$A$3:$A$502,500,1))</f>
        <v>208</v>
      </c>
      <c r="AQ118" s="15">
        <f t="shared" si="115"/>
        <v>5</v>
      </c>
    </row>
    <row r="119" customHeight="1" spans="1:43">
      <c r="A119" s="1" t="str">
        <f>IFERROR(_xlfn.XLOOKUP(B119,_曲线基线!$G$3:$G$107,_曲线基线!$J$3:$J$107,""),"")</f>
        <v/>
      </c>
      <c r="B119" s="1">
        <v>108</v>
      </c>
      <c r="C119" s="1">
        <f t="shared" si="153"/>
        <v>8</v>
      </c>
      <c r="D119" s="1">
        <f t="shared" si="154"/>
        <v>9</v>
      </c>
      <c r="E119" s="1">
        <f t="shared" si="90"/>
        <v>1</v>
      </c>
      <c r="F119" s="11">
        <f t="shared" si="113"/>
        <v>5</v>
      </c>
      <c r="G119" s="12">
        <f t="shared" ref="G119:L119" si="159">IF($B119&lt;G$8,0,G$3+(G$4-G$3)*(POWER(G$5,$B119-G$8)-1)/(POWER(G$5,$C$5-G$8)-1))</f>
        <v>0.732349022204075</v>
      </c>
      <c r="H119" s="12">
        <f t="shared" si="159"/>
        <v>0.59803193615889</v>
      </c>
      <c r="I119" s="12">
        <f t="shared" si="159"/>
        <v>0.387822875804149</v>
      </c>
      <c r="J119" s="12">
        <f t="shared" si="159"/>
        <v>0.479026960452201</v>
      </c>
      <c r="K119" s="12">
        <f t="shared" si="159"/>
        <v>0.0996837713123876</v>
      </c>
      <c r="L119" s="12">
        <f t="shared" si="159"/>
        <v>0.595940861491407</v>
      </c>
      <c r="M119" s="2">
        <f>E119*模块规划!$F$10+G119*模块规划!$F$11+H119*模块规划!$F$13</f>
        <v>4515.27530657956</v>
      </c>
      <c r="N119" s="2">
        <f>I119*模块规划!$F$15+J119*模块规划!$F$17+K119*模块规划!$F$16+L119*模块规划!$F$18</f>
        <v>11470.6595462866</v>
      </c>
      <c r="O119" s="2">
        <f t="shared" si="92"/>
        <v>2.63442795089384</v>
      </c>
      <c r="P119" s="13">
        <f t="shared" si="93"/>
        <v>23365.8270199205</v>
      </c>
      <c r="Q119" s="7">
        <f>P119/(P119+_曲线基线!$L$2)</f>
        <v>0.493305585271289</v>
      </c>
      <c r="R119" s="2">
        <f>E119*模块规划!$E$10+G119*模块规划!$E$11+H119*模块规划!$E$13</f>
        <v>6772.91295986934</v>
      </c>
      <c r="S119" s="2">
        <f>I119*模块规划!$E$15+J119*模块规划!$E$17+K119*模块规划!$E$16+L119*模块规划!$E$18</f>
        <v>17205.9893194298</v>
      </c>
      <c r="T119" s="2">
        <f t="shared" si="94"/>
        <v>2.63442795089384</v>
      </c>
      <c r="U119" s="13">
        <f t="shared" si="95"/>
        <v>35048.7405298808</v>
      </c>
      <c r="V119" s="2">
        <f t="shared" si="96"/>
        <v>0.879409580847667</v>
      </c>
      <c r="W119" s="2">
        <f t="shared" si="97"/>
        <v>0.239212774463556</v>
      </c>
      <c r="X119" s="2">
        <f t="shared" si="98"/>
        <v>0.439458782443695</v>
      </c>
      <c r="Y119" s="2">
        <f t="shared" si="99"/>
        <v>1</v>
      </c>
      <c r="Z119" s="2">
        <f t="shared" si="100"/>
        <v>1</v>
      </c>
      <c r="AA119" s="2">
        <f t="shared" si="101"/>
        <v>1</v>
      </c>
      <c r="AB119" s="2">
        <f t="shared" si="102"/>
        <v>1</v>
      </c>
      <c r="AC119" s="2">
        <f t="shared" si="103"/>
        <v>1</v>
      </c>
      <c r="AD119" s="1">
        <f t="shared" si="104"/>
        <v>1.70493537847832</v>
      </c>
      <c r="AE119" s="2">
        <f t="shared" si="105"/>
        <v>1</v>
      </c>
      <c r="AF119" s="2">
        <f t="shared" si="106"/>
        <v>1.1442531551801</v>
      </c>
      <c r="AG119" s="2">
        <f t="shared" si="107"/>
        <v>1.25564864723585</v>
      </c>
      <c r="AH119" s="2">
        <f>MIN(1,_曲线基线!$L$3+AH$9*($H$10*H119+$I$10*I119+$J$10*J119+$K$10*K119+$L$10*L119))</f>
        <v>0.378175928034737</v>
      </c>
      <c r="AI119" s="2">
        <f>_曲线基线!$L$4+AI$9*($H$10*H119+$I$10*I119+$J$10*J119+$K$10*K119+$L$10*L119)</f>
        <v>2.91420437095391</v>
      </c>
      <c r="AJ119" s="2">
        <f t="shared" si="108"/>
        <v>1.75011640693654</v>
      </c>
      <c r="AK119" s="1">
        <f t="shared" si="109"/>
        <v>3.01703619987691</v>
      </c>
      <c r="AL119" s="1">
        <f t="shared" si="110"/>
        <v>901427.6274819</v>
      </c>
      <c r="AM119" s="14">
        <f t="shared" si="111"/>
        <v>37.5505829508227</v>
      </c>
      <c r="AN119" s="14">
        <f>(((E119*模块规划!$D$10+G119*模块规划!$D$11+H119*模块规划!$D$13)*(1+模块规划!$G$14*H119)+(I119*模块规划!$D$15+J119*模块规划!$D$17+K119*模块规划!$D$16+L119*模块规划!$D$18))*(1+模块规划!$J$17*J119))*F119/(1-Q119)</f>
        <v>1430961.36302879</v>
      </c>
      <c r="AO119" s="1">
        <f t="shared" si="112"/>
        <v>33849132.8999224</v>
      </c>
      <c r="AP119" s="1">
        <f>IF(AO119="","",_xlfn.XLOOKUP(AO119,_曲线基线!$E$3:$E$502,_曲线基线!$A$3:$A$502,500,1))</f>
        <v>210</v>
      </c>
      <c r="AQ119" s="15">
        <f t="shared" si="115"/>
        <v>5</v>
      </c>
    </row>
    <row r="120" customHeight="1" spans="1:43">
      <c r="A120" s="1" t="str">
        <f>IFERROR(_xlfn.XLOOKUP(B120,_曲线基线!$G$3:$G$107,_曲线基线!$J$3:$J$107,""),"")</f>
        <v/>
      </c>
      <c r="B120" s="1">
        <v>109</v>
      </c>
      <c r="C120" s="1">
        <f t="shared" si="153"/>
        <v>8</v>
      </c>
      <c r="D120" s="1">
        <f t="shared" si="154"/>
        <v>10</v>
      </c>
      <c r="E120" s="1">
        <f t="shared" si="90"/>
        <v>1</v>
      </c>
      <c r="F120" s="11">
        <f t="shared" si="113"/>
        <v>5</v>
      </c>
      <c r="G120" s="12">
        <f t="shared" ref="G120:L120" si="160">IF($B120&lt;G$8,0,G$3+(G$4-G$3)*(POWER(G$5,$B120-G$8)-1)/(POWER(G$5,$C$5-G$8)-1))</f>
        <v>0.735068977325509</v>
      </c>
      <c r="H120" s="12">
        <f t="shared" si="160"/>
        <v>0.600137839675224</v>
      </c>
      <c r="I120" s="12">
        <f t="shared" si="160"/>
        <v>0.393237509631134</v>
      </c>
      <c r="J120" s="12">
        <f t="shared" si="160"/>
        <v>0.481525365734881</v>
      </c>
      <c r="K120" s="12">
        <f t="shared" si="160"/>
        <v>0.111049220821113</v>
      </c>
      <c r="L120" s="12">
        <f t="shared" si="160"/>
        <v>0.598089951092965</v>
      </c>
      <c r="M120" s="2">
        <f>E120*模块规划!$F$10+G120*模块规划!$F$11+H120*模块规划!$F$13</f>
        <v>4528.33109116244</v>
      </c>
      <c r="N120" s="2">
        <f>I120*模块规划!$F$15+J120*模块规划!$F$17+K120*模块规划!$F$16+L120*模块规划!$F$18</f>
        <v>11617.8988147894</v>
      </c>
      <c r="O120" s="2">
        <f t="shared" si="92"/>
        <v>2.6506766713871</v>
      </c>
      <c r="P120" s="13">
        <f t="shared" si="93"/>
        <v>23621.0403984506</v>
      </c>
      <c r="Q120" s="7">
        <f>P120/(P120+_曲线基线!$L$2)</f>
        <v>0.49602109069459</v>
      </c>
      <c r="R120" s="2">
        <f>E120*模块规划!$E$10+G120*模块规划!$E$11+H120*模块规划!$E$13</f>
        <v>6792.49663674367</v>
      </c>
      <c r="S120" s="2">
        <f>I120*模块规划!$E$15+J120*模块规划!$E$17+K120*模块规划!$E$16+L120*模块规划!$E$18</f>
        <v>17426.8482221841</v>
      </c>
      <c r="T120" s="2">
        <f t="shared" si="94"/>
        <v>2.6506766713871</v>
      </c>
      <c r="U120" s="13">
        <f t="shared" si="95"/>
        <v>35431.5605976759</v>
      </c>
      <c r="V120" s="2">
        <f t="shared" si="96"/>
        <v>0.880041351902567</v>
      </c>
      <c r="W120" s="2">
        <f t="shared" si="97"/>
        <v>0.24005513587009</v>
      </c>
      <c r="X120" s="2">
        <f t="shared" si="98"/>
        <v>0.440037905910687</v>
      </c>
      <c r="Y120" s="2">
        <f t="shared" si="99"/>
        <v>1</v>
      </c>
      <c r="Z120" s="2">
        <f t="shared" si="100"/>
        <v>1</v>
      </c>
      <c r="AA120" s="2">
        <f t="shared" si="101"/>
        <v>1</v>
      </c>
      <c r="AB120" s="2">
        <f t="shared" si="102"/>
        <v>1</v>
      </c>
      <c r="AC120" s="2">
        <f t="shared" si="103"/>
        <v>1</v>
      </c>
      <c r="AD120" s="1">
        <f t="shared" si="104"/>
        <v>1.70872083609975</v>
      </c>
      <c r="AE120" s="2">
        <f t="shared" si="105"/>
        <v>1</v>
      </c>
      <c r="AF120" s="2">
        <f t="shared" si="106"/>
        <v>1.14568725277829</v>
      </c>
      <c r="AG120" s="2">
        <f t="shared" si="107"/>
        <v>1.2581901868682</v>
      </c>
      <c r="AH120" s="2">
        <f>MIN(1,_曲线基线!$L$3+AH$9*($H$10*H120+$I$10*I120+$J$10*J120+$K$10*K120+$L$10*L120))</f>
        <v>0.381438500070621</v>
      </c>
      <c r="AI120" s="2">
        <f>_曲线基线!$L$4+AI$9*($H$10*H120+$I$10*I120+$J$10*J120+$K$10*K120+$L$10*L120)</f>
        <v>2.92329296448244</v>
      </c>
      <c r="AJ120" s="2">
        <f t="shared" si="108"/>
        <v>1.75757371444713</v>
      </c>
      <c r="AK120" s="1">
        <f t="shared" si="109"/>
        <v>3.04696139881294</v>
      </c>
      <c r="AL120" s="1">
        <f t="shared" si="110"/>
        <v>922355.52441617</v>
      </c>
      <c r="AM120" s="14">
        <f t="shared" si="111"/>
        <v>37.5895134202528</v>
      </c>
      <c r="AN120" s="14">
        <f>(((E120*模块规划!$D$10+G120*模块规划!$D$11+H120*模块规划!$D$13)*(1+模块规划!$G$14*H120)+(I120*模块规划!$D$15+J120*模块规划!$D$17+K120*模块规划!$D$16+L120*模块规划!$D$18))*(1+模块规划!$J$17*J120))*F120/(1-Q120)</f>
        <v>1455178.26784897</v>
      </c>
      <c r="AO120" s="1">
        <f t="shared" si="112"/>
        <v>34670895.3632859</v>
      </c>
      <c r="AP120" s="1">
        <f>IF(AO120="","",_xlfn.XLOOKUP(AO120,_曲线基线!$E$3:$E$502,_曲线基线!$A$3:$A$502,500,1))</f>
        <v>211</v>
      </c>
      <c r="AQ120" s="15">
        <f t="shared" si="115"/>
        <v>5</v>
      </c>
    </row>
    <row r="121" customHeight="1" spans="1:43">
      <c r="A121" s="1" t="str">
        <f>IFERROR(_xlfn.XLOOKUP(B121,_曲线基线!$G$3:$G$107,_曲线基线!$J$3:$J$107,""),"")</f>
        <v/>
      </c>
      <c r="B121" s="1">
        <v>110</v>
      </c>
      <c r="C121" s="1">
        <f t="shared" si="153"/>
        <v>8</v>
      </c>
      <c r="D121" s="1">
        <f t="shared" si="154"/>
        <v>11</v>
      </c>
      <c r="E121" s="1">
        <f t="shared" si="90"/>
        <v>1</v>
      </c>
      <c r="F121" s="11">
        <f t="shared" si="113"/>
        <v>5</v>
      </c>
      <c r="G121" s="12">
        <f t="shared" ref="G121:L121" si="161">IF($B121&lt;G$8,0,G$3+(G$4-G$3)*(POWER(G$5,$B121-G$8)-1)/(POWER(G$5,$C$5-G$8)-1))</f>
        <v>0.737748133120123</v>
      </c>
      <c r="H121" s="12">
        <f t="shared" si="161"/>
        <v>0.602201625121231</v>
      </c>
      <c r="I121" s="12">
        <f t="shared" si="161"/>
        <v>0.398543850781579</v>
      </c>
      <c r="J121" s="12">
        <f t="shared" si="161"/>
        <v>0.483973802911907</v>
      </c>
      <c r="K121" s="12">
        <f t="shared" si="161"/>
        <v>0.122187361339665</v>
      </c>
      <c r="L121" s="12">
        <f t="shared" si="161"/>
        <v>0.600196058902491</v>
      </c>
      <c r="M121" s="2">
        <f>E121*模块规划!$F$10+G121*模块规划!$F$11+H121*模块规划!$F$13</f>
        <v>4541.19103897659</v>
      </c>
      <c r="N121" s="2">
        <f>I121*模块规划!$F$15+J121*模块规划!$F$17+K121*模块规划!$F$16+L121*模块规划!$F$18</f>
        <v>11762.1932979221</v>
      </c>
      <c r="O121" s="2">
        <f t="shared" si="92"/>
        <v>2.6666004174705</v>
      </c>
      <c r="P121" s="13">
        <f t="shared" si="93"/>
        <v>23871.7352182704</v>
      </c>
      <c r="Q121" s="7">
        <f>P121/(P121+_曲线基线!$L$2)</f>
        <v>0.498660328676778</v>
      </c>
      <c r="R121" s="2">
        <f>E121*模块规划!$E$10+G121*模块规划!$E$11+H121*模块规划!$E$13</f>
        <v>6811.78655846488</v>
      </c>
      <c r="S121" s="2">
        <f>I121*模块规划!$E$15+J121*模块规划!$E$17+K121*模块规划!$E$16+L121*模块规划!$E$18</f>
        <v>17643.2899468832</v>
      </c>
      <c r="T121" s="2">
        <f t="shared" si="94"/>
        <v>2.6666004174705</v>
      </c>
      <c r="U121" s="13">
        <f t="shared" si="95"/>
        <v>35807.6028274056</v>
      </c>
      <c r="V121" s="2">
        <f t="shared" si="96"/>
        <v>0.880660487536369</v>
      </c>
      <c r="W121" s="2">
        <f t="shared" si="97"/>
        <v>0.240880650048492</v>
      </c>
      <c r="X121" s="2">
        <f t="shared" si="98"/>
        <v>0.440605446908338</v>
      </c>
      <c r="Y121" s="2">
        <f t="shared" si="99"/>
        <v>1</v>
      </c>
      <c r="Z121" s="2">
        <f t="shared" si="100"/>
        <v>1</v>
      </c>
      <c r="AA121" s="2">
        <f t="shared" si="101"/>
        <v>1</v>
      </c>
      <c r="AB121" s="2">
        <f t="shared" si="102"/>
        <v>1</v>
      </c>
      <c r="AC121" s="2">
        <f t="shared" si="103"/>
        <v>1</v>
      </c>
      <c r="AD121" s="1">
        <f t="shared" si="104"/>
        <v>1.71243578463451</v>
      </c>
      <c r="AE121" s="2">
        <f t="shared" si="105"/>
        <v>1</v>
      </c>
      <c r="AF121" s="2">
        <f t="shared" si="106"/>
        <v>1.14709266842452</v>
      </c>
      <c r="AG121" s="2">
        <f t="shared" si="107"/>
        <v>1.2606808957079</v>
      </c>
      <c r="AH121" s="2">
        <f>MIN(1,_曲线基线!$L$3+AH$9*($H$10*H121+$I$10*I121+$J$10*J121+$K$10*K121+$L$10*L121))</f>
        <v>0.384635820665786</v>
      </c>
      <c r="AI121" s="2">
        <f>_曲线基线!$L$4+AI$9*($H$10*H121+$I$10*I121+$J$10*J121+$K$10*K121+$L$10*L121)</f>
        <v>2.9321997861404</v>
      </c>
      <c r="AJ121" s="2">
        <f t="shared" si="108"/>
        <v>1.76488187580751</v>
      </c>
      <c r="AK121" s="1">
        <f t="shared" si="109"/>
        <v>3.07653017371808</v>
      </c>
      <c r="AL121" s="1">
        <f t="shared" si="110"/>
        <v>943236.77696761</v>
      </c>
      <c r="AM121" s="14">
        <f t="shared" si="111"/>
        <v>37.6288331943772</v>
      </c>
      <c r="AN121" s="14">
        <f>(((E121*模块规划!$D$10+G121*模块规划!$D$11+H121*模块规划!$D$13)*(1+模块规划!$G$14*H121)+(I121*模块规划!$D$15+J121*模块规划!$D$17+K121*模块规划!$D$16+L121*模块规划!$D$18))*(1+模块规划!$J$17*J121))*F121/(1-Q121)</f>
        <v>1479163.33506714</v>
      </c>
      <c r="AO121" s="1">
        <f t="shared" si="112"/>
        <v>35492899.3433162</v>
      </c>
      <c r="AP121" s="1">
        <f>IF(AO121="","",_xlfn.XLOOKUP(AO121,_曲线基线!$E$3:$E$502,_曲线基线!$A$3:$A$502,500,1))</f>
        <v>213</v>
      </c>
      <c r="AQ121" s="15">
        <f t="shared" si="115"/>
        <v>5</v>
      </c>
    </row>
    <row r="122" customHeight="1" spans="1:43">
      <c r="A122" s="1" t="str">
        <f>IFERROR(_xlfn.XLOOKUP(B122,_曲线基线!$G$3:$G$107,_曲线基线!$J$3:$J$107,""),"")</f>
        <v/>
      </c>
      <c r="B122" s="1">
        <v>111</v>
      </c>
      <c r="C122" s="1">
        <f t="shared" si="153"/>
        <v>8</v>
      </c>
      <c r="D122" s="1">
        <f t="shared" si="154"/>
        <v>12</v>
      </c>
      <c r="E122" s="1">
        <f t="shared" si="90"/>
        <v>1</v>
      </c>
      <c r="F122" s="11">
        <f t="shared" si="113"/>
        <v>5</v>
      </c>
      <c r="G122" s="12">
        <f t="shared" ref="G122:L122" si="162">IF($B122&lt;G$8,0,G$3+(G$4-G$3)*(POWER(G$5,$B122-G$8)-1)/(POWER(G$5,$C$5-G$8)-1))</f>
        <v>0.740387101577817</v>
      </c>
      <c r="H122" s="12">
        <f t="shared" si="162"/>
        <v>0.604224134858317</v>
      </c>
      <c r="I122" s="12">
        <f t="shared" si="162"/>
        <v>0.403744065109016</v>
      </c>
      <c r="J122" s="12">
        <f t="shared" si="162"/>
        <v>0.486373271345393</v>
      </c>
      <c r="K122" s="12">
        <f t="shared" si="162"/>
        <v>0.133102739047845</v>
      </c>
      <c r="L122" s="12">
        <f t="shared" si="162"/>
        <v>0.602260044555827</v>
      </c>
      <c r="M122" s="2">
        <f>E122*模块规划!$F$10+G122*模块规划!$F$11+H122*模块规划!$F$13</f>
        <v>4553.85808757352</v>
      </c>
      <c r="N122" s="2">
        <f>I122*模块规划!$F$15+J122*模块规划!$F$17+K122*模块规划!$F$16+L122*模块规划!$F$18</f>
        <v>11903.6018913923</v>
      </c>
      <c r="O122" s="2">
        <f t="shared" si="92"/>
        <v>2.68220568863222</v>
      </c>
      <c r="P122" s="13">
        <f t="shared" si="93"/>
        <v>24117.9859591058</v>
      </c>
      <c r="Q122" s="7">
        <f>P122/(P122+_曲线基线!$L$2)</f>
        <v>0.501226006832519</v>
      </c>
      <c r="R122" s="2">
        <f>E122*模块规划!$E$10+G122*模块规划!$E$11+H122*模块规划!$E$13</f>
        <v>6830.78713136028</v>
      </c>
      <c r="S122" s="2">
        <f>I122*模块规划!$E$15+J122*模块规划!$E$17+K122*模块规划!$E$16+L122*模块规划!$E$18</f>
        <v>17855.4028370884</v>
      </c>
      <c r="T122" s="2">
        <f t="shared" si="94"/>
        <v>2.68220568863222</v>
      </c>
      <c r="U122" s="13">
        <f t="shared" si="95"/>
        <v>36176.9789386587</v>
      </c>
      <c r="V122" s="2">
        <f t="shared" si="96"/>
        <v>0.881267240457495</v>
      </c>
      <c r="W122" s="2">
        <f t="shared" si="97"/>
        <v>0.241689653943327</v>
      </c>
      <c r="X122" s="2">
        <f t="shared" si="98"/>
        <v>0.441161637086037</v>
      </c>
      <c r="Y122" s="2">
        <f t="shared" si="99"/>
        <v>1</v>
      </c>
      <c r="Z122" s="2">
        <f t="shared" si="100"/>
        <v>1</v>
      </c>
      <c r="AA122" s="2">
        <f t="shared" si="101"/>
        <v>1</v>
      </c>
      <c r="AB122" s="2">
        <f t="shared" si="102"/>
        <v>1</v>
      </c>
      <c r="AC122" s="2">
        <f t="shared" si="103"/>
        <v>1</v>
      </c>
      <c r="AD122" s="1">
        <f t="shared" si="104"/>
        <v>1.71608142834174</v>
      </c>
      <c r="AE122" s="2">
        <f t="shared" si="105"/>
        <v>1</v>
      </c>
      <c r="AF122" s="2">
        <f t="shared" si="106"/>
        <v>1.14846997575782</v>
      </c>
      <c r="AG122" s="2">
        <f t="shared" si="107"/>
        <v>1.26312179037081</v>
      </c>
      <c r="AH122" s="2">
        <f>MIN(1,_曲线基线!$L$3+AH$9*($H$10*H122+$I$10*I122+$J$10*J122+$K$10*K122+$L$10*L122))</f>
        <v>0.387769194849049</v>
      </c>
      <c r="AI122" s="2">
        <f>_曲线基线!$L$4+AI$9*($H$10*H122+$I$10*I122+$J$10*J122+$K$10*K122+$L$10*L122)</f>
        <v>2.94092847136521</v>
      </c>
      <c r="AJ122" s="2">
        <f t="shared" si="108"/>
        <v>1.77204387394068</v>
      </c>
      <c r="AK122" s="1">
        <f t="shared" si="109"/>
        <v>3.10574127838904</v>
      </c>
      <c r="AL122" s="1">
        <f t="shared" si="110"/>
        <v>964063.114842559</v>
      </c>
      <c r="AM122" s="14">
        <f t="shared" si="111"/>
        <v>37.6685461662428</v>
      </c>
      <c r="AN122" s="14">
        <f>(((E122*模块规划!$D$10+G122*模块规划!$D$11+H122*模块规划!$D$13)*(1+模块规划!$G$14*H122)+(I122*模块规划!$D$15+J122*模块规划!$D$17+K122*模块规划!$D$16+L122*模块规划!$D$18))*(1+模块规划!$J$17*J122))*F122/(1-Q122)</f>
        <v>1502913.24051322</v>
      </c>
      <c r="AO122" s="1">
        <f t="shared" si="112"/>
        <v>36314855.9486188</v>
      </c>
      <c r="AP122" s="1">
        <f>IF(AO122="","",_xlfn.XLOOKUP(AO122,_曲线基线!$E$3:$E$502,_曲线基线!$A$3:$A$502,500,1))</f>
        <v>214</v>
      </c>
      <c r="AQ122" s="15">
        <f t="shared" si="115"/>
        <v>5</v>
      </c>
    </row>
    <row r="123" customHeight="1" spans="1:43">
      <c r="A123" s="1" t="str">
        <f>IFERROR(_xlfn.XLOOKUP(B123,_曲线基线!$G$3:$G$107,_曲线基线!$J$3:$J$107,""),"")</f>
        <v/>
      </c>
      <c r="B123" s="1">
        <v>112</v>
      </c>
      <c r="C123" s="1">
        <f t="shared" si="153"/>
        <v>8</v>
      </c>
      <c r="D123" s="1">
        <f t="shared" si="154"/>
        <v>13</v>
      </c>
      <c r="E123" s="1">
        <f t="shared" si="90"/>
        <v>1</v>
      </c>
      <c r="F123" s="11">
        <f t="shared" si="113"/>
        <v>5</v>
      </c>
      <c r="G123" s="12">
        <f t="shared" ref="G123:L123" si="163">IF($B123&lt;G$8,0,G$3+(G$4-G$3)*(POWER(G$5,$B123-G$8)-1)/(POWER(G$5,$C$5-G$8)-1))</f>
        <v>0.742986485508645</v>
      </c>
      <c r="H123" s="12">
        <f t="shared" si="163"/>
        <v>0.606206194400662</v>
      </c>
      <c r="I123" s="12">
        <f t="shared" si="163"/>
        <v>0.408840275149904</v>
      </c>
      <c r="J123" s="12">
        <f t="shared" si="163"/>
        <v>0.488724750410209</v>
      </c>
      <c r="K123" s="12">
        <f t="shared" si="163"/>
        <v>0.143799809201862</v>
      </c>
      <c r="L123" s="12">
        <f t="shared" si="163"/>
        <v>0.604282750496096</v>
      </c>
      <c r="M123" s="2">
        <f>E123*模块规划!$F$10+G123*模块规划!$F$11+H123*模块规划!$F$13</f>
        <v>4566.3351304415</v>
      </c>
      <c r="N123" s="2">
        <f>I123*模块规划!$F$15+J123*模块规划!$F$17+K123*模块规划!$F$16+L123*模块规划!$F$18</f>
        <v>12042.182312993</v>
      </c>
      <c r="O123" s="2">
        <f t="shared" si="92"/>
        <v>2.69749885437071</v>
      </c>
      <c r="P123" s="13">
        <f t="shared" si="93"/>
        <v>24359.8660960316</v>
      </c>
      <c r="Q123" s="7">
        <f>P123/(P123+_曲线基线!$L$2)</f>
        <v>0.503720710219886</v>
      </c>
      <c r="R123" s="2">
        <f>E123*模块规划!$E$10+G123*模块规划!$E$11+H123*模块规划!$E$13</f>
        <v>6849.50269566225</v>
      </c>
      <c r="S123" s="2">
        <f>I123*模块规划!$E$15+J123*模块规划!$E$17+K123*模块规划!$E$16+L123*模块规划!$E$18</f>
        <v>18063.2734694895</v>
      </c>
      <c r="T123" s="2">
        <f t="shared" si="94"/>
        <v>2.69749885437071</v>
      </c>
      <c r="U123" s="13">
        <f t="shared" si="95"/>
        <v>36539.7991440475</v>
      </c>
      <c r="V123" s="2">
        <f t="shared" si="96"/>
        <v>0.881861858320199</v>
      </c>
      <c r="W123" s="2">
        <f t="shared" si="97"/>
        <v>0.242482477760265</v>
      </c>
      <c r="X123" s="2">
        <f t="shared" si="98"/>
        <v>0.441706703460182</v>
      </c>
      <c r="Y123" s="2">
        <f t="shared" si="99"/>
        <v>1</v>
      </c>
      <c r="Z123" s="2">
        <f t="shared" si="100"/>
        <v>1</v>
      </c>
      <c r="AA123" s="2">
        <f t="shared" si="101"/>
        <v>1</v>
      </c>
      <c r="AB123" s="2">
        <f t="shared" si="102"/>
        <v>1</v>
      </c>
      <c r="AC123" s="2">
        <f t="shared" si="103"/>
        <v>1</v>
      </c>
      <c r="AD123" s="1">
        <f t="shared" si="104"/>
        <v>1.71965895554991</v>
      </c>
      <c r="AE123" s="2">
        <f t="shared" si="105"/>
        <v>1</v>
      </c>
      <c r="AF123" s="2">
        <f t="shared" si="106"/>
        <v>1.14981973694446</v>
      </c>
      <c r="AG123" s="2">
        <f t="shared" si="107"/>
        <v>1.26551386714046</v>
      </c>
      <c r="AH123" s="2">
        <f>MIN(1,_曲线基线!$L$3+AH$9*($H$10*H123+$I$10*I123+$J$10*J123+$K$10*K123+$L$10*L123))</f>
        <v>0.390839901548646</v>
      </c>
      <c r="AI123" s="2">
        <f>_曲线基线!$L$4+AI$9*($H$10*H123+$I$10*I123+$J$10*J123+$K$10*K123+$L$10*L123)</f>
        <v>2.94948258288551</v>
      </c>
      <c r="AJ123" s="2">
        <f t="shared" si="108"/>
        <v>1.77906263211119</v>
      </c>
      <c r="AK123" s="1">
        <f t="shared" si="109"/>
        <v>3.13459375192752</v>
      </c>
      <c r="AL123" s="1">
        <f t="shared" si="110"/>
        <v>984826.552637629</v>
      </c>
      <c r="AM123" s="14">
        <f t="shared" si="111"/>
        <v>37.7086562678271</v>
      </c>
      <c r="AN123" s="14">
        <f>(((E123*模块规划!$D$10+G123*模块规划!$D$11+H123*模块规划!$D$13)*(1+模块规划!$G$14*H123)+(I123*模块规划!$D$15+J123*模块规划!$D$17+K123*模块规划!$D$16+L123*模块规划!$D$18))*(1+模块规划!$J$17*J123))*F123/(1-Q123)</f>
        <v>1526424.9610805</v>
      </c>
      <c r="AO123" s="1">
        <f t="shared" si="112"/>
        <v>37136485.9568415</v>
      </c>
      <c r="AP123" s="1">
        <f>IF(AO123="","",_xlfn.XLOOKUP(AO123,_曲线基线!$E$3:$E$502,_曲线基线!$A$3:$A$502,500,1))</f>
        <v>216</v>
      </c>
      <c r="AQ123" s="15">
        <f t="shared" si="115"/>
        <v>5</v>
      </c>
    </row>
    <row r="124" customHeight="1" spans="1:43">
      <c r="A124" s="1" t="str">
        <f>IFERROR(_xlfn.XLOOKUP(B124,_曲线基线!$G$3:$G$107,_曲线基线!$J$3:$J$107,""),"")</f>
        <v/>
      </c>
      <c r="B124" s="1">
        <v>113</v>
      </c>
      <c r="C124" s="1">
        <f t="shared" si="153"/>
        <v>8</v>
      </c>
      <c r="D124" s="1">
        <f t="shared" si="154"/>
        <v>14</v>
      </c>
      <c r="E124" s="1">
        <f t="shared" si="90"/>
        <v>1</v>
      </c>
      <c r="F124" s="11">
        <f t="shared" si="113"/>
        <v>5</v>
      </c>
      <c r="G124" s="12">
        <f t="shared" ref="G124:L124" si="164">IF($B124&lt;G$8,0,G$3+(G$4-G$3)*(POWER(G$5,$B124-G$8)-1)/(POWER(G$5,$C$5-G$8)-1))</f>
        <v>0.745546878680512</v>
      </c>
      <c r="H124" s="12">
        <f t="shared" si="164"/>
        <v>0.608148612752161</v>
      </c>
      <c r="I124" s="12">
        <f t="shared" si="164"/>
        <v>0.413834560989974</v>
      </c>
      <c r="J124" s="12">
        <f t="shared" si="164"/>
        <v>0.491029199893729</v>
      </c>
      <c r="K124" s="12">
        <f t="shared" si="164"/>
        <v>0.154282937952798</v>
      </c>
      <c r="L124" s="12">
        <f t="shared" si="164"/>
        <v>0.60626500231756</v>
      </c>
      <c r="M124" s="2">
        <f>E124*模块规划!$F$10+G124*模块规划!$F$11+H124*模块规划!$F$13</f>
        <v>4578.62501766646</v>
      </c>
      <c r="N124" s="2">
        <f>I124*模块规划!$F$15+J124*模块规划!$F$17+K124*模块规划!$F$16+L124*模块规划!$F$18</f>
        <v>12177.9911261617</v>
      </c>
      <c r="O124" s="2">
        <f t="shared" si="92"/>
        <v>2.71248615679444</v>
      </c>
      <c r="P124" s="13">
        <f t="shared" si="93"/>
        <v>24597.4481037346</v>
      </c>
      <c r="Q124" s="7">
        <f>P124/(P124+_曲线基线!$L$2)</f>
        <v>0.506146908192168</v>
      </c>
      <c r="R124" s="2">
        <f>E124*模块规划!$E$10+G124*模块规划!$E$11+H124*模块规划!$E$13</f>
        <v>6867.93752649968</v>
      </c>
      <c r="S124" s="2">
        <f>I124*模块规划!$E$15+J124*模块规划!$E$17+K124*模块规划!$E$16+L124*模块规划!$E$18</f>
        <v>18266.9866892425</v>
      </c>
      <c r="T124" s="2">
        <f t="shared" si="94"/>
        <v>2.71248615679444</v>
      </c>
      <c r="U124" s="13">
        <f t="shared" si="95"/>
        <v>36896.1721556019</v>
      </c>
      <c r="V124" s="2">
        <f t="shared" si="96"/>
        <v>0.882444583825648</v>
      </c>
      <c r="W124" s="2">
        <f t="shared" si="97"/>
        <v>0.243259445100864</v>
      </c>
      <c r="X124" s="2">
        <f t="shared" si="98"/>
        <v>0.442240868506844</v>
      </c>
      <c r="Y124" s="2">
        <f t="shared" si="99"/>
        <v>1</v>
      </c>
      <c r="Z124" s="2">
        <f t="shared" si="100"/>
        <v>1</v>
      </c>
      <c r="AA124" s="2">
        <f t="shared" si="101"/>
        <v>1</v>
      </c>
      <c r="AB124" s="2">
        <f t="shared" si="102"/>
        <v>1</v>
      </c>
      <c r="AC124" s="2">
        <f t="shared" si="103"/>
        <v>1</v>
      </c>
      <c r="AD124" s="1">
        <f t="shared" si="104"/>
        <v>1.72316953865255</v>
      </c>
      <c r="AE124" s="2">
        <f t="shared" si="105"/>
        <v>1</v>
      </c>
      <c r="AF124" s="2">
        <f t="shared" si="106"/>
        <v>1.15114250290736</v>
      </c>
      <c r="AG124" s="2">
        <f t="shared" si="107"/>
        <v>1.26785810237472</v>
      </c>
      <c r="AH124" s="2">
        <f>MIN(1,_曲线基线!$L$3+AH$9*($H$10*H124+$I$10*I124+$J$10*J124+$K$10*K124+$L$10*L124))</f>
        <v>0.393849194114251</v>
      </c>
      <c r="AI124" s="2">
        <f>_曲线基线!$L$4+AI$9*($H$10*H124+$I$10*I124+$J$10*J124+$K$10*K124+$L$10*L124)</f>
        <v>2.95786561217541</v>
      </c>
      <c r="AJ124" s="2">
        <f t="shared" si="108"/>
        <v>1.78594101511829</v>
      </c>
      <c r="AK124" s="1">
        <f t="shared" si="109"/>
        <v>3.16308690691341</v>
      </c>
      <c r="AL124" s="1">
        <f t="shared" si="110"/>
        <v>1005519.38962672</v>
      </c>
      <c r="AM124" s="14">
        <f t="shared" si="111"/>
        <v>37.7491674704273</v>
      </c>
      <c r="AN124" s="14">
        <f>(((E124*模块规划!$D$10+G124*模块规划!$D$11+H124*模块规划!$D$13)*(1+模块规划!$G$14*H124)+(I124*模块规划!$D$15+J124*模块规划!$D$17+K124*模块规划!$D$16+L124*模块规划!$D$18))*(1+模块规划!$J$17*J124))*F124/(1-Q124)</f>
        <v>1549695.76315411</v>
      </c>
      <c r="AO124" s="1">
        <f t="shared" si="112"/>
        <v>37957519.833781</v>
      </c>
      <c r="AP124" s="1">
        <f>IF(AO124="","",_xlfn.XLOOKUP(AO124,_曲线基线!$E$3:$E$502,_曲线基线!$A$3:$A$502,500,1))</f>
        <v>217</v>
      </c>
      <c r="AQ124" s="15">
        <f t="shared" si="115"/>
        <v>5</v>
      </c>
    </row>
    <row r="125" customHeight="1" spans="1:43">
      <c r="A125" s="1" t="str">
        <f>IFERROR(_xlfn.XLOOKUP(B125,_曲线基线!$G$3:$G$107,_曲线基线!$J$3:$J$107,""),"")</f>
        <v/>
      </c>
      <c r="B125" s="1">
        <v>114</v>
      </c>
      <c r="C125" s="1">
        <f t="shared" si="153"/>
        <v>8</v>
      </c>
      <c r="D125" s="1">
        <f t="shared" si="154"/>
        <v>15</v>
      </c>
      <c r="E125" s="1">
        <f t="shared" si="90"/>
        <v>1</v>
      </c>
      <c r="F125" s="11">
        <f t="shared" si="113"/>
        <v>5</v>
      </c>
      <c r="G125" s="12">
        <f t="shared" ref="G125:L125" si="165">IF($B125&lt;G$8,0,G$3+(G$4-G$3)*(POWER(G$5,$B125-G$8)-1)/(POWER(G$5,$C$5-G$8)-1))</f>
        <v>0.7480688659548</v>
      </c>
      <c r="H125" s="12">
        <f t="shared" si="165"/>
        <v>0.610052182736629</v>
      </c>
      <c r="I125" s="12">
        <f t="shared" si="165"/>
        <v>0.418728961113243</v>
      </c>
      <c r="J125" s="12">
        <f t="shared" si="165"/>
        <v>0.493287560387578</v>
      </c>
      <c r="K125" s="12">
        <f t="shared" si="165"/>
        <v>0.164556404128716</v>
      </c>
      <c r="L125" s="12">
        <f t="shared" si="165"/>
        <v>0.608207609102594</v>
      </c>
      <c r="M125" s="2">
        <f>E125*模块规划!$F$10+G125*模块规划!$F$11+H125*模块规划!$F$13</f>
        <v>4590.73055658304</v>
      </c>
      <c r="N125" s="2">
        <f>I125*模块规划!$F$15+J125*模块规划!$F$17+K125*模块规划!$F$16+L125*模块规划!$F$18</f>
        <v>12311.083763067</v>
      </c>
      <c r="O125" s="2">
        <f t="shared" si="92"/>
        <v>2.72717371316968</v>
      </c>
      <c r="P125" s="13">
        <f t="shared" si="93"/>
        <v>24830.8034612251</v>
      </c>
      <c r="Q125" s="7">
        <f>P125/(P125+_曲线基线!$L$2)</f>
        <v>0.508506960794581</v>
      </c>
      <c r="R125" s="2">
        <f>E125*模块规划!$E$10+G125*模块规划!$E$11+H125*模块规划!$E$13</f>
        <v>6886.09583487456</v>
      </c>
      <c r="S125" s="2">
        <f>I125*模块规划!$E$15+J125*模块规划!$E$17+K125*模块规划!$E$16+L125*模块规划!$E$18</f>
        <v>18466.6256446005</v>
      </c>
      <c r="T125" s="2">
        <f t="shared" si="94"/>
        <v>2.72717371316968</v>
      </c>
      <c r="U125" s="13">
        <f t="shared" si="95"/>
        <v>37246.2051918376</v>
      </c>
      <c r="V125" s="2">
        <f t="shared" si="96"/>
        <v>0.883015654820989</v>
      </c>
      <c r="W125" s="2">
        <f t="shared" si="97"/>
        <v>0.244020873094652</v>
      </c>
      <c r="X125" s="2">
        <f t="shared" si="98"/>
        <v>0.442764350252573</v>
      </c>
      <c r="Y125" s="2">
        <f t="shared" si="99"/>
        <v>1</v>
      </c>
      <c r="Z125" s="2">
        <f t="shared" si="100"/>
        <v>1</v>
      </c>
      <c r="AA125" s="2">
        <f t="shared" si="101"/>
        <v>1</v>
      </c>
      <c r="AB125" s="2">
        <f t="shared" si="102"/>
        <v>1</v>
      </c>
      <c r="AC125" s="2">
        <f t="shared" si="103"/>
        <v>1</v>
      </c>
      <c r="AD125" s="1">
        <f t="shared" si="104"/>
        <v>1.7266143341168</v>
      </c>
      <c r="AE125" s="2">
        <f t="shared" si="105"/>
        <v>1</v>
      </c>
      <c r="AF125" s="2">
        <f t="shared" si="106"/>
        <v>1.15243881355101</v>
      </c>
      <c r="AG125" s="2">
        <f t="shared" si="107"/>
        <v>1.27015545290429</v>
      </c>
      <c r="AH125" s="2">
        <f>MIN(1,_曲线基线!$L$3+AH$9*($H$10*H125+$I$10*I125+$J$10*J125+$K$10*K125+$L$10*L125))</f>
        <v>0.396798300828544</v>
      </c>
      <c r="AI125" s="2">
        <f>_曲线基线!$L$4+AI$9*($H$10*H125+$I$10*I125+$J$10*J125+$K$10*K125+$L$10*L125)</f>
        <v>2.96608098087952</v>
      </c>
      <c r="AJ125" s="2">
        <f t="shared" si="108"/>
        <v>1.79268183046524</v>
      </c>
      <c r="AK125" s="1">
        <f t="shared" si="109"/>
        <v>3.19122031781062</v>
      </c>
      <c r="AL125" s="1">
        <f t="shared" si="110"/>
        <v>1026134.2089877</v>
      </c>
      <c r="AM125" s="14">
        <f t="shared" si="111"/>
        <v>37.7900837850534</v>
      </c>
      <c r="AN125" s="14">
        <f>(((E125*模块规划!$D$10+G125*模块规划!$D$11+H125*模块规划!$D$13)*(1+模块规划!$G$14*H125)+(I125*模块规划!$D$15+J125*模块规划!$D$17+K125*模块规划!$D$16+L125*模块规划!$D$18))*(1+模块规划!$J$17*J125))*F125/(1-Q125)</f>
        <v>1572723.19130688</v>
      </c>
      <c r="AO125" s="1">
        <f t="shared" si="112"/>
        <v>38777697.7323548</v>
      </c>
      <c r="AP125" s="1">
        <f>IF(AO125="","",_xlfn.XLOOKUP(AO125,_曲线基线!$E$3:$E$502,_曲线基线!$A$3:$A$502,500,1))</f>
        <v>219</v>
      </c>
      <c r="AQ125" s="15">
        <f t="shared" si="115"/>
        <v>5</v>
      </c>
    </row>
    <row r="126" customHeight="1" spans="1:43">
      <c r="A126" s="1" t="str">
        <f>IFERROR(_xlfn.XLOOKUP(B126,_曲线基线!$G$3:$G$107,_曲线基线!$J$3:$J$107,""),"")</f>
        <v/>
      </c>
      <c r="B126" s="1">
        <v>115</v>
      </c>
      <c r="C126" s="1">
        <f t="shared" si="153"/>
        <v>9</v>
      </c>
      <c r="D126" s="1">
        <f t="shared" si="154"/>
        <v>1</v>
      </c>
      <c r="E126" s="1">
        <f t="shared" si="90"/>
        <v>1</v>
      </c>
      <c r="F126" s="11">
        <f t="shared" si="113"/>
        <v>5</v>
      </c>
      <c r="G126" s="12">
        <f t="shared" ref="G126:L126" si="166">IF($B126&lt;G$8,0,G$3+(G$4-G$3)*(POWER(G$5,$B126-G$8)-1)/(POWER(G$5,$C$5-G$8)-1))</f>
        <v>0.750553023419974</v>
      </c>
      <c r="H126" s="12">
        <f t="shared" si="166"/>
        <v>0.611917681321407</v>
      </c>
      <c r="I126" s="12">
        <f t="shared" si="166"/>
        <v>0.423525473234046</v>
      </c>
      <c r="J126" s="12">
        <f t="shared" si="166"/>
        <v>0.49550075367155</v>
      </c>
      <c r="K126" s="12">
        <f t="shared" si="166"/>
        <v>0.174624400981115</v>
      </c>
      <c r="L126" s="12">
        <f t="shared" si="166"/>
        <v>0.610111363751928</v>
      </c>
      <c r="M126" s="2">
        <f>E126*模块规划!$F$10+G126*模块规划!$F$11+H126*模块规划!$F$13</f>
        <v>4602.65451241587</v>
      </c>
      <c r="N126" s="2">
        <f>I126*模块规划!$F$15+J126*模块规划!$F$17+K126*模块规划!$F$16+L126*模块规划!$F$18</f>
        <v>12441.5145472342</v>
      </c>
      <c r="O126" s="2">
        <f t="shared" si="92"/>
        <v>2.74156751841742</v>
      </c>
      <c r="P126" s="13">
        <f t="shared" si="93"/>
        <v>25060.0026569709</v>
      </c>
      <c r="Q126" s="7">
        <f>P126/(P126+_曲线基线!$L$2)</f>
        <v>0.510803124740764</v>
      </c>
      <c r="R126" s="2">
        <f>E126*模块规划!$E$10+G126*模块规划!$E$11+H126*模块规划!$E$13</f>
        <v>6903.98176862381</v>
      </c>
      <c r="S126" s="2">
        <f>I126*模块规划!$E$15+J126*模块规划!$E$17+K126*模块规划!$E$16+L126*模块规划!$E$18</f>
        <v>18662.2718208513</v>
      </c>
      <c r="T126" s="2">
        <f t="shared" si="94"/>
        <v>2.74156751841742</v>
      </c>
      <c r="U126" s="13">
        <f t="shared" si="95"/>
        <v>37590.0039854564</v>
      </c>
      <c r="V126" s="2">
        <f t="shared" si="96"/>
        <v>0.883575304396422</v>
      </c>
      <c r="W126" s="2">
        <f t="shared" si="97"/>
        <v>0.244767072528563</v>
      </c>
      <c r="X126" s="2">
        <f t="shared" si="98"/>
        <v>0.443277362363387</v>
      </c>
      <c r="Y126" s="2">
        <f t="shared" si="99"/>
        <v>1</v>
      </c>
      <c r="Z126" s="2">
        <f t="shared" si="100"/>
        <v>1</v>
      </c>
      <c r="AA126" s="2">
        <f t="shared" si="101"/>
        <v>1</v>
      </c>
      <c r="AB126" s="2">
        <f t="shared" si="102"/>
        <v>1</v>
      </c>
      <c r="AC126" s="2">
        <f t="shared" si="103"/>
        <v>1</v>
      </c>
      <c r="AD126" s="1">
        <f t="shared" si="104"/>
        <v>1.72999448250409</v>
      </c>
      <c r="AE126" s="2">
        <f t="shared" si="105"/>
        <v>1</v>
      </c>
      <c r="AF126" s="2">
        <f t="shared" si="106"/>
        <v>1.15370919798178</v>
      </c>
      <c r="AG126" s="2">
        <f t="shared" si="107"/>
        <v>1.27240685642327</v>
      </c>
      <c r="AH126" s="2">
        <f>MIN(1,_曲线基线!$L$3+AH$9*($H$10*H126+$I$10*I126+$J$10*J126+$K$10*K126+$L$10*L126))</f>
        <v>0.399688425408551</v>
      </c>
      <c r="AI126" s="2">
        <f>_曲线基线!$L$4+AI$9*($H$10*H126+$I$10*I126+$J$10*J126+$K$10*K126+$L$10*L126)</f>
        <v>2.97413204220954</v>
      </c>
      <c r="AJ126" s="2">
        <f t="shared" si="108"/>
        <v>1.79928782950526</v>
      </c>
      <c r="AK126" s="1">
        <f t="shared" si="109"/>
        <v>3.21899380961523</v>
      </c>
      <c r="AL126" s="1">
        <f t="shared" si="110"/>
        <v>1046663.87650703</v>
      </c>
      <c r="AM126" s="14">
        <f t="shared" si="111"/>
        <v>37.8314092628258</v>
      </c>
      <c r="AN126" s="14">
        <f>(((E126*模块规划!$D$10+G126*模块规划!$D$11+H126*模块规划!$D$13)*(1+模块规划!$G$14*H126)+(I126*模块规划!$D$15+J126*模块规划!$D$17+K126*模块规划!$D$16+L126*模块规划!$D$18))*(1+模块规划!$J$17*J126))*F126/(1-Q126)</f>
        <v>1595505.05726502</v>
      </c>
      <c r="AO126" s="1">
        <f t="shared" si="112"/>
        <v>39596769.4727531</v>
      </c>
      <c r="AP126" s="1">
        <f>IF(AO126="","",_xlfn.XLOOKUP(AO126,_曲线基线!$E$3:$E$502,_曲线基线!$A$3:$A$502,500,1))</f>
        <v>220</v>
      </c>
      <c r="AQ126" s="15">
        <f t="shared" si="115"/>
        <v>5</v>
      </c>
    </row>
    <row r="127" customHeight="1" spans="1:43">
      <c r="A127" s="1" t="str">
        <f>IFERROR(_xlfn.XLOOKUP(B127,_曲线基线!$G$3:$G$107,_曲线基线!$J$3:$J$107,""),"")</f>
        <v/>
      </c>
      <c r="B127" s="1">
        <v>116</v>
      </c>
      <c r="C127" s="1">
        <f t="shared" si="153"/>
        <v>9</v>
      </c>
      <c r="D127" s="1">
        <f t="shared" si="154"/>
        <v>2</v>
      </c>
      <c r="E127" s="1">
        <f t="shared" si="90"/>
        <v>1</v>
      </c>
      <c r="F127" s="11">
        <f t="shared" si="113"/>
        <v>5</v>
      </c>
      <c r="G127" s="12">
        <f t="shared" ref="G127:L127" si="167">IF($B127&lt;G$8,0,G$3+(G$4-G$3)*(POWER(G$5,$B127-G$8)-1)/(POWER(G$5,$C$5-G$8)-1))</f>
        <v>0.75299991852317</v>
      </c>
      <c r="H127" s="12">
        <f t="shared" si="167"/>
        <v>0.613745869934491</v>
      </c>
      <c r="I127" s="12">
        <f t="shared" si="167"/>
        <v>0.428226055112433</v>
      </c>
      <c r="J127" s="12">
        <f t="shared" si="167"/>
        <v>0.497669683089843</v>
      </c>
      <c r="K127" s="12">
        <f t="shared" si="167"/>
        <v>0.184491037896466</v>
      </c>
      <c r="L127" s="12">
        <f t="shared" si="167"/>
        <v>0.611977043308275</v>
      </c>
      <c r="M127" s="2">
        <f>E127*模块规划!$F$10+G127*模块规划!$F$11+H127*模块规划!$F$13</f>
        <v>4614.39960891122</v>
      </c>
      <c r="N127" s="2">
        <f>I127*模块规划!$F$15+J127*模块规划!$F$17+K127*模块规划!$F$16+L127*模块规划!$F$18</f>
        <v>12569.3367157181</v>
      </c>
      <c r="O127" s="2">
        <f t="shared" si="92"/>
        <v>2.75567344756021</v>
      </c>
      <c r="P127" s="13">
        <f t="shared" si="93"/>
        <v>25285.1151944269</v>
      </c>
      <c r="Q127" s="7">
        <f>P127/(P127+_曲线基线!$L$2)</f>
        <v>0.513037559000899</v>
      </c>
      <c r="R127" s="2">
        <f>E127*模块规划!$E$10+G127*模块规划!$E$11+H127*模块规划!$E$13</f>
        <v>6921.59941336682</v>
      </c>
      <c r="S127" s="2">
        <f>I127*模块规划!$E$15+J127*模块规划!$E$17+K127*模块规划!$E$16+L127*模块规划!$E$18</f>
        <v>18854.0050735771</v>
      </c>
      <c r="T127" s="2">
        <f t="shared" si="94"/>
        <v>2.75567344756021</v>
      </c>
      <c r="U127" s="13">
        <f t="shared" si="95"/>
        <v>37927.6727916404</v>
      </c>
      <c r="V127" s="2">
        <f t="shared" si="96"/>
        <v>0.884123760980347</v>
      </c>
      <c r="W127" s="2">
        <f t="shared" si="97"/>
        <v>0.245498347973796</v>
      </c>
      <c r="X127" s="2">
        <f t="shared" si="98"/>
        <v>0.443780114231985</v>
      </c>
      <c r="Y127" s="2">
        <f t="shared" si="99"/>
        <v>1</v>
      </c>
      <c r="Z127" s="2">
        <f t="shared" si="100"/>
        <v>1</v>
      </c>
      <c r="AA127" s="2">
        <f t="shared" si="101"/>
        <v>1</v>
      </c>
      <c r="AB127" s="2">
        <f t="shared" si="102"/>
        <v>1</v>
      </c>
      <c r="AC127" s="2">
        <f t="shared" si="103"/>
        <v>1</v>
      </c>
      <c r="AD127" s="1">
        <f t="shared" si="104"/>
        <v>1.73331110850221</v>
      </c>
      <c r="AE127" s="2">
        <f t="shared" si="105"/>
        <v>1</v>
      </c>
      <c r="AF127" s="2">
        <f t="shared" si="106"/>
        <v>1.15495417472394</v>
      </c>
      <c r="AG127" s="2">
        <f t="shared" si="107"/>
        <v>1.27461323187187</v>
      </c>
      <c r="AH127" s="2">
        <f>MIN(1,_曲线基线!$L$3+AH$9*($H$10*H127+$I$10*I127+$J$10*J127+$K$10*K127+$L$10*L127))</f>
        <v>0.402520747496958</v>
      </c>
      <c r="AI127" s="2">
        <f>_曲线基线!$L$4+AI$9*($H$10*H127+$I$10*I127+$J$10*J127+$K$10*K127+$L$10*L127)</f>
        <v>2.98202208231296</v>
      </c>
      <c r="AJ127" s="2">
        <f t="shared" si="108"/>
        <v>1.80576170856448</v>
      </c>
      <c r="AK127" s="1">
        <f t="shared" si="109"/>
        <v>3.24640744675467</v>
      </c>
      <c r="AL127" s="1">
        <f t="shared" si="110"/>
        <v>1067101.53879955</v>
      </c>
      <c r="AM127" s="14">
        <f t="shared" si="111"/>
        <v>37.8731479953759</v>
      </c>
      <c r="AN127" s="14">
        <f>(((E127*模块规划!$D$10+G127*模块规划!$D$11+H127*模块规划!$D$13)*(1+模块规划!$G$14*H127)+(I127*模块规划!$D$15+J127*模块规划!$D$17+K127*模块规划!$D$16+L127*模块规划!$D$18))*(1+模块规划!$J$17*J127))*F127/(1-Q127)</f>
        <v>1618039.42914508</v>
      </c>
      <c r="AO127" s="1">
        <f t="shared" si="112"/>
        <v>40414494.5050489</v>
      </c>
      <c r="AP127" s="1">
        <f>IF(AO127="","",_xlfn.XLOOKUP(AO127,_曲线基线!$E$3:$E$502,_曲线基线!$A$3:$A$502,500,1))</f>
        <v>221</v>
      </c>
      <c r="AQ127" s="15">
        <f t="shared" si="115"/>
        <v>5</v>
      </c>
    </row>
    <row r="128" customHeight="1" spans="1:43">
      <c r="A128" s="1" t="str">
        <f>IFERROR(_xlfn.XLOOKUP(B128,_曲线基线!$G$3:$G$107,_曲线基线!$J$3:$J$107,""),"")</f>
        <v/>
      </c>
      <c r="B128" s="1">
        <v>117</v>
      </c>
      <c r="C128" s="1">
        <f t="shared" si="153"/>
        <v>9</v>
      </c>
      <c r="D128" s="1">
        <f t="shared" si="154"/>
        <v>3</v>
      </c>
      <c r="E128" s="1">
        <f t="shared" si="90"/>
        <v>1</v>
      </c>
      <c r="F128" s="11">
        <f t="shared" si="113"/>
        <v>5</v>
      </c>
      <c r="G128" s="12">
        <f t="shared" ref="G128:L128" si="168">IF($B128&lt;G$8,0,G$3+(G$4-G$3)*(POWER(G$5,$B128-G$8)-1)/(POWER(G$5,$C$5-G$8)-1))</f>
        <v>0.755410110199818</v>
      </c>
      <c r="H128" s="12">
        <f t="shared" si="168"/>
        <v>0.615537494775312</v>
      </c>
      <c r="I128" s="12">
        <f t="shared" si="168"/>
        <v>0.432832625353253</v>
      </c>
      <c r="J128" s="12">
        <f t="shared" si="168"/>
        <v>0.49979523391977</v>
      </c>
      <c r="K128" s="12">
        <f t="shared" si="168"/>
        <v>0.19416034207351</v>
      </c>
      <c r="L128" s="12">
        <f t="shared" si="168"/>
        <v>0.613805409273495</v>
      </c>
      <c r="M128" s="2">
        <f>E128*模块规划!$F$10+G128*模块规划!$F$11+H128*模块规划!$F$13</f>
        <v>4625.96852895913</v>
      </c>
      <c r="N128" s="2">
        <f>I128*模块规划!$F$15+J128*模块规划!$F$17+K128*模块规划!$F$16+L128*模块规划!$F$18</f>
        <v>12694.6024408323</v>
      </c>
      <c r="O128" s="2">
        <f t="shared" si="92"/>
        <v>2.76949725812014</v>
      </c>
      <c r="P128" s="13">
        <f t="shared" si="93"/>
        <v>25506.2095979346</v>
      </c>
      <c r="Q128" s="7">
        <f>P128/(P128+_曲线基线!$L$2)</f>
        <v>0.515212330030589</v>
      </c>
      <c r="R128" s="2">
        <f>E128*模块规划!$E$10+G128*模块规划!$E$11+H128*模块规划!$E$13</f>
        <v>6938.95279343869</v>
      </c>
      <c r="S128" s="2">
        <f>I128*模块规划!$E$15+J128*模块规划!$E$17+K128*模块规划!$E$16+L128*模块规划!$E$18</f>
        <v>19041.9036612484</v>
      </c>
      <c r="T128" s="2">
        <f t="shared" si="94"/>
        <v>2.76949725812014</v>
      </c>
      <c r="U128" s="13">
        <f t="shared" si="95"/>
        <v>38259.3143969019</v>
      </c>
      <c r="V128" s="2">
        <f t="shared" si="96"/>
        <v>0.884661248432594</v>
      </c>
      <c r="W128" s="2">
        <f t="shared" si="97"/>
        <v>0.246214997910125</v>
      </c>
      <c r="X128" s="2">
        <f t="shared" si="98"/>
        <v>0.444272811063211</v>
      </c>
      <c r="Y128" s="2">
        <f t="shared" si="99"/>
        <v>1</v>
      </c>
      <c r="Z128" s="2">
        <f t="shared" si="100"/>
        <v>1</v>
      </c>
      <c r="AA128" s="2">
        <f t="shared" si="101"/>
        <v>1</v>
      </c>
      <c r="AB128" s="2">
        <f t="shared" si="102"/>
        <v>1</v>
      </c>
      <c r="AC128" s="2">
        <f t="shared" si="103"/>
        <v>1</v>
      </c>
      <c r="AD128" s="1">
        <f t="shared" si="104"/>
        <v>1.73656532096802</v>
      </c>
      <c r="AE128" s="2">
        <f t="shared" si="105"/>
        <v>1</v>
      </c>
      <c r="AF128" s="2">
        <f t="shared" si="106"/>
        <v>1.15617425193125</v>
      </c>
      <c r="AG128" s="2">
        <f t="shared" si="107"/>
        <v>1.2767754798115</v>
      </c>
      <c r="AH128" s="2">
        <f>MIN(1,_曲线基线!$L$3+AH$9*($H$10*H128+$I$10*I128+$J$10*J128+$K$10*K128+$L$10*L128))</f>
        <v>0.405296423143597</v>
      </c>
      <c r="AI128" s="2">
        <f>_曲线基线!$L$4+AI$9*($H$10*H128+$I$10*I128+$J$10*J128+$K$10*K128+$L$10*L128)</f>
        <v>2.98975432161431</v>
      </c>
      <c r="AJ128" s="2">
        <f t="shared" si="108"/>
        <v>1.81210611004251</v>
      </c>
      <c r="AK128" s="1">
        <f t="shared" si="109"/>
        <v>3.27346152224448</v>
      </c>
      <c r="AL128" s="1">
        <f t="shared" si="110"/>
        <v>1087440.62107936</v>
      </c>
      <c r="AM128" s="14">
        <f t="shared" si="111"/>
        <v>37.9153041152516</v>
      </c>
      <c r="AN128" s="14">
        <f>(((E128*模块规划!$D$10+G128*模块规划!$D$11+H128*模块规划!$D$13)*(1+模块规划!$G$14*H128)+(I128*模块规划!$D$15+J128*模块规划!$D$17+K128*模块规划!$D$16+L128*模块规划!$D$18))*(1+模块规划!$J$17*J128))*F128/(1-Q128)</f>
        <v>1640324.62096306</v>
      </c>
      <c r="AO128" s="1">
        <f t="shared" si="112"/>
        <v>41230641.855502</v>
      </c>
      <c r="AP128" s="1">
        <f>IF(AO128="","",_xlfn.XLOOKUP(AO128,_曲线基线!$E$3:$E$502,_曲线基线!$A$3:$A$502,500,1))</f>
        <v>223</v>
      </c>
      <c r="AQ128" s="15">
        <f t="shared" si="115"/>
        <v>5</v>
      </c>
    </row>
    <row r="129" customHeight="1" spans="1:43">
      <c r="A129" s="1" t="str">
        <f>IFERROR(_xlfn.XLOOKUP(B129,_曲线基线!$G$3:$G$107,_曲线基线!$J$3:$J$107,""),"")</f>
        <v/>
      </c>
      <c r="B129" s="1">
        <v>118</v>
      </c>
      <c r="C129" s="1">
        <f t="shared" si="153"/>
        <v>9</v>
      </c>
      <c r="D129" s="1">
        <f t="shared" si="154"/>
        <v>4</v>
      </c>
      <c r="E129" s="1">
        <f t="shared" si="90"/>
        <v>1</v>
      </c>
      <c r="F129" s="11">
        <f t="shared" si="113"/>
        <v>5</v>
      </c>
      <c r="G129" s="12">
        <f t="shared" ref="G129:L129" si="169">IF($B129&lt;G$8,0,G$3+(G$4-G$3)*(POWER(G$5,$B129-G$8)-1)/(POWER(G$5,$C$5-G$8)-1))</f>
        <v>0.757784149001317</v>
      </c>
      <c r="H129" s="12">
        <f t="shared" si="169"/>
        <v>0.617293287119317</v>
      </c>
      <c r="I129" s="12">
        <f t="shared" si="169"/>
        <v>0.437347064189256</v>
      </c>
      <c r="J129" s="12">
        <f t="shared" si="169"/>
        <v>0.501878273733099</v>
      </c>
      <c r="K129" s="12">
        <f t="shared" si="169"/>
        <v>0.203636260167014</v>
      </c>
      <c r="L129" s="12">
        <f t="shared" si="169"/>
        <v>0.615597207919411</v>
      </c>
      <c r="M129" s="2">
        <f>E129*模块规划!$F$10+G129*模块规划!$F$11+H129*模块规划!$F$13</f>
        <v>4637.36391520632</v>
      </c>
      <c r="N129" s="2">
        <f>I129*模块规划!$F$15+J129*模块规划!$F$17+K129*模块规划!$F$16+L129*模块规划!$F$18</f>
        <v>12817.3628514442</v>
      </c>
      <c r="O129" s="2">
        <f t="shared" si="92"/>
        <v>2.78304459246888</v>
      </c>
      <c r="P129" s="13">
        <f t="shared" si="93"/>
        <v>25723.3534189694</v>
      </c>
      <c r="Q129" s="7">
        <f>P129/(P129+_曲线基线!$L$2)</f>
        <v>0.517329416667139</v>
      </c>
      <c r="R129" s="2">
        <f>E129*模块规划!$E$10+G129*模块规划!$E$11+H129*模块规划!$E$13</f>
        <v>6956.04587280948</v>
      </c>
      <c r="S129" s="2">
        <f>I129*模块规划!$E$15+J129*模块规划!$E$17+K129*模块规划!$E$16+L129*模块规划!$E$18</f>
        <v>19226.0442771663</v>
      </c>
      <c r="T129" s="2">
        <f t="shared" si="94"/>
        <v>2.78304459246888</v>
      </c>
      <c r="U129" s="13">
        <f t="shared" si="95"/>
        <v>38585.0301284542</v>
      </c>
      <c r="V129" s="2">
        <f t="shared" si="96"/>
        <v>0.885187986135795</v>
      </c>
      <c r="W129" s="2">
        <f t="shared" si="97"/>
        <v>0.246917314847727</v>
      </c>
      <c r="X129" s="2">
        <f t="shared" si="98"/>
        <v>0.444755653957812</v>
      </c>
      <c r="Y129" s="2">
        <f t="shared" si="99"/>
        <v>1</v>
      </c>
      <c r="Z129" s="2">
        <f t="shared" si="100"/>
        <v>1</v>
      </c>
      <c r="AA129" s="2">
        <f t="shared" si="101"/>
        <v>1</v>
      </c>
      <c r="AB129" s="2">
        <f t="shared" si="102"/>
        <v>1</v>
      </c>
      <c r="AC129" s="2">
        <f t="shared" si="103"/>
        <v>1</v>
      </c>
      <c r="AD129" s="1">
        <f t="shared" si="104"/>
        <v>1.73975821298026</v>
      </c>
      <c r="AE129" s="2">
        <f t="shared" si="105"/>
        <v>1</v>
      </c>
      <c r="AF129" s="2">
        <f t="shared" si="106"/>
        <v>1.15736992759442</v>
      </c>
      <c r="AG129" s="2">
        <f t="shared" si="107"/>
        <v>1.27889448279233</v>
      </c>
      <c r="AH129" s="2">
        <f>MIN(1,_曲线基线!$L$3+AH$9*($H$10*H129+$I$10*I129+$J$10*J129+$K$10*K129+$L$10*L129))</f>
        <v>0.408016585277304</v>
      </c>
      <c r="AI129" s="2">
        <f>_曲线基线!$L$4+AI$9*($H$10*H129+$I$10*I129+$J$10*J129+$K$10*K129+$L$10*L129)</f>
        <v>2.99733191612963</v>
      </c>
      <c r="AJ129" s="2">
        <f t="shared" si="108"/>
        <v>1.81832362349098</v>
      </c>
      <c r="AK129" s="1">
        <f t="shared" si="109"/>
        <v>3.30015654710836</v>
      </c>
      <c r="AL129" s="1">
        <f t="shared" si="110"/>
        <v>1107674.82451628</v>
      </c>
      <c r="AM129" s="14">
        <f t="shared" si="111"/>
        <v>37.957881796326</v>
      </c>
      <c r="AN129" s="14">
        <f>(((E129*模块规划!$D$10+G129*模块规划!$D$11+H129*模块规划!$D$13)*(1+模块规划!$G$14*H129)+(I129*模块规划!$D$15+J129*模块规划!$D$17+K129*模块规划!$D$16+L129*模块规划!$D$18))*(1+模块规划!$J$17*J129))*F129/(1-Q129)</f>
        <v>1662359.18241583</v>
      </c>
      <c r="AO129" s="1">
        <f t="shared" si="112"/>
        <v>42044990.0577551</v>
      </c>
      <c r="AP129" s="1">
        <f>IF(AO129="","",_xlfn.XLOOKUP(AO129,_曲线基线!$E$3:$E$502,_曲线基线!$A$3:$A$502,500,1))</f>
        <v>224</v>
      </c>
      <c r="AQ129" s="15">
        <f t="shared" si="115"/>
        <v>5</v>
      </c>
    </row>
    <row r="130" customHeight="1" spans="1:43">
      <c r="A130" s="1" t="str">
        <f>IFERROR(_xlfn.XLOOKUP(B130,_曲线基线!$G$3:$G$107,_曲线基线!$J$3:$J$107,""),"")</f>
        <v/>
      </c>
      <c r="B130" s="1">
        <v>119</v>
      </c>
      <c r="C130" s="1">
        <f t="shared" si="153"/>
        <v>9</v>
      </c>
      <c r="D130" s="1">
        <f t="shared" si="154"/>
        <v>5</v>
      </c>
      <c r="E130" s="1">
        <f t="shared" si="90"/>
        <v>1</v>
      </c>
      <c r="F130" s="11">
        <f t="shared" si="113"/>
        <v>5</v>
      </c>
      <c r="G130" s="12">
        <f t="shared" ref="G130:L130" si="170">IF($B130&lt;G$8,0,G$3+(G$4-G$3)*(POWER(G$5,$B130-G$8)-1)/(POWER(G$5,$C$5-G$8)-1))</f>
        <v>0.760122577220793</v>
      </c>
      <c r="H130" s="12">
        <f t="shared" si="170"/>
        <v>0.619013963616442</v>
      </c>
      <c r="I130" s="12">
        <f t="shared" si="170"/>
        <v>0.441771214248539</v>
      </c>
      <c r="J130" s="12">
        <f t="shared" si="170"/>
        <v>0.503919652750161</v>
      </c>
      <c r="K130" s="12">
        <f t="shared" si="170"/>
        <v>0.212922659898647</v>
      </c>
      <c r="L130" s="12">
        <f t="shared" si="170"/>
        <v>0.617353170592409</v>
      </c>
      <c r="M130" s="2">
        <f>E130*模块规划!$F$10+G130*模块规划!$F$11+H130*模块规划!$F$13</f>
        <v>4648.58837065981</v>
      </c>
      <c r="N130" s="2">
        <f>I130*模块规划!$F$15+J130*模块规划!$F$17+K130*模块规划!$F$16+L130*模块规划!$F$18</f>
        <v>12937.6680538439</v>
      </c>
      <c r="O130" s="2">
        <f t="shared" si="92"/>
        <v>2.79632098013064</v>
      </c>
      <c r="P130" s="13">
        <f t="shared" si="93"/>
        <v>25936.6132427112</v>
      </c>
      <c r="Q130" s="7">
        <f>P130/(P130+_曲线基线!$L$2)</f>
        <v>0.519390714717661</v>
      </c>
      <c r="R130" s="2">
        <f>E130*模块规划!$E$10+G130*模块规划!$E$11+H130*模块规划!$E$13</f>
        <v>6972.88255598971</v>
      </c>
      <c r="S130" s="2">
        <f>I130*模块规划!$E$15+J130*模块规划!$E$17+K130*模块规划!$E$16+L130*模块规划!$E$18</f>
        <v>19406.5020807658</v>
      </c>
      <c r="T130" s="2">
        <f t="shared" si="94"/>
        <v>2.79632098013064</v>
      </c>
      <c r="U130" s="13">
        <f t="shared" si="95"/>
        <v>38904.9198640668</v>
      </c>
      <c r="V130" s="2">
        <f t="shared" si="96"/>
        <v>0.885704189084933</v>
      </c>
      <c r="W130" s="2">
        <f t="shared" si="97"/>
        <v>0.247605585446577</v>
      </c>
      <c r="X130" s="2">
        <f t="shared" si="98"/>
        <v>0.445228839994522</v>
      </c>
      <c r="Y130" s="2">
        <f t="shared" si="99"/>
        <v>1</v>
      </c>
      <c r="Z130" s="2">
        <f t="shared" si="100"/>
        <v>1</v>
      </c>
      <c r="AA130" s="2">
        <f t="shared" si="101"/>
        <v>1</v>
      </c>
      <c r="AB130" s="2">
        <f t="shared" si="102"/>
        <v>1</v>
      </c>
      <c r="AC130" s="2">
        <f t="shared" si="103"/>
        <v>1</v>
      </c>
      <c r="AD130" s="1">
        <f t="shared" si="104"/>
        <v>1.74289086190169</v>
      </c>
      <c r="AE130" s="2">
        <f t="shared" si="105"/>
        <v>1</v>
      </c>
      <c r="AF130" s="2">
        <f t="shared" si="106"/>
        <v>1.15854168974432</v>
      </c>
      <c r="AG130" s="2">
        <f t="shared" si="107"/>
        <v>1.28097110571355</v>
      </c>
      <c r="AH130" s="2">
        <f>MIN(1,_曲线基线!$L$3+AH$9*($H$10*H130+$I$10*I130+$J$10*J130+$K$10*K130+$L$10*L130))</f>
        <v>0.410682344168336</v>
      </c>
      <c r="AI130" s="2">
        <f>_曲线基线!$L$4+AI$9*($H$10*H130+$I$10*I130+$J$10*J130+$K$10*K130+$L$10*L130)</f>
        <v>3.00475795875465</v>
      </c>
      <c r="AJ130" s="2">
        <f t="shared" si="108"/>
        <v>1.82441678667048</v>
      </c>
      <c r="AK130" s="1">
        <f t="shared" si="109"/>
        <v>3.32649324006583</v>
      </c>
      <c r="AL130" s="1">
        <f t="shared" si="110"/>
        <v>1127798.12321149</v>
      </c>
      <c r="AM130" s="14">
        <f t="shared" si="111"/>
        <v>38.0008852542111</v>
      </c>
      <c r="AN130" s="14">
        <f>(((E130*模块规划!$D$10+G130*模块规划!$D$11+H130*模块规划!$D$13)*(1+模块规划!$G$14*H130)+(I130*模块规划!$D$15+J130*模块规划!$D$17+K130*模块规划!$D$16+L130*模块规划!$D$18))*(1+模块规划!$J$17*J130))*F130/(1-Q130)</f>
        <v>1684141.88893427</v>
      </c>
      <c r="AO130" s="1">
        <f t="shared" si="112"/>
        <v>42857327.0700744</v>
      </c>
      <c r="AP130" s="1">
        <f>IF(AO130="","",_xlfn.XLOOKUP(AO130,_曲线基线!$E$3:$E$502,_曲线基线!$A$3:$A$502,500,1))</f>
        <v>225</v>
      </c>
      <c r="AQ130" s="15">
        <f t="shared" si="115"/>
        <v>5</v>
      </c>
    </row>
    <row r="131" customHeight="1" spans="1:43">
      <c r="A131" s="1" t="str">
        <f>IFERROR(_xlfn.XLOOKUP(B131,_曲线基线!$G$3:$G$107,_曲线基线!$J$3:$J$107,""),"")</f>
        <v/>
      </c>
      <c r="B131" s="1">
        <v>120</v>
      </c>
      <c r="C131" s="1">
        <f t="shared" si="153"/>
        <v>9</v>
      </c>
      <c r="D131" s="1">
        <f t="shared" si="154"/>
        <v>6</v>
      </c>
      <c r="E131" s="1">
        <f t="shared" si="90"/>
        <v>1</v>
      </c>
      <c r="F131" s="11">
        <f t="shared" si="113"/>
        <v>5</v>
      </c>
      <c r="G131" s="12">
        <f t="shared" ref="G131:L131" si="171">IF($B131&lt;G$8,0,G$3+(G$4-G$3)*(POWER(G$5,$B131-G$8)-1)/(POWER(G$5,$C$5-G$8)-1))</f>
        <v>0.762425929016977</v>
      </c>
      <c r="H131" s="12">
        <f t="shared" si="171"/>
        <v>0.620700226583625</v>
      </c>
      <c r="I131" s="12">
        <f t="shared" si="171"/>
        <v>0.446106881306637</v>
      </c>
      <c r="J131" s="12">
        <f t="shared" si="171"/>
        <v>0.505920204186881</v>
      </c>
      <c r="K131" s="12">
        <f t="shared" si="171"/>
        <v>0.222023331635647</v>
      </c>
      <c r="L131" s="12">
        <f t="shared" si="171"/>
        <v>0.619074014011946</v>
      </c>
      <c r="M131" s="2">
        <f>E131*模块规划!$F$10+G131*模块规划!$F$11+H131*模块规划!$F$13</f>
        <v>4659.64445928149</v>
      </c>
      <c r="N131" s="2">
        <f>I131*模块规划!$F$15+J131*模块规划!$F$17+K131*模块规划!$F$16+L131*模块规划!$F$18</f>
        <v>13055.5671521955</v>
      </c>
      <c r="O131" s="2">
        <f t="shared" si="92"/>
        <v>2.80933184003916</v>
      </c>
      <c r="P131" s="13">
        <f t="shared" si="93"/>
        <v>26146.0546949171</v>
      </c>
      <c r="Q131" s="7">
        <f>P131/(P131+_曲线基线!$L$2)</f>
        <v>0.521398041261405</v>
      </c>
      <c r="R131" s="2">
        <f>E131*模块规划!$E$10+G131*模块规划!$E$11+H131*模块规划!$E$13</f>
        <v>6989.46668892223</v>
      </c>
      <c r="S131" s="2">
        <f>I131*模块规划!$E$15+J131*模块规划!$E$17+K131*模块规划!$E$16+L131*模块规划!$E$18</f>
        <v>19583.3507282933</v>
      </c>
      <c r="T131" s="2">
        <f t="shared" si="94"/>
        <v>2.80933184003916</v>
      </c>
      <c r="U131" s="13">
        <f t="shared" si="95"/>
        <v>39219.0820423756</v>
      </c>
      <c r="V131" s="2">
        <f t="shared" si="96"/>
        <v>0.886210067975088</v>
      </c>
      <c r="W131" s="2">
        <f t="shared" si="97"/>
        <v>0.24828009063345</v>
      </c>
      <c r="X131" s="2">
        <f t="shared" si="98"/>
        <v>0.445692562310497</v>
      </c>
      <c r="Y131" s="2">
        <f t="shared" si="99"/>
        <v>1</v>
      </c>
      <c r="Z131" s="2">
        <f t="shared" si="100"/>
        <v>1</v>
      </c>
      <c r="AA131" s="2">
        <f t="shared" si="101"/>
        <v>1</v>
      </c>
      <c r="AB131" s="2">
        <f t="shared" si="102"/>
        <v>1</v>
      </c>
      <c r="AC131" s="2">
        <f t="shared" si="103"/>
        <v>1</v>
      </c>
      <c r="AD131" s="1">
        <f t="shared" si="104"/>
        <v>1.74596432945004</v>
      </c>
      <c r="AE131" s="2">
        <f t="shared" si="105"/>
        <v>1</v>
      </c>
      <c r="AF131" s="2">
        <f t="shared" si="106"/>
        <v>1.15969001665123</v>
      </c>
      <c r="AG131" s="2">
        <f t="shared" si="107"/>
        <v>1.28300619617635</v>
      </c>
      <c r="AH131" s="2">
        <f>MIN(1,_曲线基线!$L$3+AH$9*($H$10*H131+$I$10*I131+$J$10*J131+$K$10*K131+$L$10*L131))</f>
        <v>0.413294787881547</v>
      </c>
      <c r="AI131" s="2">
        <f>_曲线基线!$L$4+AI$9*($H$10*H131+$I$10*I131+$J$10*J131+$K$10*K131+$L$10*L131)</f>
        <v>3.01203548052717</v>
      </c>
      <c r="AJ131" s="2">
        <f t="shared" si="108"/>
        <v>1.83038808658639</v>
      </c>
      <c r="AK131" s="1">
        <f t="shared" si="109"/>
        <v>3.35247251749039</v>
      </c>
      <c r="AL131" s="1">
        <f t="shared" si="110"/>
        <v>1147804.76082404</v>
      </c>
      <c r="AM131" s="14">
        <f t="shared" si="111"/>
        <v>38.0443187466751</v>
      </c>
      <c r="AN131" s="14">
        <f>(((E131*模块规划!$D$10+G131*模块规划!$D$11+H131*模块规划!$D$13)*(1+模块规划!$G$14*H131)+(I131*模块规划!$D$15+J131*模块规划!$D$17+K131*模块规划!$D$16+L131*模块规划!$D$18))*(1+模块规划!$J$17*J131))*F131/(1-Q131)</f>
        <v>1705671.73200731</v>
      </c>
      <c r="AO131" s="1">
        <f t="shared" si="112"/>
        <v>43667450.1797408</v>
      </c>
      <c r="AP131" s="1">
        <f>IF(AO131="","",_xlfn.XLOOKUP(AO131,_曲线基线!$E$3:$E$502,_曲线基线!$A$3:$A$502,500,1))</f>
        <v>227</v>
      </c>
      <c r="AQ131" s="15">
        <f t="shared" si="115"/>
        <v>5</v>
      </c>
    </row>
    <row r="132" customHeight="1" spans="1:43">
      <c r="A132" s="1" t="str">
        <f>IFERROR(_xlfn.XLOOKUP(B132,_曲线基线!$G$3:$G$107,_曲线基线!$J$3:$J$107,""),"")</f>
        <v/>
      </c>
      <c r="B132" s="1">
        <v>121</v>
      </c>
      <c r="C132" s="1">
        <f t="shared" si="153"/>
        <v>9</v>
      </c>
      <c r="D132" s="1">
        <f t="shared" si="154"/>
        <v>7</v>
      </c>
      <c r="E132" s="1">
        <f t="shared" si="90"/>
        <v>1</v>
      </c>
      <c r="F132" s="11">
        <f t="shared" si="113"/>
        <v>5</v>
      </c>
      <c r="G132" s="12">
        <f t="shared" ref="G132:L132" si="172">IF($B132&lt;G$8,0,G$3+(G$4-G$3)*(POWER(G$5,$B132-G$8)-1)/(POWER(G$5,$C$5-G$8)-1))</f>
        <v>0.764694730536218</v>
      </c>
      <c r="H132" s="12">
        <f t="shared" si="172"/>
        <v>0.622352764291464</v>
      </c>
      <c r="I132" s="12">
        <f t="shared" si="172"/>
        <v>0.450355835023572</v>
      </c>
      <c r="J132" s="12">
        <f t="shared" si="172"/>
        <v>0.507880744594868</v>
      </c>
      <c r="K132" s="12">
        <f t="shared" si="172"/>
        <v>0.230941989937908</v>
      </c>
      <c r="L132" s="12">
        <f t="shared" si="172"/>
        <v>0.620760440563093</v>
      </c>
      <c r="M132" s="2">
        <f>E132*模块规划!$F$10+G132*模块规划!$F$11+H132*模块规划!$F$13</f>
        <v>4670.53470657385</v>
      </c>
      <c r="N132" s="2">
        <f>I132*模块规划!$F$15+J132*模块规划!$F$17+K132*模块规划!$F$16+L132*模块规划!$F$18</f>
        <v>13171.1082685802</v>
      </c>
      <c r="O132" s="2">
        <f t="shared" si="92"/>
        <v>2.82208248274951</v>
      </c>
      <c r="P132" s="13">
        <f t="shared" si="93"/>
        <v>26351.7424490759</v>
      </c>
      <c r="Q132" s="7">
        <f>P132/(P132+_曲线基线!$L$2)</f>
        <v>0.523353138686852</v>
      </c>
      <c r="R132" s="2">
        <f>E132*模块规划!$E$10+G132*模块规划!$E$11+H132*模块规划!$E$13</f>
        <v>7005.80205986077</v>
      </c>
      <c r="S132" s="2">
        <f>I132*模块规划!$E$15+J132*模块规划!$E$17+K132*模块规划!$E$16+L132*模块规划!$E$18</f>
        <v>19756.6624028703</v>
      </c>
      <c r="T132" s="2">
        <f t="shared" si="94"/>
        <v>2.82208248274951</v>
      </c>
      <c r="U132" s="13">
        <f t="shared" si="95"/>
        <v>39527.6136736138</v>
      </c>
      <c r="V132" s="2">
        <f t="shared" si="96"/>
        <v>0.886705829287439</v>
      </c>
      <c r="W132" s="2">
        <f t="shared" si="97"/>
        <v>0.248941105716586</v>
      </c>
      <c r="X132" s="2">
        <f t="shared" si="98"/>
        <v>0.446147010180153</v>
      </c>
      <c r="Y132" s="2">
        <f t="shared" si="99"/>
        <v>1</v>
      </c>
      <c r="Z132" s="2">
        <f t="shared" si="100"/>
        <v>1</v>
      </c>
      <c r="AA132" s="2">
        <f t="shared" si="101"/>
        <v>1</v>
      </c>
      <c r="AB132" s="2">
        <f t="shared" si="102"/>
        <v>1</v>
      </c>
      <c r="AC132" s="2">
        <f t="shared" si="103"/>
        <v>1</v>
      </c>
      <c r="AD132" s="1">
        <f t="shared" si="104"/>
        <v>1.74897966177721</v>
      </c>
      <c r="AE132" s="2">
        <f t="shared" si="105"/>
        <v>1</v>
      </c>
      <c r="AF132" s="2">
        <f t="shared" si="106"/>
        <v>1.16081537702</v>
      </c>
      <c r="AG132" s="2">
        <f t="shared" si="107"/>
        <v>1.28500058482989</v>
      </c>
      <c r="AH132" s="2">
        <f>MIN(1,_曲线基线!$L$3+AH$9*($H$10*H132+$I$10*I132+$J$10*J132+$K$10*K132+$L$10*L132))</f>
        <v>0.415854982720494</v>
      </c>
      <c r="AI132" s="2">
        <f>_曲线基线!$L$4+AI$9*($H$10*H132+$I$10*I132+$J$10*J132+$K$10*K132+$L$10*L132)</f>
        <v>3.01916745186423</v>
      </c>
      <c r="AJ132" s="2">
        <f t="shared" si="108"/>
        <v>1.83623996050399</v>
      </c>
      <c r="AK132" s="1">
        <f t="shared" si="109"/>
        <v>3.37809548364052</v>
      </c>
      <c r="AL132" s="1">
        <f t="shared" si="110"/>
        <v>1167689.24687919</v>
      </c>
      <c r="AM132" s="14">
        <f t="shared" si="111"/>
        <v>38.0881865740637</v>
      </c>
      <c r="AN132" s="14">
        <f>(((E132*模块规划!$D$10+G132*模块规划!$D$11+H132*模块规划!$D$13)*(1+模块规划!$G$14*H132)+(I132*模块规划!$D$15+J132*模块规划!$D$17+K132*模块规划!$D$16+L132*模块规划!$D$18))*(1+模块规划!$J$17*J132))*F132/(1-Q132)</f>
        <v>1726947.90977525</v>
      </c>
      <c r="AO132" s="1">
        <f t="shared" si="112"/>
        <v>44475165.8956626</v>
      </c>
      <c r="AP132" s="1">
        <f>IF(AO132="","",_xlfn.XLOOKUP(AO132,_曲线基线!$E$3:$E$502,_曲线基线!$A$3:$A$502,500,1))</f>
        <v>228</v>
      </c>
      <c r="AQ132" s="15">
        <f t="shared" si="115"/>
        <v>5</v>
      </c>
    </row>
    <row r="133" customHeight="1" spans="1:43">
      <c r="A133" s="1" t="str">
        <f>IFERROR(_xlfn.XLOOKUP(B133,_曲线基线!$G$3:$G$107,_曲线基线!$J$3:$J$107,""),"")</f>
        <v/>
      </c>
      <c r="B133" s="1">
        <v>122</v>
      </c>
      <c r="C133" s="1">
        <f t="shared" si="153"/>
        <v>9</v>
      </c>
      <c r="D133" s="1">
        <f t="shared" si="154"/>
        <v>8</v>
      </c>
      <c r="E133" s="1">
        <f t="shared" si="90"/>
        <v>1</v>
      </c>
      <c r="F133" s="11">
        <f t="shared" si="113"/>
        <v>5</v>
      </c>
      <c r="G133" s="12">
        <f t="shared" ref="G133:L133" si="173">IF($B133&lt;G$8,0,G$3+(G$4-G$3)*(POWER(G$5,$B133-G$8)-1)/(POWER(G$5,$C$5-G$8)-1))</f>
        <v>0.76692950003267</v>
      </c>
      <c r="H133" s="12">
        <f t="shared" si="173"/>
        <v>0.623972251245146</v>
      </c>
      <c r="I133" s="12">
        <f t="shared" si="173"/>
        <v>0.454519809666169</v>
      </c>
      <c r="J133" s="12">
        <f t="shared" si="173"/>
        <v>0.509802074194694</v>
      </c>
      <c r="K133" s="12">
        <f t="shared" si="173"/>
        <v>0.239682275074123</v>
      </c>
      <c r="L133" s="12">
        <f t="shared" si="173"/>
        <v>0.622413138583217</v>
      </c>
      <c r="M133" s="2">
        <f>E133*模块规划!$F$10+G133*模块规划!$F$11+H133*模块规划!$F$13</f>
        <v>4681.26160015682</v>
      </c>
      <c r="N133" s="2">
        <f>I133*模块规划!$F$15+J133*模块规划!$F$17+K133*模块规划!$F$16+L133*模块规划!$F$18</f>
        <v>13284.3385626371</v>
      </c>
      <c r="O133" s="2">
        <f t="shared" si="92"/>
        <v>2.83457811260566</v>
      </c>
      <c r="P133" s="13">
        <f t="shared" si="93"/>
        <v>26553.740233823</v>
      </c>
      <c r="Q133" s="7">
        <f>P133/(P133+_曲线基线!$L$2)</f>
        <v>0.525257678482456</v>
      </c>
      <c r="R133" s="2">
        <f>E133*模块规划!$E$10+G133*模块规划!$E$11+H133*模块规划!$E$13</f>
        <v>7021.89240023523</v>
      </c>
      <c r="S133" s="2">
        <f>I133*模块规划!$E$15+J133*模块规划!$E$17+K133*模块规划!$E$16+L133*模块规划!$E$18</f>
        <v>19926.5078439557</v>
      </c>
      <c r="T133" s="2">
        <f t="shared" si="94"/>
        <v>2.83457811260566</v>
      </c>
      <c r="U133" s="13">
        <f t="shared" si="95"/>
        <v>39830.6103507345</v>
      </c>
      <c r="V133" s="2">
        <f t="shared" si="96"/>
        <v>0.887191675373544</v>
      </c>
      <c r="W133" s="2">
        <f t="shared" si="97"/>
        <v>0.249588900498058</v>
      </c>
      <c r="X133" s="2">
        <f t="shared" si="98"/>
        <v>0.446592369092415</v>
      </c>
      <c r="Y133" s="2">
        <f t="shared" si="99"/>
        <v>1</v>
      </c>
      <c r="Z133" s="2">
        <f t="shared" si="100"/>
        <v>1</v>
      </c>
      <c r="AA133" s="2">
        <f t="shared" si="101"/>
        <v>1</v>
      </c>
      <c r="AB133" s="2">
        <f t="shared" si="102"/>
        <v>1</v>
      </c>
      <c r="AC133" s="2">
        <f t="shared" si="103"/>
        <v>1</v>
      </c>
      <c r="AD133" s="1">
        <f t="shared" si="104"/>
        <v>1.75193788955609</v>
      </c>
      <c r="AE133" s="2">
        <f t="shared" si="105"/>
        <v>1</v>
      </c>
      <c r="AF133" s="2">
        <f t="shared" si="106"/>
        <v>1.16191823018139</v>
      </c>
      <c r="AG133" s="2">
        <f t="shared" si="107"/>
        <v>1.28695508571036</v>
      </c>
      <c r="AH133" s="2">
        <f>MIN(1,_曲线基线!$L$3+AH$9*($H$10*H133+$I$10*I133+$J$10*J133+$K$10*K133+$L$10*L133))</f>
        <v>0.418363973662662</v>
      </c>
      <c r="AI133" s="2">
        <f>_曲线基线!$L$4+AI$9*($H$10*H133+$I$10*I133+$J$10*J133+$K$10*K133+$L$10*L133)</f>
        <v>3.02615678377456</v>
      </c>
      <c r="AJ133" s="2">
        <f t="shared" si="108"/>
        <v>1.84197479694323</v>
      </c>
      <c r="AK133" s="1">
        <f t="shared" si="109"/>
        <v>3.40336342116467</v>
      </c>
      <c r="AL133" s="1">
        <f t="shared" si="110"/>
        <v>1187446.35278777</v>
      </c>
      <c r="AM133" s="14">
        <f t="shared" si="111"/>
        <v>38.1324930797262</v>
      </c>
      <c r="AN133" s="14">
        <f>(((E133*模块规划!$D$10+G133*模块规划!$D$11+H133*模块规划!$D$13)*(1+模块规划!$G$14*H133)+(I133*模块规划!$D$15+J133*模块规划!$D$17+K133*模块规划!$D$16+L133*模块规划!$D$18))*(1+模块规划!$J$17*J133))*F133/(1-Q133)</f>
        <v>1747969.81789031</v>
      </c>
      <c r="AO133" s="1">
        <f t="shared" si="112"/>
        <v>45280289.8302258</v>
      </c>
      <c r="AP133" s="1">
        <f>IF(AO133="","",_xlfn.XLOOKUP(AO133,_曲线基线!$E$3:$E$502,_曲线基线!$A$3:$A$502,500,1))</f>
        <v>229</v>
      </c>
      <c r="AQ133" s="15">
        <f t="shared" si="115"/>
        <v>5</v>
      </c>
    </row>
    <row r="134" customHeight="1" spans="1:43">
      <c r="A134" s="1" t="str">
        <f>IFERROR(_xlfn.XLOOKUP(B134,_曲线基线!$G$3:$G$107,_曲线基线!$J$3:$J$107,""),"")</f>
        <v/>
      </c>
      <c r="B134" s="1">
        <v>123</v>
      </c>
      <c r="C134" s="1">
        <f t="shared" si="153"/>
        <v>9</v>
      </c>
      <c r="D134" s="1">
        <f t="shared" si="154"/>
        <v>9</v>
      </c>
      <c r="E134" s="1">
        <f t="shared" si="90"/>
        <v>1</v>
      </c>
      <c r="F134" s="11">
        <f t="shared" si="113"/>
        <v>5</v>
      </c>
      <c r="G134" s="12">
        <f t="shared" ref="G134:L134" si="174">IF($B134&lt;G$8,0,G$3+(G$4-G$3)*(POWER(G$5,$B134-G$8)-1)/(POWER(G$5,$C$5-G$8)-1))</f>
        <v>0.769130747986676</v>
      </c>
      <c r="H134" s="12">
        <f t="shared" si="174"/>
        <v>0.625559348459754</v>
      </c>
      <c r="I134" s="12">
        <f t="shared" si="174"/>
        <v>0.458600504815914</v>
      </c>
      <c r="J134" s="12">
        <f t="shared" si="174"/>
        <v>0.511684977202524</v>
      </c>
      <c r="K134" s="12">
        <f t="shared" si="174"/>
        <v>0.248247754507615</v>
      </c>
      <c r="L134" s="12">
        <f t="shared" si="174"/>
        <v>0.624032782642938</v>
      </c>
      <c r="M134" s="2">
        <f>E134*模块规划!$F$10+G134*模块规划!$F$11+H134*模块规划!$F$13</f>
        <v>4691.82759033605</v>
      </c>
      <c r="N134" s="2">
        <f>I134*模块规划!$F$15+J134*模块规划!$F$17+K134*模块规划!$F$16+L134*模块规划!$F$18</f>
        <v>13395.3042508129</v>
      </c>
      <c r="O134" s="2">
        <f t="shared" si="92"/>
        <v>2.84682382986468</v>
      </c>
      <c r="P134" s="13">
        <f t="shared" si="93"/>
        <v>26752.1108405982</v>
      </c>
      <c r="Q134" s="7">
        <f>P134/(P134+_曲线基线!$L$2)</f>
        <v>0.527113264798404</v>
      </c>
      <c r="R134" s="2">
        <f>E134*模块规划!$E$10+G134*模块规划!$E$11+H134*模块规划!$E$13</f>
        <v>7037.74138550407</v>
      </c>
      <c r="S134" s="2">
        <f>I134*模块规划!$E$15+J134*模块规划!$E$17+K134*模块规划!$E$16+L134*模块规划!$E$18</f>
        <v>20092.9563762194</v>
      </c>
      <c r="T134" s="2">
        <f t="shared" si="94"/>
        <v>2.84682382986468</v>
      </c>
      <c r="U134" s="13">
        <f t="shared" si="95"/>
        <v>40128.1662608973</v>
      </c>
      <c r="V134" s="2">
        <f t="shared" si="96"/>
        <v>0.887667804537926</v>
      </c>
      <c r="W134" s="2">
        <f t="shared" si="97"/>
        <v>0.250223739383902</v>
      </c>
      <c r="X134" s="2">
        <f t="shared" si="98"/>
        <v>0.447028820826432</v>
      </c>
      <c r="Y134" s="2">
        <f t="shared" si="99"/>
        <v>1</v>
      </c>
      <c r="Z134" s="2">
        <f t="shared" si="100"/>
        <v>1</v>
      </c>
      <c r="AA134" s="2">
        <f t="shared" si="101"/>
        <v>1</v>
      </c>
      <c r="AB134" s="2">
        <f t="shared" si="102"/>
        <v>1</v>
      </c>
      <c r="AC134" s="2">
        <f t="shared" si="103"/>
        <v>1</v>
      </c>
      <c r="AD134" s="1">
        <f t="shared" si="104"/>
        <v>1.75484002807454</v>
      </c>
      <c r="AE134" s="2">
        <f t="shared" si="105"/>
        <v>1</v>
      </c>
      <c r="AF134" s="2">
        <f t="shared" si="106"/>
        <v>1.16299902627956</v>
      </c>
      <c r="AG134" s="2">
        <f t="shared" si="107"/>
        <v>1.28887049657321</v>
      </c>
      <c r="AH134" s="2">
        <f>MIN(1,_曲线基线!$L$3+AH$9*($H$10*H134+$I$10*I134+$J$10*J134+$K$10*K134+$L$10*L134))</f>
        <v>0.420822784785987</v>
      </c>
      <c r="AI134" s="2">
        <f>_曲线基线!$L$4+AI$9*($H$10*H134+$I$10*I134+$J$10*J134+$K$10*K134+$L$10*L134)</f>
        <v>3.03300632904668</v>
      </c>
      <c r="AJ134" s="2">
        <f t="shared" si="108"/>
        <v>1.84759493665369</v>
      </c>
      <c r="AK134" s="1">
        <f t="shared" si="109"/>
        <v>3.42827778188042</v>
      </c>
      <c r="AL134" s="1">
        <f t="shared" si="110"/>
        <v>1207071.10760456</v>
      </c>
      <c r="AM134" s="14">
        <f t="shared" si="111"/>
        <v>38.1772426504453</v>
      </c>
      <c r="AN134" s="14">
        <f>(((E134*模块规划!$D$10+G134*模块规划!$D$11+H134*模块规划!$D$13)*(1+模块规划!$G$14*H134)+(I134*模块规划!$D$15+J134*模块规划!$D$17+K134*模块规划!$D$16+L134*模块规划!$D$18))*(1+模块规划!$J$17*J134))*F134/(1-Q134)</f>
        <v>1768737.04064223</v>
      </c>
      <c r="AO134" s="1">
        <f t="shared" si="112"/>
        <v>46082646.5713611</v>
      </c>
      <c r="AP134" s="1">
        <f>IF(AO134="","",_xlfn.XLOOKUP(AO134,_曲线基线!$E$3:$E$502,_曲线基线!$A$3:$A$502,500,1))</f>
        <v>230</v>
      </c>
      <c r="AQ134" s="15">
        <f t="shared" si="115"/>
        <v>5</v>
      </c>
    </row>
    <row r="135" customHeight="1" spans="1:43">
      <c r="A135" s="1" t="str">
        <f>IFERROR(_xlfn.XLOOKUP(B135,_曲线基线!$G$3:$G$107,_曲线基线!$J$3:$J$107,""),"")</f>
        <v/>
      </c>
      <c r="B135" s="1">
        <v>124</v>
      </c>
      <c r="C135" s="1">
        <f t="shared" si="153"/>
        <v>9</v>
      </c>
      <c r="D135" s="1">
        <f t="shared" si="154"/>
        <v>10</v>
      </c>
      <c r="E135" s="1">
        <f t="shared" si="90"/>
        <v>1</v>
      </c>
      <c r="F135" s="11">
        <f t="shared" si="113"/>
        <v>5</v>
      </c>
      <c r="G135" s="12">
        <f t="shared" ref="G135:L135" si="175">IF($B135&lt;G$8,0,G$3+(G$4-G$3)*(POWER(G$5,$B135-G$8)-1)/(POWER(G$5,$C$5-G$8)-1))</f>
        <v>0.771298977221372</v>
      </c>
      <c r="H135" s="12">
        <f t="shared" si="175"/>
        <v>0.62711470373007</v>
      </c>
      <c r="I135" s="12">
        <f t="shared" si="175"/>
        <v>0.462599586062663</v>
      </c>
      <c r="J135" s="12">
        <f t="shared" si="175"/>
        <v>0.513530222150198</v>
      </c>
      <c r="K135" s="12">
        <f t="shared" si="175"/>
        <v>0.256641924352436</v>
      </c>
      <c r="L135" s="12">
        <f t="shared" si="175"/>
        <v>0.625620033821465</v>
      </c>
      <c r="M135" s="2">
        <f>E135*模块规划!$F$10+G135*模块规划!$F$11+H135*模块规划!$F$13</f>
        <v>4702.23509066259</v>
      </c>
      <c r="N135" s="2">
        <f>I135*模块规划!$F$15+J135*模块规划!$F$17+K135*模块规划!$F$16+L135*模块规划!$F$18</f>
        <v>13504.0506252252</v>
      </c>
      <c r="O135" s="2">
        <f t="shared" si="92"/>
        <v>2.85882463277852</v>
      </c>
      <c r="P135" s="13">
        <f t="shared" si="93"/>
        <v>26946.916131527</v>
      </c>
      <c r="Q135" s="7">
        <f>P135/(P135+_曲线基线!$L$2)</f>
        <v>0.528921437795362</v>
      </c>
      <c r="R135" s="2">
        <f>E135*模块规划!$E$10+G135*模块规划!$E$11+H135*模块规划!$E$13</f>
        <v>7053.35263599388</v>
      </c>
      <c r="S135" s="2">
        <f>I135*模块规划!$E$15+J135*模块规划!$E$17+K135*模块规划!$E$16+L135*模块规划!$E$18</f>
        <v>20256.0759378378</v>
      </c>
      <c r="T135" s="2">
        <f t="shared" si="94"/>
        <v>2.85882463277852</v>
      </c>
      <c r="U135" s="13">
        <f t="shared" si="95"/>
        <v>40420.3741972905</v>
      </c>
      <c r="V135" s="2">
        <f t="shared" si="96"/>
        <v>0.888134411119021</v>
      </c>
      <c r="W135" s="2">
        <f t="shared" si="97"/>
        <v>0.250845881492028</v>
      </c>
      <c r="X135" s="2">
        <f t="shared" si="98"/>
        <v>0.447456543525769</v>
      </c>
      <c r="Y135" s="2">
        <f t="shared" si="99"/>
        <v>1</v>
      </c>
      <c r="Z135" s="2">
        <f t="shared" si="100"/>
        <v>1</v>
      </c>
      <c r="AA135" s="2">
        <f t="shared" si="101"/>
        <v>1</v>
      </c>
      <c r="AB135" s="2">
        <f t="shared" si="102"/>
        <v>1</v>
      </c>
      <c r="AC135" s="2">
        <f t="shared" si="103"/>
        <v>1</v>
      </c>
      <c r="AD135" s="1">
        <f t="shared" si="104"/>
        <v>1.75768707733608</v>
      </c>
      <c r="AE135" s="2">
        <f t="shared" si="105"/>
        <v>1</v>
      </c>
      <c r="AF135" s="2">
        <f t="shared" si="106"/>
        <v>1.16405820645576</v>
      </c>
      <c r="AG135" s="2">
        <f t="shared" si="107"/>
        <v>1.29074759921882</v>
      </c>
      <c r="AH135" s="2">
        <f>MIN(1,_曲线基线!$L$3+AH$9*($H$10*H135+$I$10*I135+$J$10*J135+$K$10*K135+$L$10*L135))</f>
        <v>0.423232419686846</v>
      </c>
      <c r="AI135" s="2">
        <f>_曲线基线!$L$4+AI$9*($H$10*H135+$I$10*I135+$J$10*J135+$K$10*K135+$L$10*L135)</f>
        <v>3.03971888341336</v>
      </c>
      <c r="AJ135" s="2">
        <f t="shared" si="108"/>
        <v>1.85310267356993</v>
      </c>
      <c r="AK135" s="1">
        <f t="shared" si="109"/>
        <v>3.45284017782759</v>
      </c>
      <c r="AL135" s="1">
        <f t="shared" si="110"/>
        <v>1226558.79355257</v>
      </c>
      <c r="AM135" s="14">
        <f t="shared" si="111"/>
        <v>38.2224397168716</v>
      </c>
      <c r="AN135" s="14">
        <f>(((E135*模块规划!$D$10+G135*模块规划!$D$11+H135*模块规划!$D$13)*(1+模块规划!$G$14*H135)+(I135*模块规划!$D$15+J135*模块规划!$D$17+K135*模块规划!$D$16+L135*模块规划!$D$18))*(1+模块规划!$J$17*J135))*F135/(1-Q135)</f>
        <v>1789249.34234598</v>
      </c>
      <c r="AO135" s="1">
        <f t="shared" si="112"/>
        <v>46882069.5457618</v>
      </c>
      <c r="AP135" s="1">
        <f>IF(AO135="","",_xlfn.XLOOKUP(AO135,_曲线基线!$E$3:$E$502,_曲线基线!$A$3:$A$502,500,1))</f>
        <v>232</v>
      </c>
      <c r="AQ135" s="15">
        <f t="shared" si="115"/>
        <v>5</v>
      </c>
    </row>
    <row r="136" customHeight="1" spans="1:43">
      <c r="A136" s="1" t="str">
        <f>IFERROR(_xlfn.XLOOKUP(B136,_曲线基线!$G$3:$G$107,_曲线基线!$J$3:$J$107,""),"")</f>
        <v/>
      </c>
      <c r="B136" s="1">
        <v>125</v>
      </c>
      <c r="C136" s="1">
        <f t="shared" si="153"/>
        <v>9</v>
      </c>
      <c r="D136" s="1">
        <f t="shared" si="154"/>
        <v>11</v>
      </c>
      <c r="E136" s="1">
        <f t="shared" si="90"/>
        <v>1</v>
      </c>
      <c r="F136" s="11">
        <f t="shared" si="113"/>
        <v>5</v>
      </c>
      <c r="G136" s="12">
        <f t="shared" ref="G136:L136" si="176">IF($B136&lt;G$8,0,G$3+(G$4-G$3)*(POWER(G$5,$B136-G$8)-1)/(POWER(G$5,$C$5-G$8)-1))</f>
        <v>0.773434683017547</v>
      </c>
      <c r="H136" s="12">
        <f t="shared" si="176"/>
        <v>0.62863895189498</v>
      </c>
      <c r="I136" s="12">
        <f t="shared" si="176"/>
        <v>0.466518685684478</v>
      </c>
      <c r="J136" s="12">
        <f t="shared" si="176"/>
        <v>0.515338562198918</v>
      </c>
      <c r="K136" s="12">
        <f t="shared" si="176"/>
        <v>0.264868210800361</v>
      </c>
      <c r="L136" s="12">
        <f t="shared" si="176"/>
        <v>0.627175539976421</v>
      </c>
      <c r="M136" s="2">
        <f>E136*模块规划!$F$10+G136*模块规划!$F$11+H136*模块规划!$F$13</f>
        <v>4712.48647848423</v>
      </c>
      <c r="N136" s="2">
        <f>I136*模块规划!$F$15+J136*模块规划!$F$17+K136*模块规划!$F$16+L136*模块规划!$F$18</f>
        <v>13610.6220721493</v>
      </c>
      <c r="O136" s="2">
        <f t="shared" si="92"/>
        <v>2.87058541963409</v>
      </c>
      <c r="P136" s="13">
        <f t="shared" si="93"/>
        <v>27138.2170475089</v>
      </c>
      <c r="Q136" s="7">
        <f>P136/(P136+_曲线基线!$L$2)</f>
        <v>0.530683676794924</v>
      </c>
      <c r="R136" s="2">
        <f>E136*模块规划!$E$10+G136*模块规划!$E$11+H136*模块规划!$E$13</f>
        <v>7068.72971772634</v>
      </c>
      <c r="S136" s="2">
        <f>I136*模块规划!$E$15+J136*模块规划!$E$17+K136*模块规划!$E$16+L136*模块规划!$E$18</f>
        <v>20415.9331082239</v>
      </c>
      <c r="T136" s="2">
        <f t="shared" si="94"/>
        <v>2.87058541963409</v>
      </c>
      <c r="U136" s="13">
        <f t="shared" si="95"/>
        <v>40707.3255712633</v>
      </c>
      <c r="V136" s="2">
        <f t="shared" si="96"/>
        <v>0.888591685568494</v>
      </c>
      <c r="W136" s="2">
        <f t="shared" si="97"/>
        <v>0.251455580757992</v>
      </c>
      <c r="X136" s="2">
        <f t="shared" si="98"/>
        <v>0.44787571177112</v>
      </c>
      <c r="Y136" s="2">
        <f t="shared" si="99"/>
        <v>1</v>
      </c>
      <c r="Z136" s="2">
        <f t="shared" si="100"/>
        <v>1</v>
      </c>
      <c r="AA136" s="2">
        <f t="shared" si="101"/>
        <v>1</v>
      </c>
      <c r="AB136" s="2">
        <f t="shared" si="102"/>
        <v>1</v>
      </c>
      <c r="AC136" s="2">
        <f t="shared" si="103"/>
        <v>1</v>
      </c>
      <c r="AD136" s="1">
        <f t="shared" si="104"/>
        <v>1.76048002216673</v>
      </c>
      <c r="AE136" s="2">
        <f t="shared" si="105"/>
        <v>1</v>
      </c>
      <c r="AF136" s="2">
        <f t="shared" si="106"/>
        <v>1.16509620302843</v>
      </c>
      <c r="AG136" s="2">
        <f t="shared" si="107"/>
        <v>1.2925871598115</v>
      </c>
      <c r="AH136" s="2">
        <f>MIN(1,_曲线基线!$L$3+AH$9*($H$10*H136+$I$10*I136+$J$10*J136+$K$10*K136+$L$10*L136))</f>
        <v>0.425593861889687</v>
      </c>
      <c r="AI136" s="2">
        <f>_曲线基线!$L$4+AI$9*($H$10*H136+$I$10*I136+$J$10*J136+$K$10*K136+$L$10*L136)</f>
        <v>3.0462971866927</v>
      </c>
      <c r="AJ136" s="2">
        <f t="shared" si="108"/>
        <v>1.85850025574786</v>
      </c>
      <c r="AK136" s="1">
        <f t="shared" si="109"/>
        <v>3.47705237259401</v>
      </c>
      <c r="AL136" s="1">
        <f t="shared" si="110"/>
        <v>1245904.94133842</v>
      </c>
      <c r="AM136" s="14">
        <f t="shared" si="111"/>
        <v>38.2680887539622</v>
      </c>
      <c r="AN136" s="14">
        <f>(((E136*模块规划!$D$10+G136*模块规划!$D$11+H136*模块规划!$D$13)*(1+模块规划!$G$14*H136)+(I136*模块规划!$D$15+J136*模块规划!$D$17+K136*模块规划!$D$16+L136*模块规划!$D$18))*(1+模块规划!$J$17*J136))*F136/(1-Q136)</f>
        <v>1809506.65898856</v>
      </c>
      <c r="AO136" s="1">
        <f t="shared" si="112"/>
        <v>47678400.8741388</v>
      </c>
      <c r="AP136" s="1">
        <f>IF(AO136="","",_xlfn.XLOOKUP(AO136,_曲线基线!$E$3:$E$502,_曲线基线!$A$3:$A$502,500,1))</f>
        <v>233</v>
      </c>
      <c r="AQ136" s="15">
        <f t="shared" si="115"/>
        <v>5</v>
      </c>
    </row>
    <row r="137" customHeight="1" spans="1:43">
      <c r="A137" s="1" t="str">
        <f>IFERROR(_xlfn.XLOOKUP(B137,_曲线基线!$G$3:$G$107,_曲线基线!$J$3:$J$107,""),"")</f>
        <v/>
      </c>
      <c r="B137" s="1">
        <v>126</v>
      </c>
      <c r="C137" s="1">
        <f t="shared" si="153"/>
        <v>9</v>
      </c>
      <c r="D137" s="1">
        <f t="shared" si="154"/>
        <v>12</v>
      </c>
      <c r="E137" s="1">
        <f t="shared" si="90"/>
        <v>1</v>
      </c>
      <c r="F137" s="11">
        <f t="shared" si="113"/>
        <v>5</v>
      </c>
      <c r="G137" s="12">
        <f t="shared" ref="G137:L137" si="177">IF($B137&lt;G$8,0,G$3+(G$4-G$3)*(POWER(G$5,$B137-G$8)-1)/(POWER(G$5,$C$5-G$8)-1))</f>
        <v>0.77553835322678</v>
      </c>
      <c r="H137" s="12">
        <f t="shared" si="177"/>
        <v>0.630132715096592</v>
      </c>
      <c r="I137" s="12">
        <f t="shared" si="177"/>
        <v>0.470359403313857</v>
      </c>
      <c r="J137" s="12">
        <f t="shared" si="177"/>
        <v>0.517110735446663</v>
      </c>
      <c r="K137" s="12">
        <f t="shared" si="177"/>
        <v>0.272929971519327</v>
      </c>
      <c r="L137" s="12">
        <f t="shared" si="177"/>
        <v>0.628699936008279</v>
      </c>
      <c r="M137" s="2">
        <f>E137*模块规划!$F$10+G137*模块规划!$F$11+H137*模块规划!$F$13</f>
        <v>4722.58409548854</v>
      </c>
      <c r="N137" s="2">
        <f>I137*模块规划!$F$15+J137*模块规划!$F$17+K137*模块规划!$F$16+L137*模块规划!$F$18</f>
        <v>13715.0620901348</v>
      </c>
      <c r="O137" s="2">
        <f t="shared" si="92"/>
        <v>2.88211099075254</v>
      </c>
      <c r="P137" s="13">
        <f t="shared" si="93"/>
        <v>27326.0736164955</v>
      </c>
      <c r="Q137" s="7">
        <f>P137/(P137+_曲线基线!$L$2)</f>
        <v>0.532401403245334</v>
      </c>
      <c r="R137" s="2">
        <f>E137*模块规划!$E$10+G137*模块规划!$E$11+H137*模块规划!$E$13</f>
        <v>7083.87614323281</v>
      </c>
      <c r="S137" s="2">
        <f>I137*模块规划!$E$15+J137*模块规划!$E$17+K137*模块规划!$E$16+L137*模块规划!$E$18</f>
        <v>20572.5931352023</v>
      </c>
      <c r="T137" s="2">
        <f t="shared" si="94"/>
        <v>2.88211099075254</v>
      </c>
      <c r="U137" s="13">
        <f t="shared" si="95"/>
        <v>40989.1104247433</v>
      </c>
      <c r="V137" s="2">
        <f t="shared" si="96"/>
        <v>0.889039814528978</v>
      </c>
      <c r="W137" s="2">
        <f t="shared" si="97"/>
        <v>0.252053086038637</v>
      </c>
      <c r="X137" s="2">
        <f t="shared" si="98"/>
        <v>0.448286496651563</v>
      </c>
      <c r="Y137" s="2">
        <f t="shared" si="99"/>
        <v>1</v>
      </c>
      <c r="Z137" s="2">
        <f t="shared" si="100"/>
        <v>1</v>
      </c>
      <c r="AA137" s="2">
        <f t="shared" si="101"/>
        <v>1</v>
      </c>
      <c r="AB137" s="2">
        <f t="shared" si="102"/>
        <v>1</v>
      </c>
      <c r="AC137" s="2">
        <f t="shared" si="103"/>
        <v>1</v>
      </c>
      <c r="AD137" s="1">
        <f t="shared" si="104"/>
        <v>1.76321983232754</v>
      </c>
      <c r="AE137" s="2">
        <f t="shared" si="105"/>
        <v>1</v>
      </c>
      <c r="AF137" s="2">
        <f t="shared" si="106"/>
        <v>1.16611343966966</v>
      </c>
      <c r="AG137" s="2">
        <f t="shared" si="107"/>
        <v>1.29438992919234</v>
      </c>
      <c r="AH137" s="2">
        <f>MIN(1,_曲线基线!$L$3+AH$9*($H$10*H137+$I$10*I137+$J$10*J137+$K$10*K137+$L$10*L137))</f>
        <v>0.427908075248471</v>
      </c>
      <c r="AI137" s="2">
        <f>_曲线基线!$L$4+AI$9*($H$10*H137+$I$10*I137+$J$10*J137+$K$10*K137+$L$10*L137)</f>
        <v>3.05274392390646</v>
      </c>
      <c r="AJ137" s="2">
        <f t="shared" si="108"/>
        <v>1.86378988628222</v>
      </c>
      <c r="AK137" s="1">
        <f t="shared" si="109"/>
        <v>3.50091627291233</v>
      </c>
      <c r="AL137" s="1">
        <f t="shared" si="110"/>
        <v>1265105.32528304</v>
      </c>
      <c r="AM137" s="14">
        <f t="shared" si="111"/>
        <v>38.3141942814237</v>
      </c>
      <c r="AN137" s="14">
        <f>(((E137*模块规划!$D$10+G137*模块规划!$D$11+H137*模块规划!$D$13)*(1+模块规划!$G$14*H137)+(I137*模块规划!$D$15+J137*模块规划!$D$17+K137*模块规划!$D$16+L137*模块规划!$D$18))*(1+模块规划!$J$17*J137))*F137/(1-Q137)</f>
        <v>1829509.09013156</v>
      </c>
      <c r="AO137" s="1">
        <f t="shared" si="112"/>
        <v>48471491.219358</v>
      </c>
      <c r="AP137" s="1">
        <f>IF(AO137="","",_xlfn.XLOOKUP(AO137,_曲线基线!$E$3:$E$502,_曲线基线!$A$3:$A$502,500,1))</f>
        <v>234</v>
      </c>
      <c r="AQ137" s="15">
        <f t="shared" si="115"/>
        <v>5</v>
      </c>
    </row>
    <row r="138" customHeight="1" spans="1:43">
      <c r="A138" s="1" t="str">
        <f>IFERROR(_xlfn.XLOOKUP(B138,_曲线基线!$G$3:$G$107,_曲线基线!$J$3:$J$107,""),"")</f>
        <v/>
      </c>
      <c r="B138" s="1">
        <v>127</v>
      </c>
      <c r="C138" s="1">
        <f t="shared" si="153"/>
        <v>9</v>
      </c>
      <c r="D138" s="1">
        <f t="shared" si="154"/>
        <v>13</v>
      </c>
      <c r="E138" s="1">
        <f t="shared" si="90"/>
        <v>1</v>
      </c>
      <c r="F138" s="11">
        <f t="shared" si="113"/>
        <v>5</v>
      </c>
      <c r="G138" s="12">
        <f t="shared" ref="G138:L138" si="178">IF($B138&lt;G$8,0,G$3+(G$4-G$3)*(POWER(G$5,$B138-G$8)-1)/(POWER(G$5,$C$5-G$8)-1))</f>
        <v>0.777610468382874</v>
      </c>
      <c r="H138" s="12">
        <f t="shared" si="178"/>
        <v>0.631596603034172</v>
      </c>
      <c r="I138" s="12">
        <f t="shared" si="178"/>
        <v>0.474123306590648</v>
      </c>
      <c r="J138" s="12">
        <f t="shared" si="178"/>
        <v>0.518847465229454</v>
      </c>
      <c r="K138" s="12">
        <f t="shared" si="178"/>
        <v>0.280830497023914</v>
      </c>
      <c r="L138" s="12">
        <f t="shared" si="178"/>
        <v>0.630193844119499</v>
      </c>
      <c r="M138" s="2">
        <f>E138*模块规划!$F$10+G138*模块规划!$F$11+H138*模块规划!$F$13</f>
        <v>4732.5302482378</v>
      </c>
      <c r="N138" s="2">
        <f>I138*模块规划!$F$15+J138*模块规划!$F$17+K138*模块规划!$F$16+L138*模块规划!$F$18</f>
        <v>13817.4133077607</v>
      </c>
      <c r="O138" s="2">
        <f t="shared" si="92"/>
        <v>2.89340605044863</v>
      </c>
      <c r="P138" s="13">
        <f t="shared" si="93"/>
        <v>27510.5449619431</v>
      </c>
      <c r="Q138" s="7">
        <f>P138/(P138+_曲线基线!$L$2)</f>
        <v>0.534075983514994</v>
      </c>
      <c r="R138" s="2">
        <f>E138*模块规划!$E$10+G138*模块规划!$E$11+H138*模块规划!$E$13</f>
        <v>7098.79537235669</v>
      </c>
      <c r="S138" s="2">
        <f>I138*模块规划!$E$15+J138*模块规划!$E$17+K138*模块规划!$E$16+L138*模块规划!$E$18</f>
        <v>20726.1199616411</v>
      </c>
      <c r="T138" s="2">
        <f t="shared" si="94"/>
        <v>2.89340605044863</v>
      </c>
      <c r="U138" s="13">
        <f t="shared" si="95"/>
        <v>41265.8174429146</v>
      </c>
      <c r="V138" s="2">
        <f t="shared" si="96"/>
        <v>0.889478980910251</v>
      </c>
      <c r="W138" s="2">
        <f t="shared" si="97"/>
        <v>0.252638641213669</v>
      </c>
      <c r="X138" s="2">
        <f t="shared" si="98"/>
        <v>0.448689065834397</v>
      </c>
      <c r="Y138" s="2">
        <f t="shared" si="99"/>
        <v>1</v>
      </c>
      <c r="Z138" s="2">
        <f t="shared" si="100"/>
        <v>1</v>
      </c>
      <c r="AA138" s="2">
        <f t="shared" si="101"/>
        <v>1</v>
      </c>
      <c r="AB138" s="2">
        <f t="shared" si="102"/>
        <v>1</v>
      </c>
      <c r="AC138" s="2">
        <f t="shared" si="103"/>
        <v>1</v>
      </c>
      <c r="AD138" s="1">
        <f t="shared" si="104"/>
        <v>1.76590746263254</v>
      </c>
      <c r="AE138" s="2">
        <f t="shared" si="105"/>
        <v>1</v>
      </c>
      <c r="AF138" s="2">
        <f t="shared" si="106"/>
        <v>1.16711033157806</v>
      </c>
      <c r="AG138" s="2">
        <f t="shared" si="107"/>
        <v>1.29615664318556</v>
      </c>
      <c r="AH138" s="2">
        <f>MIN(1,_曲线基线!$L$3+AH$9*($H$10*H138+$I$10*I138+$J$10*J138+$K$10*K138+$L$10*L138))</f>
        <v>0.43017600434008</v>
      </c>
      <c r="AI138" s="2">
        <f>_曲线基线!$L$4+AI$9*($H$10*H138+$I$10*I138+$J$10*J138+$K$10*K138+$L$10*L138)</f>
        <v>3.05906172637594</v>
      </c>
      <c r="AJ138" s="2">
        <f t="shared" si="108"/>
        <v>1.8689737242059</v>
      </c>
      <c r="AK138" s="1">
        <f t="shared" si="109"/>
        <v>3.52443392052558</v>
      </c>
      <c r="AL138" s="1">
        <f t="shared" si="110"/>
        <v>1284155.95829055</v>
      </c>
      <c r="AM138" s="14">
        <f t="shared" si="111"/>
        <v>38.3607608641598</v>
      </c>
      <c r="AN138" s="14">
        <f>(((E138*模块规划!$D$10+G138*模块规划!$D$11+H138*模块规划!$D$13)*(1+模块规划!$G$14*H138)+(I138*模块规划!$D$15+J138*模块规划!$D$17+K138*模块规划!$D$16+L138*模块规划!$D$18))*(1+模块规划!$J$17*J138))*F138/(1-Q138)</f>
        <v>1849256.89106573</v>
      </c>
      <c r="AO138" s="1">
        <f t="shared" si="112"/>
        <v>49261199.6282697</v>
      </c>
      <c r="AP138" s="1">
        <f>IF(AO138="","",_xlfn.XLOOKUP(AO138,_曲线基线!$E$3:$E$502,_曲线基线!$A$3:$A$502,500,1))</f>
        <v>235</v>
      </c>
      <c r="AQ138" s="15">
        <f t="shared" si="115"/>
        <v>5</v>
      </c>
    </row>
    <row r="139" customHeight="1" spans="1:43">
      <c r="A139" s="1" t="str">
        <f>IFERROR(_xlfn.XLOOKUP(B139,_曲线基线!$G$3:$G$107,_曲线基线!$J$3:$J$107,""),"")</f>
        <v/>
      </c>
      <c r="B139" s="1">
        <v>128</v>
      </c>
      <c r="C139" s="1">
        <f t="shared" si="153"/>
        <v>9</v>
      </c>
      <c r="D139" s="1">
        <f t="shared" si="154"/>
        <v>14</v>
      </c>
      <c r="E139" s="1">
        <f t="shared" si="90"/>
        <v>1</v>
      </c>
      <c r="F139" s="11">
        <f t="shared" si="113"/>
        <v>5</v>
      </c>
      <c r="G139" s="12">
        <f t="shared" ref="G139:L139" si="179">IF($B139&lt;G$8,0,G$3+(G$4-G$3)*(POWER(G$5,$B139-G$8)-1)/(POWER(G$5,$C$5-G$8)-1))</f>
        <v>0.779651501811627</v>
      </c>
      <c r="H139" s="12">
        <f t="shared" si="179"/>
        <v>0.633031213213</v>
      </c>
      <c r="I139" s="12">
        <f t="shared" si="179"/>
        <v>0.477811931801903</v>
      </c>
      <c r="J139" s="12">
        <f t="shared" si="179"/>
        <v>0.520549460416589</v>
      </c>
      <c r="K139" s="12">
        <f t="shared" si="179"/>
        <v>0.288573012018409</v>
      </c>
      <c r="L139" s="12">
        <f t="shared" si="179"/>
        <v>0.631657874068495</v>
      </c>
      <c r="M139" s="2">
        <f>E139*模块规划!$F$10+G139*模块规划!$F$11+H139*模块规划!$F$13</f>
        <v>4742.32720869581</v>
      </c>
      <c r="N139" s="2">
        <f>I139*模块规划!$F$15+J139*模块规划!$F$17+K139*模块规划!$F$16+L139*模块规划!$F$18</f>
        <v>13917.717501034</v>
      </c>
      <c r="O139" s="2">
        <f t="shared" si="92"/>
        <v>2.90447520895079</v>
      </c>
      <c r="P139" s="13">
        <f t="shared" si="93"/>
        <v>27691.6893114238</v>
      </c>
      <c r="Q139" s="7">
        <f>P139/(P139+_曲线基线!$L$2)</f>
        <v>0.535708731525321</v>
      </c>
      <c r="R139" s="2">
        <f>E139*模块规划!$E$10+G139*模块规划!$E$11+H139*模块规划!$E$13</f>
        <v>7113.49081304371</v>
      </c>
      <c r="S139" s="2">
        <f>I139*模块规划!$E$15+J139*模块规划!$E$17+K139*模块规划!$E$16+L139*模块规划!$E$18</f>
        <v>20876.5762515511</v>
      </c>
      <c r="T139" s="2">
        <f t="shared" si="94"/>
        <v>2.90447520895079</v>
      </c>
      <c r="U139" s="13">
        <f t="shared" si="95"/>
        <v>41537.5339671357</v>
      </c>
      <c r="V139" s="2">
        <f t="shared" si="96"/>
        <v>0.8899093639639</v>
      </c>
      <c r="W139" s="2">
        <f t="shared" si="97"/>
        <v>0.2532124852852</v>
      </c>
      <c r="X139" s="2">
        <f t="shared" si="98"/>
        <v>0.449083583633575</v>
      </c>
      <c r="Y139" s="2">
        <f t="shared" si="99"/>
        <v>1</v>
      </c>
      <c r="Z139" s="2">
        <f t="shared" si="100"/>
        <v>1</v>
      </c>
      <c r="AA139" s="2">
        <f t="shared" si="101"/>
        <v>1</v>
      </c>
      <c r="AB139" s="2">
        <f t="shared" si="102"/>
        <v>1</v>
      </c>
      <c r="AC139" s="2">
        <f t="shared" si="103"/>
        <v>1</v>
      </c>
      <c r="AD139" s="1">
        <f t="shared" si="104"/>
        <v>1.76854385307149</v>
      </c>
      <c r="AE139" s="2">
        <f t="shared" si="105"/>
        <v>1</v>
      </c>
      <c r="AF139" s="2">
        <f t="shared" si="106"/>
        <v>1.16808728564829</v>
      </c>
      <c r="AG139" s="2">
        <f t="shared" si="107"/>
        <v>1.29788802289891</v>
      </c>
      <c r="AH139" s="2">
        <f>MIN(1,_曲线基线!$L$3+AH$9*($H$10*H139+$I$10*I139+$J$10*J139+$K$10*K139+$L$10*L139))</f>
        <v>0.432398574849857</v>
      </c>
      <c r="AI139" s="2">
        <f>_曲线基线!$L$4+AI$9*($H$10*H139+$I$10*I139+$J$10*J139+$K$10*K139+$L$10*L139)</f>
        <v>3.06525317279603</v>
      </c>
      <c r="AJ139" s="2">
        <f t="shared" si="108"/>
        <v>1.8740538853711</v>
      </c>
      <c r="AK139" s="1">
        <f t="shared" si="109"/>
        <v>3.54760748431863</v>
      </c>
      <c r="AL139" s="1">
        <f t="shared" si="110"/>
        <v>1303053.0866769</v>
      </c>
      <c r="AM139" s="14">
        <f t="shared" si="111"/>
        <v>38.4077931127233</v>
      </c>
      <c r="AN139" s="14">
        <f>(((E139*模块规划!$D$10+G139*模块规划!$D$11+H139*模块规划!$D$13)*(1+模块规划!$G$14*H139)+(I139*模块规划!$D$15+J139*模块规划!$D$17+K139*模块规划!$D$16+L139*模块规划!$D$18))*(1+模块规划!$J$17*J139))*F139/(1-Q139)</f>
        <v>1868750.46521378</v>
      </c>
      <c r="AO139" s="1">
        <f t="shared" si="112"/>
        <v>50047393.367982</v>
      </c>
      <c r="AP139" s="1">
        <f>IF(AO139="","",_xlfn.XLOOKUP(AO139,_曲线基线!$E$3:$E$502,_曲线基线!$A$3:$A$502,500,1))</f>
        <v>236</v>
      </c>
      <c r="AQ139" s="15">
        <f t="shared" si="115"/>
        <v>5</v>
      </c>
    </row>
    <row r="140" customHeight="1" spans="1:43">
      <c r="A140" s="1" t="str">
        <f>IFERROR(_xlfn.XLOOKUP(B140,_曲线基线!$G$3:$G$107,_曲线基线!$J$3:$J$107,""),"")</f>
        <v/>
      </c>
      <c r="B140" s="1">
        <v>129</v>
      </c>
      <c r="C140" s="1">
        <f t="shared" si="153"/>
        <v>9</v>
      </c>
      <c r="D140" s="1">
        <f t="shared" si="154"/>
        <v>15</v>
      </c>
      <c r="E140" s="1">
        <f t="shared" ref="E140:E203" si="180">IF($B140&lt;E$8,0,E$3+(E$4-E$3)*(POWER(E$5,$B140-E$8)-1)/(POWER(E$5,$C$5-E$8)-1))</f>
        <v>1</v>
      </c>
      <c r="F140" s="11">
        <f t="shared" si="113"/>
        <v>5</v>
      </c>
      <c r="G140" s="12">
        <f t="shared" ref="G140:L140" si="181">IF($B140&lt;G$8,0,G$3+(G$4-G$3)*(POWER(G$5,$B140-G$8)-1)/(POWER(G$5,$C$5-G$8)-1))</f>
        <v>0.781661919738948</v>
      </c>
      <c r="H140" s="12">
        <f t="shared" si="181"/>
        <v>0.634437131188251</v>
      </c>
      <c r="I140" s="12">
        <f t="shared" si="181"/>
        <v>0.481426784508933</v>
      </c>
      <c r="J140" s="12">
        <f t="shared" si="181"/>
        <v>0.522217415699981</v>
      </c>
      <c r="K140" s="12">
        <f t="shared" si="181"/>
        <v>0.296160676713015</v>
      </c>
      <c r="L140" s="12">
        <f t="shared" si="181"/>
        <v>0.63309262341851</v>
      </c>
      <c r="M140" s="2">
        <f>E140*模块规划!$F$10+G140*模块规划!$F$11+H140*模块规划!$F$13</f>
        <v>4751.97721474695</v>
      </c>
      <c r="N140" s="2">
        <f>I140*模块规划!$F$15+J140*模块规划!$F$17+K140*模块规划!$F$16+L140*模块规划!$F$18</f>
        <v>14016.0156104419</v>
      </c>
      <c r="O140" s="2">
        <f t="shared" ref="O140:O203" si="182">1+O$9*SUMPRODUCT($H$10:$L$10,H140:L140)/SUM($H$10:$L$10)</f>
        <v>2.91532298428291</v>
      </c>
      <c r="P140" s="13">
        <f t="shared" ref="P140:P203" si="183">M140*O140+N140</f>
        <v>27869.5640053824</v>
      </c>
      <c r="Q140" s="7">
        <f>P140/(P140+_曲线基线!$L$2)</f>
        <v>0.537300911233617</v>
      </c>
      <c r="R140" s="2">
        <f>E140*模块规划!$E$10+G140*模块规划!$E$11+H140*模块规划!$E$13</f>
        <v>7127.96582212043</v>
      </c>
      <c r="S140" s="2">
        <f>I140*模块规划!$E$15+J140*模块规划!$E$17+K140*模块规划!$E$16+L140*模块规划!$E$18</f>
        <v>21024.0234156629</v>
      </c>
      <c r="T140" s="2">
        <f t="shared" ref="T140:T203" si="184">1+T$9*SUMPRODUCT($H$10:$L$10,H140:L140)/SUM($H$10:$L$10)</f>
        <v>2.91532298428291</v>
      </c>
      <c r="U140" s="13">
        <f t="shared" ref="U140:U203" si="185">R140*T140+S140</f>
        <v>41804.3460080736</v>
      </c>
      <c r="V140" s="2">
        <f t="shared" ref="V140:V203" si="186">V$8+(V$9-V$8)*H140</f>
        <v>0.890331139356475</v>
      </c>
      <c r="W140" s="2">
        <f t="shared" ref="W140:W203" si="187">IF(B140&lt;$H$8,0,W$8+(W$9-W$8)*H140)</f>
        <v>0.2537748524753</v>
      </c>
      <c r="X140" s="2">
        <f t="shared" ref="X140:X203" si="188">X$8+(X$9-X$8)*H140</f>
        <v>0.449470211076769</v>
      </c>
      <c r="Y140" s="2">
        <f t="shared" ref="Y140:Y203" si="189">Y$8+(Y$9-Y$8)*G140</f>
        <v>1</v>
      </c>
      <c r="Z140" s="2">
        <f t="shared" ref="Z140:Z203" si="190">Z$8+(Z$9-Z$8)*H140</f>
        <v>1</v>
      </c>
      <c r="AA140" s="2">
        <f t="shared" ref="AA140:AA203" si="191">AA$8+(AA$9-AA$8)*I140</f>
        <v>1</v>
      </c>
      <c r="AB140" s="2">
        <f t="shared" ref="AB140:AB203" si="192">AB$8+(AB$9-AB$8)*J140</f>
        <v>1</v>
      </c>
      <c r="AC140" s="2">
        <f t="shared" ref="AC140:AC203" si="193">AC$8+(AC$9-AC$8)*MAX(K140,L140)</f>
        <v>1</v>
      </c>
      <c r="AD140" s="1">
        <f t="shared" ref="AD140:AD203" si="194">(V140*AE140+W140*AF140+X140*AG140)*PRODUCT(Y140:AC140)</f>
        <v>1.77112992893719</v>
      </c>
      <c r="AE140" s="2">
        <f t="shared" ref="AE140:AE203" si="195">1+AE$9*($H$10*H140+$I$10*I140+$J$10*J140+$K$10*K140+$L$10*L140)</f>
        <v>1</v>
      </c>
      <c r="AF140" s="2">
        <f t="shared" ref="AF140:AF203" si="196">1+AF$9*($H$10*H140+$I$10*I140+$J$10*J140+$K$10*K140+$L$10*L140)</f>
        <v>1.16904470063712</v>
      </c>
      <c r="AG140" s="2">
        <f t="shared" ref="AG140:AG203" si="197">1+AG$9*($H$10*H140+$I$10*I140+$J$10*J140+$K$10*K140+$L$10*L140)</f>
        <v>1.299584775018</v>
      </c>
      <c r="AH140" s="2">
        <f>MIN(1,_曲线基线!$L$3+AH$9*($H$10*H140+$I$10*I140+$J$10*J140+$K$10*K140+$L$10*L140))</f>
        <v>0.434576693949438</v>
      </c>
      <c r="AI140" s="2">
        <f>_曲线基线!$L$4+AI$9*($H$10*H140+$I$10*I140+$J$10*J140+$K$10*K140+$L$10*L140)</f>
        <v>3.07132079028772</v>
      </c>
      <c r="AJ140" s="2">
        <f t="shared" ref="AJ140:AJ203" si="198">1+AJ$9*($H$10*H140+$I$10*I140+$J$10*J140+$K$10*K140+$L$10*L140)</f>
        <v>1.879032443313</v>
      </c>
      <c r="AK140" s="1">
        <f t="shared" ref="AK140:AK203" si="199">(1+AH140*(AI140-1))*AJ140</f>
        <v>3.57043925271247</v>
      </c>
      <c r="AL140" s="1">
        <f t="shared" ref="AL140:AL203" si="200">U140*AD140*AK140*F140</f>
        <v>1321793.18487874</v>
      </c>
      <c r="AM140" s="14">
        <f t="shared" ref="AM140:AM203" si="201">IF($B140&lt;AM$8,0,AM$3+(AM$4-AM$3)*(POWER(AM$5,$B140-AM$8)-1)/(POWER(AM$5,$C$5-AM$8)-1))</f>
        <v>38.4552956837724</v>
      </c>
      <c r="AN140" s="14">
        <f>(((E140*模块规划!$D$10+G140*模块规划!$D$11+H140*模块规划!$D$13)*(1+模块规划!$G$14*H140)+(I140*模块规划!$D$15+J140*模块规划!$D$17+K140*模块规划!$D$16+L140*模块规划!$D$18))*(1+模块规划!$J$17*J140))*F140/(1-Q140)</f>
        <v>1887990.3567772</v>
      </c>
      <c r="AO140" s="1">
        <f t="shared" ref="AO140:AO203" si="202">AL140*AM140</f>
        <v>50829947.7573072</v>
      </c>
      <c r="AP140" s="1">
        <f>IF(AO140="","",_xlfn.XLOOKUP(AO140,_曲线基线!$E$3:$E$502,_曲线基线!$A$3:$A$502,500,1))</f>
        <v>237</v>
      </c>
      <c r="AQ140" s="15">
        <f t="shared" si="115"/>
        <v>5</v>
      </c>
    </row>
    <row r="141" customHeight="1" spans="1:43">
      <c r="A141" s="1" t="str">
        <f>IFERROR(_xlfn.XLOOKUP(B141,_曲线基线!$G$3:$G$107,_曲线基线!$J$3:$J$107,""),"")</f>
        <v/>
      </c>
      <c r="B141" s="1">
        <v>130</v>
      </c>
      <c r="C141" s="1">
        <f t="shared" si="153"/>
        <v>10</v>
      </c>
      <c r="D141" s="1">
        <f t="shared" si="154"/>
        <v>1</v>
      </c>
      <c r="E141" s="1">
        <f t="shared" si="180"/>
        <v>1</v>
      </c>
      <c r="F141" s="11">
        <f t="shared" ref="F141:F204" si="203">1+IF(B141&lt;3,0,MIN(1,(B141-2)/4))+IF(B141&lt;7,0,MIN(1,(B141-6)/3))+IF(B141&lt;10,0,MIN(1,(B141-9)/5))+IF(B141&lt;20,0,MIN(1,(B141-19)/10))</f>
        <v>5</v>
      </c>
      <c r="G141" s="12">
        <f t="shared" ref="G141:L141" si="204">IF($B141&lt;G$8,0,G$3+(G$4-G$3)*(POWER(G$5,$B141-G$8)-1)/(POWER(G$5,$C$5-G$8)-1))</f>
        <v>0.78364218139736</v>
      </c>
      <c r="H141" s="12">
        <f t="shared" si="204"/>
        <v>0.635814930803997</v>
      </c>
      <c r="I141" s="12">
        <f t="shared" si="204"/>
        <v>0.484969340161823</v>
      </c>
      <c r="J141" s="12">
        <f t="shared" si="204"/>
        <v>0.523852011877705</v>
      </c>
      <c r="K141" s="12">
        <f t="shared" si="204"/>
        <v>0.303596588113728</v>
      </c>
      <c r="L141" s="12">
        <f t="shared" si="204"/>
        <v>0.634498677781526</v>
      </c>
      <c r="M141" s="2">
        <f>E141*模块规划!$F$10+G141*模块规划!$F$11+H141*模块规划!$F$13</f>
        <v>4761.48247070733</v>
      </c>
      <c r="N141" s="2">
        <f>I141*模块规划!$F$15+J141*模块规划!$F$17+K141*模块规划!$F$16+L141*模块规划!$F$18</f>
        <v>14112.3477576616</v>
      </c>
      <c r="O141" s="2">
        <f t="shared" si="182"/>
        <v>2.92595380410839</v>
      </c>
      <c r="P141" s="13">
        <f t="shared" si="183"/>
        <v>28044.2255060232</v>
      </c>
      <c r="Q141" s="7">
        <f>P141/(P141+_曲线基线!$L$2)</f>
        <v>0.538853738975855</v>
      </c>
      <c r="R141" s="2">
        <f>E141*模块规划!$E$10+G141*模块规划!$E$11+H141*模块规划!$E$13</f>
        <v>7142.22370606099</v>
      </c>
      <c r="S141" s="2">
        <f>I141*模块规划!$E$15+J141*模块规划!$E$17+K141*模块规划!$E$16+L141*模块规划!$E$18</f>
        <v>21168.5216364924</v>
      </c>
      <c r="T141" s="2">
        <f t="shared" si="184"/>
        <v>2.92595380410839</v>
      </c>
      <c r="U141" s="13">
        <f t="shared" si="185"/>
        <v>42066.3382590347</v>
      </c>
      <c r="V141" s="2">
        <f t="shared" si="186"/>
        <v>0.890744479241199</v>
      </c>
      <c r="W141" s="2">
        <f t="shared" si="187"/>
        <v>0.254325972321599</v>
      </c>
      <c r="X141" s="2">
        <f t="shared" si="188"/>
        <v>0.449849105971099</v>
      </c>
      <c r="Y141" s="2">
        <f t="shared" si="189"/>
        <v>1</v>
      </c>
      <c r="Z141" s="2">
        <f t="shared" si="190"/>
        <v>1</v>
      </c>
      <c r="AA141" s="2">
        <f t="shared" si="191"/>
        <v>1</v>
      </c>
      <c r="AB141" s="2">
        <f t="shared" si="192"/>
        <v>1</v>
      </c>
      <c r="AC141" s="2">
        <f t="shared" si="193"/>
        <v>1</v>
      </c>
      <c r="AD141" s="1">
        <f t="shared" si="194"/>
        <v>1.77366660095699</v>
      </c>
      <c r="AE141" s="2">
        <f t="shared" si="195"/>
        <v>1</v>
      </c>
      <c r="AF141" s="2">
        <f t="shared" si="196"/>
        <v>1.16998296732617</v>
      </c>
      <c r="AG141" s="2">
        <f t="shared" si="197"/>
        <v>1.30124759209471</v>
      </c>
      <c r="AH141" s="2">
        <f>MIN(1,_曲线基线!$L$3+AH$9*($H$10*H141+$I$10*I141+$J$10*J141+$K$10*K141+$L$10*L141))</f>
        <v>0.436711250667027</v>
      </c>
      <c r="AI141" s="2">
        <f>_曲线基线!$L$4+AI$9*($H$10*H141+$I$10*I141+$J$10*J141+$K$10*K141+$L$10*L141)</f>
        <v>3.07726705542957</v>
      </c>
      <c r="AJ141" s="2">
        <f t="shared" si="198"/>
        <v>1.88391143009606</v>
      </c>
      <c r="AK141" s="1">
        <f t="shared" si="199"/>
        <v>3.59293162631758</v>
      </c>
      <c r="AL141" s="1">
        <f t="shared" si="200"/>
        <v>1340372.9500617</v>
      </c>
      <c r="AM141" s="14">
        <f t="shared" si="201"/>
        <v>38.503273280532</v>
      </c>
      <c r="AN141" s="14">
        <f>(((E141*模块规划!$D$10+G141*模块规划!$D$11+H141*模块规划!$D$13)*(1+模块规划!$G$14*H141)+(I141*模块规划!$D$15+J141*模块规划!$D$17+K141*模块规划!$D$16+L141*模块规划!$D$18))*(1+模块规划!$J$17*J141))*F141/(1-Q141)</f>
        <v>1906977.24362305</v>
      </c>
      <c r="AO141" s="1">
        <f t="shared" si="202"/>
        <v>51608745.9940585</v>
      </c>
      <c r="AP141" s="1">
        <f>IF(AO141="","",_xlfn.XLOOKUP(AO141,_曲线基线!$E$3:$E$502,_曲线基线!$A$3:$A$502,500,1))</f>
        <v>238</v>
      </c>
      <c r="AQ141" s="15">
        <f t="shared" ref="AQ141:AQ204" si="205">IF(B141&lt;=2,1,IF(B141&lt;=6,2,IF(B141&lt;=9,3,IF(B141&lt;=19,4,5))))</f>
        <v>5</v>
      </c>
    </row>
    <row r="142" customHeight="1" spans="1:43">
      <c r="A142" s="1" t="str">
        <f>IFERROR(_xlfn.XLOOKUP(B142,_曲线基线!$G$3:$G$107,_曲线基线!$J$3:$J$107,""),"")</f>
        <v/>
      </c>
      <c r="B142" s="1">
        <v>131</v>
      </c>
      <c r="C142" s="1">
        <f t="shared" si="153"/>
        <v>10</v>
      </c>
      <c r="D142" s="1">
        <f t="shared" si="154"/>
        <v>2</v>
      </c>
      <c r="E142" s="1">
        <f t="shared" si="180"/>
        <v>1</v>
      </c>
      <c r="F142" s="11">
        <f t="shared" si="203"/>
        <v>5</v>
      </c>
      <c r="G142" s="12">
        <f t="shared" ref="G142:L142" si="206">IF($B142&lt;G$8,0,G$3+(G$4-G$3)*(POWER(G$5,$B142-G$8)-1)/(POWER(G$5,$C$5-G$8)-1))</f>
        <v>0.785592739130895</v>
      </c>
      <c r="H142" s="12">
        <f t="shared" si="206"/>
        <v>0.637165174427429</v>
      </c>
      <c r="I142" s="12">
        <f t="shared" si="206"/>
        <v>0.488441044701655</v>
      </c>
      <c r="J142" s="12">
        <f t="shared" si="206"/>
        <v>0.525453916131875</v>
      </c>
      <c r="K142" s="12">
        <f t="shared" si="206"/>
        <v>0.310883781286427</v>
      </c>
      <c r="L142" s="12">
        <f t="shared" si="206"/>
        <v>0.635876611057281</v>
      </c>
      <c r="M142" s="2">
        <f>E142*模块规划!$F$10+G142*模块规划!$F$11+H142*模块规划!$F$13</f>
        <v>4770.8451478283</v>
      </c>
      <c r="N142" s="2">
        <f>I142*模块规划!$F$15+J142*模块规划!$F$17+K142*模块规划!$F$16+L142*模块规划!$F$18</f>
        <v>14206.753261937</v>
      </c>
      <c r="O142" s="2">
        <f t="shared" si="182"/>
        <v>2.93637200753736</v>
      </c>
      <c r="P142" s="13">
        <f t="shared" si="183"/>
        <v>28215.7294063154</v>
      </c>
      <c r="Q142" s="7">
        <f>P142/(P142+_曲线基线!$L$2)</f>
        <v>0.540368385678488</v>
      </c>
      <c r="R142" s="2">
        <f>E142*模块规划!$E$10+G142*模块规划!$E$11+H142*模块规划!$E$13</f>
        <v>7156.26772174245</v>
      </c>
      <c r="S142" s="2">
        <f>I142*模块规划!$E$15+J142*模块规划!$E$17+K142*模块规划!$E$16+L142*模块规划!$E$18</f>
        <v>21310.1298929054</v>
      </c>
      <c r="T142" s="2">
        <f t="shared" si="184"/>
        <v>2.93637200753736</v>
      </c>
      <c r="U142" s="13">
        <f t="shared" si="185"/>
        <v>42323.5941094731</v>
      </c>
      <c r="V142" s="2">
        <f t="shared" si="186"/>
        <v>0.891149552328229</v>
      </c>
      <c r="W142" s="2">
        <f t="shared" si="187"/>
        <v>0.254866069770971</v>
      </c>
      <c r="X142" s="2">
        <f t="shared" si="188"/>
        <v>0.450220422967543</v>
      </c>
      <c r="Y142" s="2">
        <f t="shared" si="189"/>
        <v>1</v>
      </c>
      <c r="Z142" s="2">
        <f t="shared" si="190"/>
        <v>1</v>
      </c>
      <c r="AA142" s="2">
        <f t="shared" si="191"/>
        <v>1</v>
      </c>
      <c r="AB142" s="2">
        <f t="shared" si="192"/>
        <v>1</v>
      </c>
      <c r="AC142" s="2">
        <f t="shared" si="193"/>
        <v>1</v>
      </c>
      <c r="AD142" s="1">
        <f t="shared" si="194"/>
        <v>1.77615476542801</v>
      </c>
      <c r="AE142" s="2">
        <f t="shared" si="195"/>
        <v>1</v>
      </c>
      <c r="AF142" s="2">
        <f t="shared" si="196"/>
        <v>1.17090246868144</v>
      </c>
      <c r="AG142" s="2">
        <f t="shared" si="197"/>
        <v>1.30287715282988</v>
      </c>
      <c r="AH142" s="2">
        <f>MIN(1,_曲线基线!$L$3+AH$9*($H$10*H142+$I$10*I142+$J$10*J142+$K$10*K142+$L$10*L142))</f>
        <v>0.438803116250264</v>
      </c>
      <c r="AI142" s="2">
        <f>_曲线基线!$L$4+AI$9*($H$10*H142+$I$10*I142+$J$10*J142+$K$10*K142+$L$10*L142)</f>
        <v>3.08309439526859</v>
      </c>
      <c r="AJ142" s="2">
        <f t="shared" si="198"/>
        <v>1.88869283714346</v>
      </c>
      <c r="AK142" s="1">
        <f t="shared" si="199"/>
        <v>3.6150871108426</v>
      </c>
      <c r="AL142" s="1">
        <f t="shared" si="200"/>
        <v>1358789.29664625</v>
      </c>
      <c r="AM142" s="14">
        <f t="shared" si="201"/>
        <v>38.5517306532592</v>
      </c>
      <c r="AN142" s="14">
        <f>(((E142*模块规划!$D$10+G142*模块规划!$D$11+H142*模块规划!$D$13)*(1+模块规划!$G$14*H142)+(I142*模块规划!$D$15+J142*模块规划!$D$17+K142*模块规划!$D$16+L142*模块规划!$D$18))*(1+模块规划!$J$17*J142))*F142/(1-Q142)</f>
        <v>1925711.93040602</v>
      </c>
      <c r="AO142" s="1">
        <f t="shared" si="202"/>
        <v>52383678.9788376</v>
      </c>
      <c r="AP142" s="1">
        <f>IF(AO142="","",_xlfn.XLOOKUP(AO142,_曲线基线!$E$3:$E$502,_曲线基线!$A$3:$A$502,500,1))</f>
        <v>239</v>
      </c>
      <c r="AQ142" s="15">
        <f t="shared" si="205"/>
        <v>5</v>
      </c>
    </row>
    <row r="143" customHeight="1" spans="1:43">
      <c r="A143" s="1" t="str">
        <f>IFERROR(_xlfn.XLOOKUP(B143,_曲线基线!$G$3:$G$107,_曲线基线!$J$3:$J$107,""),"")</f>
        <v/>
      </c>
      <c r="B143" s="1">
        <v>132</v>
      </c>
      <c r="C143" s="1">
        <f t="shared" si="153"/>
        <v>10</v>
      </c>
      <c r="D143" s="1">
        <f t="shared" si="154"/>
        <v>3</v>
      </c>
      <c r="E143" s="1">
        <f t="shared" si="180"/>
        <v>1</v>
      </c>
      <c r="F143" s="11">
        <f t="shared" si="203"/>
        <v>5</v>
      </c>
      <c r="G143" s="12">
        <f t="shared" ref="G143:L143" si="207">IF($B143&lt;G$8,0,G$3+(G$4-G$3)*(POWER(G$5,$B143-G$8)-1)/(POWER(G$5,$C$5-G$8)-1))</f>
        <v>0.787514038498428</v>
      </c>
      <c r="H143" s="12">
        <f t="shared" si="207"/>
        <v>0.638488413178392</v>
      </c>
      <c r="I143" s="12">
        <f t="shared" si="207"/>
        <v>0.49184331515069</v>
      </c>
      <c r="J143" s="12">
        <f t="shared" si="207"/>
        <v>0.527023782300961</v>
      </c>
      <c r="K143" s="12">
        <f t="shared" si="207"/>
        <v>0.318025230595672</v>
      </c>
      <c r="L143" s="12">
        <f t="shared" si="207"/>
        <v>0.637226985667521</v>
      </c>
      <c r="M143" s="2">
        <f>E143*模块规划!$F$10+G143*模块规划!$F$11+H143*模块规划!$F$13</f>
        <v>4780.06738479245</v>
      </c>
      <c r="N143" s="2">
        <f>I143*模块规划!$F$15+J143*模块规划!$F$17+K143*模块规划!$F$16+L143*模块规划!$F$18</f>
        <v>14299.2706561268</v>
      </c>
      <c r="O143" s="2">
        <f t="shared" si="182"/>
        <v>2.94658184689775</v>
      </c>
      <c r="P143" s="13">
        <f t="shared" si="183"/>
        <v>28384.1304391042</v>
      </c>
      <c r="Q143" s="7">
        <f>P143/(P143+_曲线基线!$L$2)</f>
        <v>0.541845978947772</v>
      </c>
      <c r="R143" s="2">
        <f>E143*模块规划!$E$10+G143*模块规划!$E$11+H143*模块规划!$E$13</f>
        <v>7170.10107718868</v>
      </c>
      <c r="S143" s="2">
        <f>I143*模块规划!$E$15+J143*模块规划!$E$17+K143*模块规划!$E$16+L143*模块规划!$E$18</f>
        <v>21448.9059841901</v>
      </c>
      <c r="T143" s="2">
        <f t="shared" si="184"/>
        <v>2.94658184689775</v>
      </c>
      <c r="U143" s="13">
        <f t="shared" si="185"/>
        <v>42576.1956586563</v>
      </c>
      <c r="V143" s="2">
        <f t="shared" si="186"/>
        <v>0.891546523953517</v>
      </c>
      <c r="W143" s="2">
        <f t="shared" si="187"/>
        <v>0.255395365271357</v>
      </c>
      <c r="X143" s="2">
        <f t="shared" si="188"/>
        <v>0.450584313624058</v>
      </c>
      <c r="Y143" s="2">
        <f t="shared" si="189"/>
        <v>1</v>
      </c>
      <c r="Z143" s="2">
        <f t="shared" si="190"/>
        <v>1</v>
      </c>
      <c r="AA143" s="2">
        <f t="shared" si="191"/>
        <v>1</v>
      </c>
      <c r="AB143" s="2">
        <f t="shared" si="192"/>
        <v>1</v>
      </c>
      <c r="AC143" s="2">
        <f t="shared" si="193"/>
        <v>1</v>
      </c>
      <c r="AD143" s="1">
        <f t="shared" si="194"/>
        <v>1.77859530435593</v>
      </c>
      <c r="AE143" s="2">
        <f t="shared" si="195"/>
        <v>1</v>
      </c>
      <c r="AF143" s="2">
        <f t="shared" si="196"/>
        <v>1.1718035800096</v>
      </c>
      <c r="AG143" s="2">
        <f t="shared" si="197"/>
        <v>1.30447412235035</v>
      </c>
      <c r="AH143" s="2">
        <f>MIN(1,_曲线基线!$L$3+AH$9*($H$10*H143+$I$10*I143+$J$10*J143+$K$10*K143+$L$10*L143))</f>
        <v>0.440853144521837</v>
      </c>
      <c r="AI143" s="2">
        <f>_曲线基线!$L$4+AI$9*($H$10*H143+$I$10*I143+$J$10*J143+$K$10*K143+$L$10*L143)</f>
        <v>3.08880518831083</v>
      </c>
      <c r="AJ143" s="2">
        <f t="shared" si="198"/>
        <v>1.89337861604991</v>
      </c>
      <c r="AK143" s="1">
        <f t="shared" si="199"/>
        <v>3.63690831025398</v>
      </c>
      <c r="AL143" s="1">
        <f t="shared" si="200"/>
        <v>1377039.3507681</v>
      </c>
      <c r="AM143" s="14">
        <f t="shared" si="201"/>
        <v>38.6006725997136</v>
      </c>
      <c r="AN143" s="14">
        <f>(((E143*模块规划!$D$10+G143*模块规划!$D$11+H143*模块规划!$D$13)*(1+模块规划!$G$14*H143)+(I143*模块规划!$D$15+J143*模块规划!$D$17+K143*模块规划!$D$16+L143*模块规划!$D$18))*(1+模块规划!$J$17*J143))*F143/(1-Q143)</f>
        <v>1944195.3419215</v>
      </c>
      <c r="AO143" s="1">
        <f t="shared" si="202"/>
        <v>53154645.1359217</v>
      </c>
      <c r="AP143" s="1">
        <f>IF(AO143="","",_xlfn.XLOOKUP(AO143,_曲线基线!$E$3:$E$502,_曲线基线!$A$3:$A$502,500,1))</f>
        <v>240</v>
      </c>
      <c r="AQ143" s="15">
        <f t="shared" si="205"/>
        <v>5</v>
      </c>
    </row>
    <row r="144" customHeight="1" spans="1:43">
      <c r="A144" s="1" t="str">
        <f>IFERROR(_xlfn.XLOOKUP(B144,_曲线基线!$G$3:$G$107,_曲线基线!$J$3:$J$107,""),"")</f>
        <v/>
      </c>
      <c r="B144" s="1">
        <v>133</v>
      </c>
      <c r="C144" s="1">
        <f t="shared" si="153"/>
        <v>10</v>
      </c>
      <c r="D144" s="1">
        <f t="shared" si="154"/>
        <v>4</v>
      </c>
      <c r="E144" s="1">
        <f t="shared" si="180"/>
        <v>1</v>
      </c>
      <c r="F144" s="11">
        <f t="shared" si="203"/>
        <v>5</v>
      </c>
      <c r="G144" s="12">
        <f t="shared" ref="G144:L144" si="208">IF($B144&lt;G$8,0,G$3+(G$4-G$3)*(POWER(G$5,$B144-G$8)-1)/(POWER(G$5,$C$5-G$8)-1))</f>
        <v>0.789406518375447</v>
      </c>
      <c r="H144" s="12">
        <f t="shared" si="208"/>
        <v>0.639785187154335</v>
      </c>
      <c r="I144" s="12">
        <f t="shared" si="208"/>
        <v>0.495177540190744</v>
      </c>
      <c r="J144" s="12">
        <f t="shared" si="208"/>
        <v>0.528562251146666</v>
      </c>
      <c r="K144" s="12">
        <f t="shared" si="208"/>
        <v>0.325023850918732</v>
      </c>
      <c r="L144" s="12">
        <f t="shared" si="208"/>
        <v>0.638550352785556</v>
      </c>
      <c r="M144" s="2">
        <f>E144*模块规划!$F$10+G144*模块规划!$F$11+H144*模块规划!$F$13</f>
        <v>4789.15128820215</v>
      </c>
      <c r="N144" s="2">
        <f>I144*模块规划!$F$15+J144*模块规划!$F$17+K144*模块规划!$F$16+L144*模块规划!$F$18</f>
        <v>14389.9377024328</v>
      </c>
      <c r="O144" s="2">
        <f t="shared" si="182"/>
        <v>2.95658748947093</v>
      </c>
      <c r="P144" s="13">
        <f t="shared" si="183"/>
        <v>28549.4824863148</v>
      </c>
      <c r="Q144" s="7">
        <f>P144/(P144+_曲线基线!$L$2)</f>
        <v>0.543287605044442</v>
      </c>
      <c r="R144" s="2">
        <f>E144*模块规划!$E$10+G144*模块规划!$E$11+H144*模块规划!$E$13</f>
        <v>7183.72693230322</v>
      </c>
      <c r="S144" s="2">
        <f>I144*模块规划!$E$15+J144*模块规划!$E$17+K144*模块规划!$E$16+L144*模块规划!$E$18</f>
        <v>21584.9065536492</v>
      </c>
      <c r="T144" s="2">
        <f t="shared" si="184"/>
        <v>2.95658748947093</v>
      </c>
      <c r="U144" s="13">
        <f t="shared" si="185"/>
        <v>42824.2237294723</v>
      </c>
      <c r="V144" s="2">
        <f t="shared" si="186"/>
        <v>0.8919355561463</v>
      </c>
      <c r="W144" s="2">
        <f t="shared" si="187"/>
        <v>0.255914074861734</v>
      </c>
      <c r="X144" s="2">
        <f t="shared" si="188"/>
        <v>0.450940926467442</v>
      </c>
      <c r="Y144" s="2">
        <f t="shared" si="189"/>
        <v>1</v>
      </c>
      <c r="Z144" s="2">
        <f t="shared" si="190"/>
        <v>1</v>
      </c>
      <c r="AA144" s="2">
        <f t="shared" si="191"/>
        <v>1</v>
      </c>
      <c r="AB144" s="2">
        <f t="shared" si="192"/>
        <v>1</v>
      </c>
      <c r="AC144" s="2">
        <f t="shared" si="193"/>
        <v>1</v>
      </c>
      <c r="AD144" s="1">
        <f t="shared" si="194"/>
        <v>1.78098908559685</v>
      </c>
      <c r="AE144" s="2">
        <f t="shared" si="195"/>
        <v>1</v>
      </c>
      <c r="AF144" s="2">
        <f t="shared" si="196"/>
        <v>1.1726866691112</v>
      </c>
      <c r="AG144" s="2">
        <f t="shared" si="197"/>
        <v>1.30603915248041</v>
      </c>
      <c r="AH144" s="2">
        <f>MIN(1,_曲线基线!$L$3+AH$9*($H$10*H144+$I$10*I144+$J$10*J144+$K$10*K144+$L$10*L144))</f>
        <v>0.442862172227979</v>
      </c>
      <c r="AI144" s="2">
        <f>_曲线基线!$L$4+AI$9*($H$10*H144+$I$10*I144+$J$10*J144+$K$10*K144+$L$10*L144)</f>
        <v>3.09440176549223</v>
      </c>
      <c r="AJ144" s="2">
        <f t="shared" si="198"/>
        <v>1.89797067937824</v>
      </c>
      <c r="AK144" s="1">
        <f t="shared" si="199"/>
        <v>3.6583979201822</v>
      </c>
      <c r="AL144" s="1">
        <f t="shared" si="200"/>
        <v>1395120.44468911</v>
      </c>
      <c r="AM144" s="14">
        <f t="shared" si="201"/>
        <v>38.6501039656326</v>
      </c>
      <c r="AN144" s="14">
        <f>(((E144*模块规划!$D$10+G144*模块规划!$D$11+H144*模块规划!$D$13)*(1+模块规划!$G$14*H144)+(I144*模块规划!$D$15+J144*模块规划!$D$17+K144*模块规划!$D$16+L144*模块规划!$D$18))*(1+模块规划!$J$17*J144))*F144/(1-Q144)</f>
        <v>1962428.5166848</v>
      </c>
      <c r="AO144" s="1">
        <f t="shared" si="202"/>
        <v>53921550.2318138</v>
      </c>
      <c r="AP144" s="1">
        <f>IF(AO144="","",_xlfn.XLOOKUP(AO144,_曲线基线!$E$3:$E$502,_曲线基线!$A$3:$A$502,500,1))</f>
        <v>241</v>
      </c>
      <c r="AQ144" s="15">
        <f t="shared" si="205"/>
        <v>5</v>
      </c>
    </row>
    <row r="145" customHeight="1" spans="1:43">
      <c r="A145" s="1" t="str">
        <f>IFERROR(_xlfn.XLOOKUP(B145,_曲线基线!$G$3:$G$107,_曲线基线!$J$3:$J$107,""),"")</f>
        <v/>
      </c>
      <c r="B145" s="1">
        <v>134</v>
      </c>
      <c r="C145" s="1">
        <f t="shared" si="153"/>
        <v>10</v>
      </c>
      <c r="D145" s="1">
        <f t="shared" si="154"/>
        <v>5</v>
      </c>
      <c r="E145" s="1">
        <f t="shared" si="180"/>
        <v>1</v>
      </c>
      <c r="F145" s="11">
        <f t="shared" si="203"/>
        <v>5</v>
      </c>
      <c r="G145" s="12">
        <f t="shared" ref="G145:L145" si="209">IF($B145&lt;G$8,0,G$3+(G$4-G$3)*(POWER(G$5,$B145-G$8)-1)/(POWER(G$5,$C$5-G$8)-1))</f>
        <v>0.791270611054311</v>
      </c>
      <c r="H145" s="12">
        <f t="shared" si="209"/>
        <v>0.64105602565076</v>
      </c>
      <c r="I145" s="12">
        <f t="shared" si="209"/>
        <v>0.498445080729997</v>
      </c>
      <c r="J145" s="12">
        <f t="shared" si="209"/>
        <v>0.530069950615456</v>
      </c>
      <c r="K145" s="12">
        <f t="shared" si="209"/>
        <v>0.331882498835331</v>
      </c>
      <c r="L145" s="12">
        <f t="shared" si="209"/>
        <v>0.639847252561231</v>
      </c>
      <c r="M145" s="2">
        <f>E145*模块规划!$F$10+G145*模块规划!$F$11+H145*模块规划!$F$13</f>
        <v>4798.09893306069</v>
      </c>
      <c r="N145" s="2">
        <f>I145*模块规划!$F$15+J145*模块规划!$F$17+K145*模块规划!$F$16+L145*模块规划!$F$18</f>
        <v>14478.7914078127</v>
      </c>
      <c r="O145" s="2">
        <f t="shared" si="182"/>
        <v>2.96639301919265</v>
      </c>
      <c r="P145" s="13">
        <f t="shared" si="183"/>
        <v>28711.8385882396</v>
      </c>
      <c r="Q145" s="7">
        <f>P145/(P145+_曲线基线!$L$2)</f>
        <v>0.544694310751009</v>
      </c>
      <c r="R145" s="2">
        <f>E145*模块规划!$E$10+G145*模块规划!$E$11+H145*模块规划!$E$13</f>
        <v>7197.14839959104</v>
      </c>
      <c r="S145" s="2">
        <f>I145*模块规划!$E$15+J145*模块规划!$E$17+K145*模块规划!$E$16+L145*模块规划!$E$18</f>
        <v>21718.187111719</v>
      </c>
      <c r="T145" s="2">
        <f t="shared" si="184"/>
        <v>2.96639301919265</v>
      </c>
      <c r="U145" s="13">
        <f t="shared" si="185"/>
        <v>43067.7578823594</v>
      </c>
      <c r="V145" s="2">
        <f t="shared" si="186"/>
        <v>0.892316807695228</v>
      </c>
      <c r="W145" s="2">
        <f t="shared" si="187"/>
        <v>0.256422410260304</v>
      </c>
      <c r="X145" s="2">
        <f t="shared" si="188"/>
        <v>0.451290407053959</v>
      </c>
      <c r="Y145" s="2">
        <f t="shared" si="189"/>
        <v>1</v>
      </c>
      <c r="Z145" s="2">
        <f t="shared" si="190"/>
        <v>1</v>
      </c>
      <c r="AA145" s="2">
        <f t="shared" si="191"/>
        <v>1</v>
      </c>
      <c r="AB145" s="2">
        <f t="shared" si="192"/>
        <v>1</v>
      </c>
      <c r="AC145" s="2">
        <f t="shared" si="193"/>
        <v>1</v>
      </c>
      <c r="AD145" s="1">
        <f t="shared" si="194"/>
        <v>1.78333696300209</v>
      </c>
      <c r="AE145" s="2">
        <f t="shared" si="195"/>
        <v>1</v>
      </c>
      <c r="AF145" s="2">
        <f t="shared" si="196"/>
        <v>1.17355209643077</v>
      </c>
      <c r="AG145" s="2">
        <f t="shared" si="197"/>
        <v>1.30757288200786</v>
      </c>
      <c r="AH145" s="2">
        <f>MIN(1,_曲线基线!$L$3+AH$9*($H$10*H145+$I$10*I145+$J$10*J145+$K$10*K145+$L$10*L145))</f>
        <v>0.444831019379997</v>
      </c>
      <c r="AI145" s="2">
        <f>_曲线基线!$L$4+AI$9*($H$10*H145+$I$10*I145+$J$10*J145+$K$10*K145+$L$10*L145)</f>
        <v>3.09988641112999</v>
      </c>
      <c r="AJ145" s="2">
        <f t="shared" si="198"/>
        <v>1.90247090143999</v>
      </c>
      <c r="AK145" s="1">
        <f t="shared" si="199"/>
        <v>3.67955872156976</v>
      </c>
      <c r="AL145" s="1">
        <f t="shared" si="200"/>
        <v>1413030.11117349</v>
      </c>
      <c r="AM145" s="14">
        <f t="shared" si="201"/>
        <v>38.7000296452108</v>
      </c>
      <c r="AN145" s="14">
        <f>(((E145*模块规划!$D$10+G145*模块规划!$D$11+H145*模块规划!$D$13)*(1+模块规划!$G$14*H145)+(I145*模块规划!$D$15+J145*模块规划!$D$17+K145*模块规划!$D$16+L145*模块规划!$D$18))*(1+模块规划!$J$17*J145))*F145/(1-Q145)</f>
        <v>1980412.6007319</v>
      </c>
      <c r="AO145" s="1">
        <f t="shared" si="202"/>
        <v>54684307.1919896</v>
      </c>
      <c r="AP145" s="1">
        <f>IF(AO145="","",_xlfn.XLOOKUP(AO145,_曲线基线!$E$3:$E$502,_曲线基线!$A$3:$A$502,500,1))</f>
        <v>242</v>
      </c>
      <c r="AQ145" s="15">
        <f t="shared" si="205"/>
        <v>5</v>
      </c>
    </row>
    <row r="146" customHeight="1" spans="1:43">
      <c r="A146" s="1" t="str">
        <f>IFERROR(_xlfn.XLOOKUP(B146,_曲线基线!$G$3:$G$107,_曲线基线!$J$3:$J$107,""),"")</f>
        <v/>
      </c>
      <c r="B146" s="1">
        <v>135</v>
      </c>
      <c r="C146" s="1">
        <f t="shared" si="153"/>
        <v>10</v>
      </c>
      <c r="D146" s="1">
        <f t="shared" si="154"/>
        <v>6</v>
      </c>
      <c r="E146" s="1">
        <f t="shared" si="180"/>
        <v>1</v>
      </c>
      <c r="F146" s="11">
        <f t="shared" si="203"/>
        <v>5</v>
      </c>
      <c r="G146" s="12">
        <f t="shared" ref="G146:L146" si="210">IF($B146&lt;G$8,0,G$3+(G$4-G$3)*(POWER(G$5,$B146-G$8)-1)/(POWER(G$5,$C$5-G$8)-1))</f>
        <v>0.793106742342992</v>
      </c>
      <c r="H146" s="12">
        <f t="shared" si="210"/>
        <v>0.642301447377256</v>
      </c>
      <c r="I146" s="12">
        <f t="shared" si="210"/>
        <v>0.501647270458466</v>
      </c>
      <c r="J146" s="12">
        <f t="shared" si="210"/>
        <v>0.531547496094871</v>
      </c>
      <c r="K146" s="12">
        <f t="shared" si="210"/>
        <v>0.338603973793598</v>
      </c>
      <c r="L146" s="12">
        <f t="shared" si="210"/>
        <v>0.641118214341392</v>
      </c>
      <c r="M146" s="2">
        <f>E146*模块规划!$F$10+G146*模块规划!$F$11+H146*模块规划!$F$13</f>
        <v>4806.91236324636</v>
      </c>
      <c r="N146" s="2">
        <f>I146*模块规划!$F$15+J146*模块规划!$F$17+K146*模块规划!$F$16+L146*模块规划!$F$18</f>
        <v>14565.868039085</v>
      </c>
      <c r="O146" s="2">
        <f t="shared" si="182"/>
        <v>2.97600243831993</v>
      </c>
      <c r="P146" s="13">
        <f t="shared" si="183"/>
        <v>28871.2509528964</v>
      </c>
      <c r="Q146" s="7">
        <f>P146/(P146+_曲线基线!$L$2)</f>
        <v>0.546067105138445</v>
      </c>
      <c r="R146" s="2">
        <f>E146*模块规划!$E$10+G146*模块规划!$E$11+H146*模块规划!$E$13</f>
        <v>7210.36854486955</v>
      </c>
      <c r="S146" s="2">
        <f>I146*模块规划!$E$15+J146*模块规划!$E$17+K146*模块规划!$E$16+L146*模块规划!$E$18</f>
        <v>21848.8020586275</v>
      </c>
      <c r="T146" s="2">
        <f t="shared" si="184"/>
        <v>2.97600243831993</v>
      </c>
      <c r="U146" s="13">
        <f t="shared" si="185"/>
        <v>43306.8764293446</v>
      </c>
      <c r="V146" s="2">
        <f t="shared" si="186"/>
        <v>0.892690434213177</v>
      </c>
      <c r="W146" s="2">
        <f t="shared" si="187"/>
        <v>0.256920578950902</v>
      </c>
      <c r="X146" s="2">
        <f t="shared" si="188"/>
        <v>0.451632898028745</v>
      </c>
      <c r="Y146" s="2">
        <f t="shared" si="189"/>
        <v>1</v>
      </c>
      <c r="Z146" s="2">
        <f t="shared" si="190"/>
        <v>1</v>
      </c>
      <c r="AA146" s="2">
        <f t="shared" si="191"/>
        <v>1</v>
      </c>
      <c r="AB146" s="2">
        <f t="shared" si="192"/>
        <v>1</v>
      </c>
      <c r="AC146" s="2">
        <f t="shared" si="193"/>
        <v>1</v>
      </c>
      <c r="AD146" s="1">
        <f t="shared" si="194"/>
        <v>1.7856397765655</v>
      </c>
      <c r="AE146" s="2">
        <f t="shared" si="195"/>
        <v>1</v>
      </c>
      <c r="AF146" s="2">
        <f t="shared" si="196"/>
        <v>1.17440021520395</v>
      </c>
      <c r="AG146" s="2">
        <f t="shared" si="197"/>
        <v>1.30907593694477</v>
      </c>
      <c r="AH146" s="2">
        <f>MIN(1,_曲线基线!$L$3+AH$9*($H$10*H146+$I$10*I146+$J$10*J146+$K$10*K146+$L$10*L146))</f>
        <v>0.446760489588976</v>
      </c>
      <c r="AI146" s="2">
        <f>_曲线基线!$L$4+AI$9*($H$10*H146+$I$10*I146+$J$10*J146+$K$10*K146+$L$10*L146)</f>
        <v>3.105261363855</v>
      </c>
      <c r="AJ146" s="2">
        <f t="shared" si="198"/>
        <v>1.90688111906052</v>
      </c>
      <c r="AK146" s="1">
        <f t="shared" si="199"/>
        <v>3.70039357455625</v>
      </c>
      <c r="AL146" s="1">
        <f t="shared" si="200"/>
        <v>1430766.07784334</v>
      </c>
      <c r="AM146" s="14">
        <f t="shared" si="201"/>
        <v>38.7504545815848</v>
      </c>
      <c r="AN146" s="14">
        <f>(((E146*模块规划!$D$10+G146*模块规划!$D$11+H146*模块规划!$D$13)*(1+模块规划!$G$14*H146)+(I146*模块规划!$D$15+J146*模块规划!$D$17+K146*模块规划!$D$16+L146*模块规划!$D$18))*(1+模块规划!$J$17*J146))*F146/(1-Q146)</f>
        <v>1998148.84163684</v>
      </c>
      <c r="AO146" s="1">
        <f t="shared" si="202"/>
        <v>55442835.9163407</v>
      </c>
      <c r="AP146" s="1">
        <f>IF(AO146="","",_xlfn.XLOOKUP(AO146,_曲线基线!$E$3:$E$502,_曲线基线!$A$3:$A$502,500,1))</f>
        <v>243</v>
      </c>
      <c r="AQ146" s="15">
        <f t="shared" si="205"/>
        <v>5</v>
      </c>
    </row>
    <row r="147" customHeight="1" spans="1:43">
      <c r="A147" s="1" t="str">
        <f>IFERROR(_xlfn.XLOOKUP(B147,_曲线基线!$G$3:$G$107,_曲线基线!$J$3:$J$107,""),"")</f>
        <v/>
      </c>
      <c r="B147" s="1">
        <v>136</v>
      </c>
      <c r="C147" s="1">
        <f t="shared" si="153"/>
        <v>10</v>
      </c>
      <c r="D147" s="1">
        <f t="shared" si="154"/>
        <v>7</v>
      </c>
      <c r="E147" s="1">
        <f t="shared" si="180"/>
        <v>1</v>
      </c>
      <c r="F147" s="11">
        <f t="shared" si="203"/>
        <v>5</v>
      </c>
      <c r="G147" s="12">
        <f t="shared" ref="G147:L147" si="211">IF($B147&lt;G$8,0,G$3+(G$4-G$3)*(POWER(G$5,$B147-G$8)-1)/(POWER(G$5,$C$5-G$8)-1))</f>
        <v>0.794915331662343</v>
      </c>
      <c r="H147" s="12">
        <f t="shared" si="211"/>
        <v>0.643521960669222</v>
      </c>
      <c r="I147" s="12">
        <f t="shared" si="211"/>
        <v>0.504785416392365</v>
      </c>
      <c r="J147" s="12">
        <f t="shared" si="211"/>
        <v>0.532995490664698</v>
      </c>
      <c r="K147" s="12">
        <f t="shared" si="211"/>
        <v>0.345191019252699</v>
      </c>
      <c r="L147" s="12">
        <f t="shared" si="211"/>
        <v>0.64236375688595</v>
      </c>
      <c r="M147" s="2">
        <f>E147*模块规划!$F$10+G147*模块规划!$F$11+H147*模块规划!$F$13</f>
        <v>4815.59359197925</v>
      </c>
      <c r="N147" s="2">
        <f>I147*模块规划!$F$15+J147*模块规划!$F$17+K147*模块规划!$F$16+L147*模块规划!$F$18</f>
        <v>14651.2031377318</v>
      </c>
      <c r="O147" s="2">
        <f t="shared" si="182"/>
        <v>2.98541966906467</v>
      </c>
      <c r="P147" s="13">
        <f t="shared" si="183"/>
        <v>29027.7709654485</v>
      </c>
      <c r="Q147" s="7">
        <f>P147/(P147+_曲线基线!$L$2)</f>
        <v>0.547406961238522</v>
      </c>
      <c r="R147" s="2">
        <f>E147*模块规划!$E$10+G147*模块规划!$E$11+H147*模块规划!$E$13</f>
        <v>7223.39038796887</v>
      </c>
      <c r="S147" s="2">
        <f>I147*模块规划!$E$15+J147*模块规划!$E$17+K147*模块规划!$E$16+L147*模块规划!$E$18</f>
        <v>21976.8047065978</v>
      </c>
      <c r="T147" s="2">
        <f t="shared" si="184"/>
        <v>2.98541966906467</v>
      </c>
      <c r="U147" s="13">
        <f t="shared" si="185"/>
        <v>43541.6564481727</v>
      </c>
      <c r="V147" s="2">
        <f t="shared" si="186"/>
        <v>0.893056588200767</v>
      </c>
      <c r="W147" s="2">
        <f t="shared" si="187"/>
        <v>0.257408784267689</v>
      </c>
      <c r="X147" s="2">
        <f t="shared" si="188"/>
        <v>0.451968539184036</v>
      </c>
      <c r="Y147" s="2">
        <f t="shared" si="189"/>
        <v>1</v>
      </c>
      <c r="Z147" s="2">
        <f t="shared" si="190"/>
        <v>1</v>
      </c>
      <c r="AA147" s="2">
        <f t="shared" si="191"/>
        <v>1</v>
      </c>
      <c r="AB147" s="2">
        <f t="shared" si="192"/>
        <v>1</v>
      </c>
      <c r="AC147" s="2">
        <f t="shared" si="193"/>
        <v>1</v>
      </c>
      <c r="AD147" s="1">
        <f t="shared" si="194"/>
        <v>1.78789835257317</v>
      </c>
      <c r="AE147" s="2">
        <f t="shared" si="195"/>
        <v>1</v>
      </c>
      <c r="AF147" s="2">
        <f t="shared" si="196"/>
        <v>1.17523137160166</v>
      </c>
      <c r="AG147" s="2">
        <f t="shared" si="197"/>
        <v>1.31054893078294</v>
      </c>
      <c r="AH147" s="2">
        <f>MIN(1,_曲线基线!$L$3+AH$9*($H$10*H147+$I$10*I147+$J$10*J147+$K$10*K147+$L$10*L147))</f>
        <v>0.448651370393774</v>
      </c>
      <c r="AI147" s="2">
        <f>_曲线基线!$L$4+AI$9*($H$10*H147+$I$10*I147+$J$10*J147+$K$10*K147+$L$10*L147)</f>
        <v>3.11052881752551</v>
      </c>
      <c r="AJ147" s="2">
        <f t="shared" si="198"/>
        <v>1.91120313232863</v>
      </c>
      <c r="AK147" s="1">
        <f t="shared" si="199"/>
        <v>3.72090541259522</v>
      </c>
      <c r="AL147" s="1">
        <f t="shared" si="200"/>
        <v>1448326.26152642</v>
      </c>
      <c r="AM147" s="14">
        <f t="shared" si="201"/>
        <v>38.8013837673225</v>
      </c>
      <c r="AN147" s="14">
        <f>(((E147*模块规划!$D$10+G147*模块规划!$D$11+H147*模块规划!$D$13)*(1+模块规划!$G$14*H147)+(I147*模块规划!$D$15+J147*模块规划!$D$17+K147*模块规划!$D$16+L147*模块规划!$D$18))*(1+模块规划!$J$17*J147))*F147/(1-Q147)</f>
        <v>2015638.58274095</v>
      </c>
      <c r="AO147" s="1">
        <f t="shared" si="202"/>
        <v>56197063.0937783</v>
      </c>
      <c r="AP147" s="1">
        <f>IF(AO147="","",_xlfn.XLOOKUP(AO147,_曲线基线!$E$3:$E$502,_曲线基线!$A$3:$A$502,500,1))</f>
        <v>244</v>
      </c>
      <c r="AQ147" s="15">
        <f t="shared" si="205"/>
        <v>5</v>
      </c>
    </row>
    <row r="148" customHeight="1" spans="1:43">
      <c r="A148" s="1" t="str">
        <f>IFERROR(_xlfn.XLOOKUP(B148,_曲线基线!$G$3:$G$107,_曲线基线!$J$3:$J$107,""),"")</f>
        <v/>
      </c>
      <c r="B148" s="1">
        <v>137</v>
      </c>
      <c r="C148" s="1">
        <f t="shared" si="153"/>
        <v>10</v>
      </c>
      <c r="D148" s="1">
        <f t="shared" si="154"/>
        <v>8</v>
      </c>
      <c r="E148" s="1">
        <f t="shared" si="180"/>
        <v>1</v>
      </c>
      <c r="F148" s="11">
        <f t="shared" si="203"/>
        <v>5</v>
      </c>
      <c r="G148" s="12">
        <f t="shared" ref="G148:L148" si="212">IF($B148&lt;G$8,0,G$3+(G$4-G$3)*(POWER(G$5,$B148-G$8)-1)/(POWER(G$5,$C$5-G$8)-1))</f>
        <v>0.796696792141904</v>
      </c>
      <c r="H148" s="12">
        <f t="shared" si="212"/>
        <v>0.644718063695349</v>
      </c>
      <c r="I148" s="12">
        <f t="shared" si="212"/>
        <v>0.507860799407586</v>
      </c>
      <c r="J148" s="12">
        <f t="shared" si="212"/>
        <v>0.534414525343128</v>
      </c>
      <c r="K148" s="12">
        <f t="shared" si="212"/>
        <v>0.351646323802619</v>
      </c>
      <c r="L148" s="12">
        <f t="shared" si="212"/>
        <v>0.643584388579617</v>
      </c>
      <c r="M148" s="2">
        <f>E148*模块规划!$F$10+G148*模块规划!$F$11+H148*模块规划!$F$13</f>
        <v>4824.14460228114</v>
      </c>
      <c r="N148" s="2">
        <f>I148*模块规划!$F$15+J148*模块规划!$F$17+K148*模块规划!$F$16+L148*模块规划!$F$18</f>
        <v>14734.8315344058</v>
      </c>
      <c r="O148" s="2">
        <f t="shared" si="182"/>
        <v>2.99464855519451</v>
      </c>
      <c r="P148" s="13">
        <f t="shared" si="183"/>
        <v>29181.4491976764</v>
      </c>
      <c r="Q148" s="7">
        <f>P148/(P148+_曲线基线!$L$2)</f>
        <v>0.548714817627636</v>
      </c>
      <c r="R148" s="2">
        <f>E148*模块规划!$E$10+G148*模块规划!$E$11+H148*模块规划!$E$13</f>
        <v>7236.21690342171</v>
      </c>
      <c r="S148" s="2">
        <f>I148*模块规划!$E$15+J148*模块规划!$E$17+K148*模块规划!$E$16+L148*模块规划!$E$18</f>
        <v>22102.2473016087</v>
      </c>
      <c r="T148" s="2">
        <f t="shared" si="184"/>
        <v>2.99464855519451</v>
      </c>
      <c r="U148" s="13">
        <f t="shared" si="185"/>
        <v>43772.1737965146</v>
      </c>
      <c r="V148" s="2">
        <f t="shared" si="186"/>
        <v>0.893415419108605</v>
      </c>
      <c r="W148" s="2">
        <f t="shared" si="187"/>
        <v>0.25788722547814</v>
      </c>
      <c r="X148" s="2">
        <f t="shared" si="188"/>
        <v>0.452297467516221</v>
      </c>
      <c r="Y148" s="2">
        <f t="shared" si="189"/>
        <v>1</v>
      </c>
      <c r="Z148" s="2">
        <f t="shared" si="190"/>
        <v>1</v>
      </c>
      <c r="AA148" s="2">
        <f t="shared" si="191"/>
        <v>1</v>
      </c>
      <c r="AB148" s="2">
        <f t="shared" si="192"/>
        <v>1</v>
      </c>
      <c r="AC148" s="2">
        <f t="shared" si="193"/>
        <v>1</v>
      </c>
      <c r="AD148" s="1">
        <f t="shared" si="194"/>
        <v>1.79011350375506</v>
      </c>
      <c r="AE148" s="2">
        <f t="shared" si="195"/>
        <v>1</v>
      </c>
      <c r="AF148" s="2">
        <f t="shared" si="196"/>
        <v>1.17604590487142</v>
      </c>
      <c r="AG148" s="2">
        <f t="shared" si="197"/>
        <v>1.31199246474435</v>
      </c>
      <c r="AH148" s="2">
        <f>MIN(1,_曲线基线!$L$3+AH$9*($H$10*H148+$I$10*I148+$J$10*J148+$K$10*K148+$L$10*L148))</f>
        <v>0.450504433582477</v>
      </c>
      <c r="AI148" s="2">
        <f>_曲线基线!$L$4+AI$9*($H$10*H148+$I$10*I148+$J$10*J148+$K$10*K148+$L$10*L148)</f>
        <v>3.11569092212261</v>
      </c>
      <c r="AJ148" s="2">
        <f t="shared" si="198"/>
        <v>1.91543870533138</v>
      </c>
      <c r="AK148" s="1">
        <f t="shared" si="199"/>
        <v>3.74109723679792</v>
      </c>
      <c r="AL148" s="1">
        <f t="shared" si="200"/>
        <v>1465708.76260805</v>
      </c>
      <c r="AM148" s="14">
        <f t="shared" si="201"/>
        <v>38.8528222449176</v>
      </c>
      <c r="AN148" s="14">
        <f>(((E148*模块规划!$D$10+G148*模块规划!$D$11+H148*模块规划!$D$13)*(1+模块规划!$G$14*H148)+(I148*模块规划!$D$15+J148*模块规划!$D$17+K148*模块规划!$D$16+L148*模块规划!$D$18))*(1+模块规划!$J$17*J148))*F148/(1-Q148)</f>
        <v>2032883.25758895</v>
      </c>
      <c r="AO148" s="1">
        <f t="shared" si="202"/>
        <v>56946922.0164288</v>
      </c>
      <c r="AP148" s="1">
        <f>IF(AO148="","",_xlfn.XLOOKUP(AO148,_曲线基线!$E$3:$E$502,_曲线基线!$A$3:$A$502,500,1))</f>
        <v>245</v>
      </c>
      <c r="AQ148" s="15">
        <f t="shared" si="205"/>
        <v>5</v>
      </c>
    </row>
    <row r="149" customHeight="1" spans="1:43">
      <c r="A149" s="1" t="str">
        <f>IFERROR(_xlfn.XLOOKUP(B149,_曲线基线!$G$3:$G$107,_曲线基线!$J$3:$J$107,""),"")</f>
        <v/>
      </c>
      <c r="B149" s="1">
        <v>138</v>
      </c>
      <c r="C149" s="1">
        <f t="shared" si="153"/>
        <v>10</v>
      </c>
      <c r="D149" s="1">
        <f t="shared" si="154"/>
        <v>9</v>
      </c>
      <c r="E149" s="1">
        <f t="shared" si="180"/>
        <v>1</v>
      </c>
      <c r="F149" s="11">
        <f t="shared" si="203"/>
        <v>5</v>
      </c>
      <c r="G149" s="12">
        <f t="shared" ref="G149:L149" si="213">IF($B149&lt;G$8,0,G$3+(G$4-G$3)*(POWER(G$5,$B149-G$8)-1)/(POWER(G$5,$C$5-G$8)-1))</f>
        <v>0.798451530714271</v>
      </c>
      <c r="H149" s="12">
        <f t="shared" si="213"/>
        <v>0.645890244660953</v>
      </c>
      <c r="I149" s="12">
        <f t="shared" si="213"/>
        <v>0.510874674762502</v>
      </c>
      <c r="J149" s="12">
        <f t="shared" si="213"/>
        <v>0.535805179327989</v>
      </c>
      <c r="K149" s="12">
        <f t="shared" si="213"/>
        <v>0.35797252226154</v>
      </c>
      <c r="L149" s="12">
        <f t="shared" si="213"/>
        <v>0.64478060763941</v>
      </c>
      <c r="M149" s="2">
        <f>E149*模块规划!$F$10+G149*模块规划!$F$11+H149*模块规划!$F$13</f>
        <v>4832.5673474285</v>
      </c>
      <c r="N149" s="2">
        <f>I149*模块规划!$F$15+J149*模块规划!$F$17+K149*模块规划!$F$16+L149*模块规划!$F$18</f>
        <v>14816.7873631462</v>
      </c>
      <c r="O149" s="2">
        <f t="shared" si="182"/>
        <v>3.00369286360176</v>
      </c>
      <c r="P149" s="13">
        <f t="shared" si="183"/>
        <v>29332.3354174921</v>
      </c>
      <c r="Q149" s="7">
        <f>P149/(P149+_曲线基线!$L$2)</f>
        <v>0.549991579927542</v>
      </c>
      <c r="R149" s="2">
        <f>E149*模块规划!$E$10+G149*模块规划!$E$11+H149*模块规划!$E$13</f>
        <v>7248.85102114275</v>
      </c>
      <c r="S149" s="2">
        <f>I149*模块规划!$E$15+J149*模块规划!$E$17+K149*模块规划!$E$16+L149*模块规划!$E$18</f>
        <v>22225.1810447193</v>
      </c>
      <c r="T149" s="2">
        <f t="shared" si="184"/>
        <v>3.00369286360176</v>
      </c>
      <c r="U149" s="13">
        <f t="shared" si="185"/>
        <v>43998.5031262381</v>
      </c>
      <c r="V149" s="2">
        <f t="shared" si="186"/>
        <v>0.893767073398286</v>
      </c>
      <c r="W149" s="2">
        <f t="shared" si="187"/>
        <v>0.258356097864381</v>
      </c>
      <c r="X149" s="2">
        <f t="shared" si="188"/>
        <v>0.452619817281762</v>
      </c>
      <c r="Y149" s="2">
        <f t="shared" si="189"/>
        <v>1</v>
      </c>
      <c r="Z149" s="2">
        <f t="shared" si="190"/>
        <v>1</v>
      </c>
      <c r="AA149" s="2">
        <f t="shared" si="191"/>
        <v>1</v>
      </c>
      <c r="AB149" s="2">
        <f t="shared" si="192"/>
        <v>1</v>
      </c>
      <c r="AC149" s="2">
        <f t="shared" si="193"/>
        <v>1</v>
      </c>
      <c r="AD149" s="1">
        <f t="shared" si="194"/>
        <v>1.79228602943859</v>
      </c>
      <c r="AE149" s="2">
        <f t="shared" si="195"/>
        <v>1</v>
      </c>
      <c r="AF149" s="2">
        <f t="shared" si="196"/>
        <v>1.17684414747578</v>
      </c>
      <c r="AG149" s="2">
        <f t="shared" si="197"/>
        <v>1.31340712802653</v>
      </c>
      <c r="AH149" s="2">
        <f>MIN(1,_曲线基线!$L$3+AH$9*($H$10*H149+$I$10*I149+$J$10*J149+$K$10*K149+$L$10*L149))</f>
        <v>0.452320435507405</v>
      </c>
      <c r="AI149" s="2">
        <f>_曲线基线!$L$4+AI$9*($H$10*H149+$I$10*I149+$J$10*J149+$K$10*K149+$L$10*L149)</f>
        <v>3.12074978462777</v>
      </c>
      <c r="AJ149" s="2">
        <f t="shared" si="198"/>
        <v>1.91958956687407</v>
      </c>
      <c r="AK149" s="1">
        <f t="shared" si="199"/>
        <v>3.76097211049855</v>
      </c>
      <c r="AL149" s="1">
        <f t="shared" si="200"/>
        <v>1482911.85939851</v>
      </c>
      <c r="AM149" s="14">
        <f t="shared" si="201"/>
        <v>38.9047751072887</v>
      </c>
      <c r="AN149" s="14">
        <f>(((E149*模块规划!$D$10+G149*模块规划!$D$11+H149*模块规划!$D$13)*(1+模块规划!$G$14*H149)+(I149*模块规划!$D$15+J149*模块规划!$D$17+K149*模块规划!$D$16+L149*模块规划!$D$18))*(1+模块规划!$J$17*J149))*F149/(1-Q149)</f>
        <v>2049884.38456706</v>
      </c>
      <c r="AO149" s="1">
        <f t="shared" si="202"/>
        <v>57692352.3938305</v>
      </c>
      <c r="AP149" s="1">
        <f>IF(AO149="","",_xlfn.XLOOKUP(AO149,_曲线基线!$E$3:$E$502,_曲线基线!$A$3:$A$502,500,1))</f>
        <v>246</v>
      </c>
      <c r="AQ149" s="15">
        <f t="shared" si="205"/>
        <v>5</v>
      </c>
    </row>
    <row r="150" customHeight="1" spans="1:43">
      <c r="A150" s="1" t="str">
        <f>IFERROR(_xlfn.XLOOKUP(B150,_曲线基线!$G$3:$G$107,_曲线基线!$J$3:$J$107,""),"")</f>
        <v/>
      </c>
      <c r="B150" s="1">
        <v>139</v>
      </c>
      <c r="C150" s="1">
        <f t="shared" si="153"/>
        <v>10</v>
      </c>
      <c r="D150" s="1">
        <f t="shared" si="154"/>
        <v>10</v>
      </c>
      <c r="E150" s="1">
        <f t="shared" si="180"/>
        <v>1</v>
      </c>
      <c r="F150" s="11">
        <f t="shared" si="203"/>
        <v>5</v>
      </c>
      <c r="G150" s="12">
        <f t="shared" ref="G150:L150" si="214">IF($B150&lt;G$8,0,G$3+(G$4-G$3)*(POWER(G$5,$B150-G$8)-1)/(POWER(G$5,$C$5-G$8)-1))</f>
        <v>0.800179948208053</v>
      </c>
      <c r="H150" s="12">
        <f t="shared" si="214"/>
        <v>0.647038982007246</v>
      </c>
      <c r="I150" s="12">
        <f t="shared" si="214"/>
        <v>0.51382827261032</v>
      </c>
      <c r="J150" s="12">
        <f t="shared" si="214"/>
        <v>0.537168020233153</v>
      </c>
      <c r="K150" s="12">
        <f t="shared" si="214"/>
        <v>0.364172196751283</v>
      </c>
      <c r="L150" s="12">
        <f t="shared" si="214"/>
        <v>0.645952902318007</v>
      </c>
      <c r="M150" s="2">
        <f>E150*模块规划!$F$10+G150*模块规划!$F$11+H150*模块规划!$F$13</f>
        <v>4840.86375139865</v>
      </c>
      <c r="N150" s="2">
        <f>I150*模块规划!$F$15+J150*模块规划!$F$17+K150*模块规划!$F$16+L150*模块规划!$F$18</f>
        <v>14897.1040753118</v>
      </c>
      <c r="O150" s="2">
        <f t="shared" si="182"/>
        <v>3.01255628584086</v>
      </c>
      <c r="P150" s="13">
        <f t="shared" si="183"/>
        <v>29480.478598487</v>
      </c>
      <c r="Q150" s="7">
        <f>P150/(P150+_曲线基线!$L$2)</f>
        <v>0.551238122228043</v>
      </c>
      <c r="R150" s="2">
        <f>E150*模块规划!$E$10+G150*模块规划!$E$11+H150*模块规划!$E$13</f>
        <v>7261.29562709798</v>
      </c>
      <c r="S150" s="2">
        <f>I150*模块规划!$E$15+J150*模块规划!$E$17+K150*模块规划!$E$16+L150*模块规划!$E$18</f>
        <v>22345.6561129677</v>
      </c>
      <c r="T150" s="2">
        <f t="shared" si="184"/>
        <v>3.01255628584086</v>
      </c>
      <c r="U150" s="13">
        <f t="shared" si="185"/>
        <v>44220.7178977305</v>
      </c>
      <c r="V150" s="2">
        <f t="shared" si="186"/>
        <v>0.894111694602174</v>
      </c>
      <c r="W150" s="2">
        <f t="shared" si="187"/>
        <v>0.258815592802898</v>
      </c>
      <c r="X150" s="2">
        <f t="shared" si="188"/>
        <v>0.452935720051993</v>
      </c>
      <c r="Y150" s="2">
        <f t="shared" si="189"/>
        <v>1</v>
      </c>
      <c r="Z150" s="2">
        <f t="shared" si="190"/>
        <v>1</v>
      </c>
      <c r="AA150" s="2">
        <f t="shared" si="191"/>
        <v>1</v>
      </c>
      <c r="AB150" s="2">
        <f t="shared" si="192"/>
        <v>1</v>
      </c>
      <c r="AC150" s="2">
        <f t="shared" si="193"/>
        <v>1</v>
      </c>
      <c r="AD150" s="1">
        <f t="shared" si="194"/>
        <v>1.79441671570375</v>
      </c>
      <c r="AE150" s="2">
        <f t="shared" si="195"/>
        <v>1</v>
      </c>
      <c r="AF150" s="2">
        <f t="shared" si="196"/>
        <v>1.17762642522806</v>
      </c>
      <c r="AG150" s="2">
        <f t="shared" si="197"/>
        <v>1.31479349804306</v>
      </c>
      <c r="AH150" s="2">
        <f>MIN(1,_曲线基线!$L$3+AH$9*($H$10*H150+$I$10*I150+$J$10*J150+$K$10*K150+$L$10*L150))</f>
        <v>0.454100117393835</v>
      </c>
      <c r="AI150" s="2">
        <f>_曲线基线!$L$4+AI$9*($H$10*H150+$I$10*I150+$J$10*J150+$K$10*K150+$L$10*L150)</f>
        <v>3.12570746988283</v>
      </c>
      <c r="AJ150" s="2">
        <f t="shared" si="198"/>
        <v>1.92365741118591</v>
      </c>
      <c r="AK150" s="1">
        <f t="shared" si="199"/>
        <v>3.78053315403557</v>
      </c>
      <c r="AL150" s="1">
        <f t="shared" si="200"/>
        <v>1499934.00252603</v>
      </c>
      <c r="AM150" s="14">
        <f t="shared" si="201"/>
        <v>38.9572474982834</v>
      </c>
      <c r="AN150" s="14">
        <f>(((E150*模块规划!$D$10+G150*模块规划!$D$11+H150*模块规划!$D$13)*(1+模块规划!$G$14*H150)+(I150*模块规划!$D$15+J150*模块规划!$D$17+K150*模块规划!$D$16+L150*模块规划!$D$18))*(1+模块规划!$J$17*J150))*F150/(1-Q150)</f>
        <v>2066643.56173809</v>
      </c>
      <c r="AO150" s="1">
        <f t="shared" si="202"/>
        <v>58433300.1674973</v>
      </c>
      <c r="AP150" s="1">
        <f>IF(AO150="","",_xlfn.XLOOKUP(AO150,_曲线基线!$E$3:$E$502,_曲线基线!$A$3:$A$502,500,1))</f>
        <v>247</v>
      </c>
      <c r="AQ150" s="15">
        <f t="shared" si="205"/>
        <v>5</v>
      </c>
    </row>
    <row r="151" customHeight="1" spans="1:43">
      <c r="A151" s="1" t="str">
        <f>IFERROR(_xlfn.XLOOKUP(B151,_曲线基线!$G$3:$G$107,_曲线基线!$J$3:$J$107,""),"")</f>
        <v/>
      </c>
      <c r="B151" s="1">
        <v>140</v>
      </c>
      <c r="C151" s="1">
        <f t="shared" si="153"/>
        <v>10</v>
      </c>
      <c r="D151" s="1">
        <f t="shared" si="154"/>
        <v>11</v>
      </c>
      <c r="E151" s="1">
        <f t="shared" si="180"/>
        <v>1</v>
      </c>
      <c r="F151" s="11">
        <f t="shared" si="203"/>
        <v>5</v>
      </c>
      <c r="G151" s="12">
        <f t="shared" ref="G151:L151" si="215">IF($B151&lt;G$8,0,G$3+(G$4-G$3)*(POWER(G$5,$B151-G$8)-1)/(POWER(G$5,$C$5-G$8)-1))</f>
        <v>0.801882439439428</v>
      </c>
      <c r="H151" s="12">
        <f t="shared" si="215"/>
        <v>0.648164744606612</v>
      </c>
      <c r="I151" s="12">
        <f t="shared" si="215"/>
        <v>0.516722798501182</v>
      </c>
      <c r="J151" s="12">
        <f t="shared" si="215"/>
        <v>0.538503604320214</v>
      </c>
      <c r="K151" s="12">
        <f t="shared" si="215"/>
        <v>0.370247877751231</v>
      </c>
      <c r="L151" s="12">
        <f t="shared" si="215"/>
        <v>0.647101751103033</v>
      </c>
      <c r="M151" s="2">
        <f>E151*模块规划!$F$10+G151*模块规划!$F$11+H151*模块规划!$F$13</f>
        <v>4849.03570930926</v>
      </c>
      <c r="N151" s="2">
        <f>I151*模块规划!$F$15+J151*模块规划!$F$17+K151*模块规划!$F$16+L151*模块规划!$F$18</f>
        <v>14975.8144532341</v>
      </c>
      <c r="O151" s="2">
        <f t="shared" si="182"/>
        <v>3.02124243963518</v>
      </c>
      <c r="P151" s="13">
        <f t="shared" si="183"/>
        <v>29625.9269295058</v>
      </c>
      <c r="Q151" s="7">
        <f>P151/(P151+_曲线基线!$L$2)</f>
        <v>0.552455288436332</v>
      </c>
      <c r="R151" s="2">
        <f>E151*模块规划!$E$10+G151*模块规划!$E$11+H151*模块规划!$E$13</f>
        <v>7273.55356396388</v>
      </c>
      <c r="S151" s="2">
        <f>I151*模块规划!$E$15+J151*模块规划!$E$17+K151*模块规划!$E$16+L151*模块规划!$E$18</f>
        <v>22463.7216798512</v>
      </c>
      <c r="T151" s="2">
        <f t="shared" si="184"/>
        <v>3.02124243963518</v>
      </c>
      <c r="U151" s="13">
        <f t="shared" si="185"/>
        <v>44438.8903942586</v>
      </c>
      <c r="V151" s="2">
        <f t="shared" si="186"/>
        <v>0.894449423381984</v>
      </c>
      <c r="W151" s="2">
        <f t="shared" si="187"/>
        <v>0.259265897842645</v>
      </c>
      <c r="X151" s="2">
        <f t="shared" si="188"/>
        <v>0.453245304766818</v>
      </c>
      <c r="Y151" s="2">
        <f t="shared" si="189"/>
        <v>1</v>
      </c>
      <c r="Z151" s="2">
        <f t="shared" si="190"/>
        <v>1</v>
      </c>
      <c r="AA151" s="2">
        <f t="shared" si="191"/>
        <v>1</v>
      </c>
      <c r="AB151" s="2">
        <f t="shared" si="192"/>
        <v>1</v>
      </c>
      <c r="AC151" s="2">
        <f t="shared" si="193"/>
        <v>1</v>
      </c>
      <c r="AD151" s="1">
        <f t="shared" si="194"/>
        <v>1.7965063355395</v>
      </c>
      <c r="AE151" s="2">
        <f t="shared" si="195"/>
        <v>1</v>
      </c>
      <c r="AF151" s="2">
        <f t="shared" si="196"/>
        <v>1.17839305742529</v>
      </c>
      <c r="AG151" s="2">
        <f t="shared" si="197"/>
        <v>1.31615214065927</v>
      </c>
      <c r="AH151" s="2">
        <f>MIN(1,_曲线基线!$L$3+AH$9*($H$10*H151+$I$10*I151+$J$10*J151+$K$10*K151+$L$10*L151))</f>
        <v>0.455844205642537</v>
      </c>
      <c r="AI151" s="2">
        <f>_曲线基线!$L$4+AI$9*($H$10*H151+$I$10*I151+$J$10*J151+$K$10*K151+$L$10*L151)</f>
        <v>3.13056600143278</v>
      </c>
      <c r="AJ151" s="2">
        <f t="shared" si="198"/>
        <v>1.92764389861151</v>
      </c>
      <c r="AK151" s="1">
        <f t="shared" si="199"/>
        <v>3.79978353974393</v>
      </c>
      <c r="AL151" s="1">
        <f t="shared" si="200"/>
        <v>1516773.80936486</v>
      </c>
      <c r="AM151" s="14">
        <f t="shared" si="201"/>
        <v>39.0102446131881</v>
      </c>
      <c r="AN151" s="14">
        <f>(((E151*模块规划!$D$10+G151*模块规划!$D$11+H151*模块规划!$D$13)*(1+模块规划!$G$14*H151)+(I151*模块规划!$D$15+J151*模块规划!$D$17+K151*模块规划!$D$16+L151*模块规划!$D$18))*(1+模块规划!$J$17*J151))*F151/(1-Q151)</f>
        <v>2083162.46186865</v>
      </c>
      <c r="AO151" s="1">
        <f t="shared" si="202"/>
        <v>59169717.3262005</v>
      </c>
      <c r="AP151" s="1">
        <f>IF(AO151="","",_xlfn.XLOOKUP(AO151,_曲线基线!$E$3:$E$502,_曲线基线!$A$3:$A$502,500,1))</f>
        <v>248</v>
      </c>
      <c r="AQ151" s="15">
        <f t="shared" si="205"/>
        <v>5</v>
      </c>
    </row>
    <row r="152" customHeight="1" spans="1:43">
      <c r="A152" s="1" t="str">
        <f>IFERROR(_xlfn.XLOOKUP(B152,_曲线基线!$G$3:$G$107,_曲线基线!$J$3:$J$107,""),"")</f>
        <v/>
      </c>
      <c r="B152" s="1">
        <v>141</v>
      </c>
      <c r="C152" s="1">
        <f t="shared" si="153"/>
        <v>10</v>
      </c>
      <c r="D152" s="1">
        <f t="shared" si="154"/>
        <v>12</v>
      </c>
      <c r="E152" s="1">
        <f t="shared" si="180"/>
        <v>1</v>
      </c>
      <c r="F152" s="11">
        <f t="shared" si="203"/>
        <v>5</v>
      </c>
      <c r="G152" s="12">
        <f t="shared" ref="G152:L152" si="216">IF($B152&lt;G$8,0,G$3+(G$4-G$3)*(POWER(G$5,$B152-G$8)-1)/(POWER(G$5,$C$5-G$8)-1))</f>
        <v>0.803559393302333</v>
      </c>
      <c r="H152" s="12">
        <f t="shared" si="216"/>
        <v>0.649267991953991</v>
      </c>
      <c r="I152" s="12">
        <f t="shared" si="216"/>
        <v>0.519559433874226</v>
      </c>
      <c r="J152" s="12">
        <f t="shared" si="216"/>
        <v>0.539812476725533</v>
      </c>
      <c r="K152" s="12">
        <f t="shared" si="216"/>
        <v>0.37620204513118</v>
      </c>
      <c r="L152" s="12">
        <f t="shared" si="216"/>
        <v>0.648227622912358</v>
      </c>
      <c r="M152" s="2">
        <f>E152*模块规划!$F$10+G152*模块规划!$F$11+H152*模块规划!$F$13</f>
        <v>4857.0850878512</v>
      </c>
      <c r="N152" s="2">
        <f>I152*模块规划!$F$15+J152*模块规划!$F$17+K152*模块规划!$F$16+L152*模块规划!$F$18</f>
        <v>15052.950623598</v>
      </c>
      <c r="O152" s="2">
        <f t="shared" si="182"/>
        <v>3.02975487035361</v>
      </c>
      <c r="P152" s="13">
        <f t="shared" si="183"/>
        <v>29768.7278242371</v>
      </c>
      <c r="Q152" s="7">
        <f>P152/(P152+_曲线基线!$L$2)</f>
        <v>0.553643893557369</v>
      </c>
      <c r="R152" s="2">
        <f>E152*模块规划!$E$10+G152*模块规划!$E$11+H152*模块规划!$E$13</f>
        <v>7285.62763177679</v>
      </c>
      <c r="S152" s="2">
        <f>I152*模块规划!$E$15+J152*模块规划!$E$17+K152*模块规划!$E$16+L152*模块规划!$E$18</f>
        <v>22579.425935397</v>
      </c>
      <c r="T152" s="2">
        <f t="shared" si="184"/>
        <v>3.02975487035361</v>
      </c>
      <c r="U152" s="13">
        <f t="shared" si="185"/>
        <v>44653.0917363556</v>
      </c>
      <c r="V152" s="2">
        <f t="shared" si="186"/>
        <v>0.894780397586197</v>
      </c>
      <c r="W152" s="2">
        <f t="shared" si="187"/>
        <v>0.259707196781597</v>
      </c>
      <c r="X152" s="2">
        <f t="shared" si="188"/>
        <v>0.453548697787348</v>
      </c>
      <c r="Y152" s="2">
        <f t="shared" si="189"/>
        <v>1</v>
      </c>
      <c r="Z152" s="2">
        <f t="shared" si="190"/>
        <v>1</v>
      </c>
      <c r="AA152" s="2">
        <f t="shared" si="191"/>
        <v>1</v>
      </c>
      <c r="AB152" s="2">
        <f t="shared" si="192"/>
        <v>1</v>
      </c>
      <c r="AC152" s="2">
        <f t="shared" si="193"/>
        <v>1</v>
      </c>
      <c r="AD152" s="1">
        <f t="shared" si="194"/>
        <v>1.79855564900153</v>
      </c>
      <c r="AE152" s="2">
        <f t="shared" si="195"/>
        <v>1</v>
      </c>
      <c r="AF152" s="2">
        <f t="shared" si="196"/>
        <v>1.17914435697858</v>
      </c>
      <c r="AG152" s="2">
        <f t="shared" si="197"/>
        <v>1.31748361042315</v>
      </c>
      <c r="AH152" s="2">
        <f>MIN(1,_曲线基线!$L$3+AH$9*($H$10*H152+$I$10*I152+$J$10*J152+$K$10*K152+$L$10*L152))</f>
        <v>0.457553412126264</v>
      </c>
      <c r="AI152" s="2">
        <f>_曲线基线!$L$4+AI$9*($H$10*H152+$I$10*I152+$J$10*J152+$K$10*K152+$L$10*L152)</f>
        <v>3.13532736235174</v>
      </c>
      <c r="AJ152" s="2">
        <f t="shared" si="198"/>
        <v>1.9315506562886</v>
      </c>
      <c r="AK152" s="1">
        <f t="shared" si="199"/>
        <v>3.81872648715253</v>
      </c>
      <c r="AL152" s="1">
        <f t="shared" si="200"/>
        <v>1533430.05850743</v>
      </c>
      <c r="AM152" s="14">
        <f t="shared" si="201"/>
        <v>39.0637716992419</v>
      </c>
      <c r="AN152" s="14">
        <f>(((E152*模块规划!$D$10+G152*模块规划!$D$11+H152*模块规划!$D$13)*(1+模块规划!$G$14*H152)+(I152*模块规划!$D$15+J152*模块规划!$D$17+K152*模块规划!$D$16+L152*模块规划!$D$18))*(1+模块规划!$J$17*J152))*F152/(1-Q152)</f>
        <v>2099442.82764346</v>
      </c>
      <c r="AO152" s="1">
        <f t="shared" si="202"/>
        <v>59901561.7222893</v>
      </c>
      <c r="AP152" s="1">
        <f>IF(AO152="","",_xlfn.XLOOKUP(AO152,_曲线基线!$E$3:$E$502,_曲线基线!$A$3:$A$502,500,1))</f>
        <v>249</v>
      </c>
      <c r="AQ152" s="15">
        <f t="shared" si="205"/>
        <v>5</v>
      </c>
    </row>
    <row r="153" customHeight="1" spans="1:43">
      <c r="A153" s="1" t="str">
        <f>IFERROR(_xlfn.XLOOKUP(B153,_曲线基线!$G$3:$G$107,_曲线基线!$J$3:$J$107,""),"")</f>
        <v/>
      </c>
      <c r="B153" s="1">
        <v>142</v>
      </c>
      <c r="C153" s="1">
        <f t="shared" si="153"/>
        <v>10</v>
      </c>
      <c r="D153" s="1">
        <f t="shared" si="154"/>
        <v>13</v>
      </c>
      <c r="E153" s="1">
        <f t="shared" si="180"/>
        <v>1</v>
      </c>
      <c r="F153" s="11">
        <f t="shared" si="203"/>
        <v>5</v>
      </c>
      <c r="G153" s="12">
        <f t="shared" ref="G153:L153" si="217">IF($B153&lt;G$8,0,G$3+(G$4-G$3)*(POWER(G$5,$B153-G$8)-1)/(POWER(G$5,$C$5-G$8)-1))</f>
        <v>0.805211192857293</v>
      </c>
      <c r="H153" s="12">
        <f t="shared" si="217"/>
        <v>0.650349174354423</v>
      </c>
      <c r="I153" s="12">
        <f t="shared" si="217"/>
        <v>0.52233933653981</v>
      </c>
      <c r="J153" s="12">
        <f t="shared" si="217"/>
        <v>0.541095171682747</v>
      </c>
      <c r="K153" s="12">
        <f t="shared" si="217"/>
        <v>0.38203712916353</v>
      </c>
      <c r="L153" s="12">
        <f t="shared" si="217"/>
        <v>0.649330977285497</v>
      </c>
      <c r="M153" s="2">
        <f>E153*模块规划!$F$10+G153*模块规划!$F$11+H153*模块规划!$F$13</f>
        <v>4865.01372571501</v>
      </c>
      <c r="N153" s="2">
        <f>I153*模块规划!$F$15+J153*模块规划!$F$17+K153*模块规划!$F$16+L153*模块规划!$F$18</f>
        <v>15128.5440705546</v>
      </c>
      <c r="O153" s="2">
        <f t="shared" si="182"/>
        <v>3.03809705245767</v>
      </c>
      <c r="P153" s="13">
        <f t="shared" si="183"/>
        <v>29908.9279308155</v>
      </c>
      <c r="Q153" s="7">
        <f>P153/(P153+_曲线基线!$L$2)</f>
        <v>0.554804724909376</v>
      </c>
      <c r="R153" s="2">
        <f>E153*模块规划!$E$10+G153*模块规划!$E$11+H153*模块规划!$E$13</f>
        <v>7297.52058857251</v>
      </c>
      <c r="S153" s="2">
        <f>I153*模块规划!$E$15+J153*模块规划!$E$17+K153*模块规划!$E$16+L153*模块规划!$E$18</f>
        <v>22692.8161058319</v>
      </c>
      <c r="T153" s="2">
        <f t="shared" si="184"/>
        <v>3.03809705245767</v>
      </c>
      <c r="U153" s="13">
        <f t="shared" si="185"/>
        <v>44863.3918962232</v>
      </c>
      <c r="V153" s="2">
        <f t="shared" si="186"/>
        <v>0.895104752306327</v>
      </c>
      <c r="W153" s="2">
        <f t="shared" si="187"/>
        <v>0.260139669741769</v>
      </c>
      <c r="X153" s="2">
        <f t="shared" si="188"/>
        <v>0.453846022947466</v>
      </c>
      <c r="Y153" s="2">
        <f t="shared" si="189"/>
        <v>1</v>
      </c>
      <c r="Z153" s="2">
        <f t="shared" si="190"/>
        <v>1</v>
      </c>
      <c r="AA153" s="2">
        <f t="shared" si="191"/>
        <v>1</v>
      </c>
      <c r="AB153" s="2">
        <f t="shared" si="192"/>
        <v>1</v>
      </c>
      <c r="AC153" s="2">
        <f t="shared" si="193"/>
        <v>1</v>
      </c>
      <c r="AD153" s="1">
        <f t="shared" si="194"/>
        <v>1.80056540337081</v>
      </c>
      <c r="AE153" s="2">
        <f t="shared" si="195"/>
        <v>1</v>
      </c>
      <c r="AF153" s="2">
        <f t="shared" si="196"/>
        <v>1.1798806305408</v>
      </c>
      <c r="AG153" s="2">
        <f t="shared" si="197"/>
        <v>1.31878845079175</v>
      </c>
      <c r="AH153" s="2">
        <f>MIN(1,_曲线基线!$L$3+AH$9*($H$10*H153+$I$10*I153+$J$10*J153+$K$10*K153+$L$10*L153))</f>
        <v>0.459228434480317</v>
      </c>
      <c r="AI153" s="2">
        <f>_曲线基线!$L$4+AI$9*($H$10*H153+$I$10*I153+$J$10*J153+$K$10*K153+$L$10*L153)</f>
        <v>3.13999349605231</v>
      </c>
      <c r="AJ153" s="2">
        <f t="shared" si="198"/>
        <v>1.93537927881215</v>
      </c>
      <c r="AK153" s="1">
        <f t="shared" si="199"/>
        <v>3.83736525838168</v>
      </c>
      <c r="AL153" s="1">
        <f t="shared" si="200"/>
        <v>1549901.68428811</v>
      </c>
      <c r="AM153" s="14">
        <f t="shared" si="201"/>
        <v>39.1178340561562</v>
      </c>
      <c r="AN153" s="14">
        <f>(((E153*模块规划!$D$10+G153*模块规划!$D$11+H153*模块规划!$D$13)*(1+模块规划!$G$14*H153)+(I153*模块规划!$D$15+J153*模块规划!$D$17+K153*模块规划!$D$16+L153*模块规划!$D$18))*(1+模块规划!$J$17*J153))*F153/(1-Q153)</f>
        <v>2115486.46706194</v>
      </c>
      <c r="AO153" s="1">
        <f t="shared" si="202"/>
        <v>60628796.8893392</v>
      </c>
      <c r="AP153" s="1">
        <f>IF(AO153="","",_xlfn.XLOOKUP(AO153,_曲线基线!$E$3:$E$502,_曲线基线!$A$3:$A$502,500,1))</f>
        <v>250</v>
      </c>
      <c r="AQ153" s="15">
        <f t="shared" si="205"/>
        <v>5</v>
      </c>
    </row>
    <row r="154" customHeight="1" spans="1:43">
      <c r="A154" s="1" t="str">
        <f>IFERROR(_xlfn.XLOOKUP(B154,_曲线基线!$G$3:$G$107,_曲线基线!$J$3:$J$107,""),"")</f>
        <v/>
      </c>
      <c r="B154" s="1">
        <v>143</v>
      </c>
      <c r="C154" s="1">
        <f t="shared" si="153"/>
        <v>10</v>
      </c>
      <c r="D154" s="1">
        <f t="shared" si="154"/>
        <v>14</v>
      </c>
      <c r="E154" s="1">
        <f t="shared" si="180"/>
        <v>1</v>
      </c>
      <c r="F154" s="11">
        <f t="shared" si="203"/>
        <v>5</v>
      </c>
      <c r="G154" s="12">
        <f t="shared" ref="G154:L154" si="218">IF($B154&lt;G$8,0,G$3+(G$4-G$3)*(POWER(G$5,$B154-G$8)-1)/(POWER(G$5,$C$5-G$8)-1))</f>
        <v>0.80683821541893</v>
      </c>
      <c r="H154" s="12">
        <f t="shared" si="218"/>
        <v>0.651408733106846</v>
      </c>
      <c r="I154" s="12">
        <f t="shared" si="218"/>
        <v>0.525063641152082</v>
      </c>
      <c r="J154" s="12">
        <f t="shared" si="218"/>
        <v>0.542352212740816</v>
      </c>
      <c r="K154" s="12">
        <f t="shared" si="218"/>
        <v>0.387755511515233</v>
      </c>
      <c r="L154" s="12">
        <f t="shared" si="218"/>
        <v>0.650412264571172</v>
      </c>
      <c r="M154" s="2">
        <f>E154*模块规划!$F$10+G154*模块规划!$F$11+H154*模块规划!$F$13</f>
        <v>4872.82343401086</v>
      </c>
      <c r="N154" s="2">
        <f>I154*模块规划!$F$15+J154*模块规划!$F$17+K154*模块规划!$F$16+L154*模块规划!$F$18</f>
        <v>15202.6256485721</v>
      </c>
      <c r="O154" s="2">
        <f t="shared" si="182"/>
        <v>3.04627239091966</v>
      </c>
      <c r="P154" s="13">
        <f t="shared" si="183"/>
        <v>30046.5731414257</v>
      </c>
      <c r="Q154" s="7">
        <f>P154/(P154+_曲线基线!$L$2)</f>
        <v>0.555938543278252</v>
      </c>
      <c r="R154" s="2">
        <f>E154*模块规划!$E$10+G154*模块规划!$E$11+H154*模块规划!$E$13</f>
        <v>7309.23515101629</v>
      </c>
      <c r="S154" s="2">
        <f>I154*模块规划!$E$15+J154*模块规划!$E$17+K154*模块规划!$E$16+L154*模块规划!$E$18</f>
        <v>22803.9384728581</v>
      </c>
      <c r="T154" s="2">
        <f t="shared" si="184"/>
        <v>3.04627239091966</v>
      </c>
      <c r="U154" s="13">
        <f t="shared" si="185"/>
        <v>45069.8597121385</v>
      </c>
      <c r="V154" s="2">
        <f t="shared" si="186"/>
        <v>0.895422619932054</v>
      </c>
      <c r="W154" s="2">
        <f t="shared" si="187"/>
        <v>0.260563493242738</v>
      </c>
      <c r="X154" s="2">
        <f t="shared" si="188"/>
        <v>0.454137401604383</v>
      </c>
      <c r="Y154" s="2">
        <f t="shared" si="189"/>
        <v>1</v>
      </c>
      <c r="Z154" s="2">
        <f t="shared" si="190"/>
        <v>1</v>
      </c>
      <c r="AA154" s="2">
        <f t="shared" si="191"/>
        <v>1</v>
      </c>
      <c r="AB154" s="2">
        <f t="shared" si="192"/>
        <v>1</v>
      </c>
      <c r="AC154" s="2">
        <f t="shared" si="193"/>
        <v>1</v>
      </c>
      <c r="AD154" s="1">
        <f t="shared" si="194"/>
        <v>1.80253633331299</v>
      </c>
      <c r="AE154" s="2">
        <f t="shared" si="195"/>
        <v>1</v>
      </c>
      <c r="AF154" s="2">
        <f t="shared" si="196"/>
        <v>1.18060217863178</v>
      </c>
      <c r="AG154" s="2">
        <f t="shared" si="197"/>
        <v>1.32006719435298</v>
      </c>
      <c r="AH154" s="2">
        <f>MIN(1,_曲线基线!$L$3+AH$9*($H$10*H154+$I$10*I154+$J$10*J154+$K$10*K154+$L$10*L154))</f>
        <v>0.460869956387289</v>
      </c>
      <c r="AI154" s="2">
        <f>_曲线基线!$L$4+AI$9*($H$10*H154+$I$10*I154+$J$10*J154+$K$10*K154+$L$10*L154)</f>
        <v>3.14456630707888</v>
      </c>
      <c r="AJ154" s="2">
        <f t="shared" si="198"/>
        <v>1.93913132888523</v>
      </c>
      <c r="AK154" s="1">
        <f t="shared" si="199"/>
        <v>3.85570315373489</v>
      </c>
      <c r="AL154" s="1">
        <f t="shared" si="200"/>
        <v>1566187.77136625</v>
      </c>
      <c r="AM154" s="14">
        <f t="shared" si="201"/>
        <v>39.1724370366396</v>
      </c>
      <c r="AN154" s="14">
        <f>(((E154*模块规划!$D$10+G154*模块规划!$D$11+H154*模块规划!$D$13)*(1+模块规划!$G$14*H154)+(I154*模块规划!$D$15+J154*模块规划!$D$17+K154*模块规划!$D$16+L154*模块规划!$D$18))*(1+模块规划!$J$17*J154))*F154/(1-Q154)</f>
        <v>2131295.24901212</v>
      </c>
      <c r="AO154" s="1">
        <f t="shared" si="202"/>
        <v>61351391.8613992</v>
      </c>
      <c r="AP154" s="1">
        <f>IF(AO154="","",_xlfn.XLOOKUP(AO154,_曲线基线!$E$3:$E$502,_曲线基线!$A$3:$A$502,500,1))</f>
        <v>251</v>
      </c>
      <c r="AQ154" s="15">
        <f t="shared" si="205"/>
        <v>5</v>
      </c>
    </row>
    <row r="155" customHeight="1" spans="1:43">
      <c r="A155" s="1" t="str">
        <f>IFERROR(_xlfn.XLOOKUP(B155,_曲线基线!$G$3:$G$107,_曲线基线!$J$3:$J$107,""),"")</f>
        <v/>
      </c>
      <c r="B155" s="1">
        <v>144</v>
      </c>
      <c r="C155" s="1">
        <f t="shared" si="153"/>
        <v>10</v>
      </c>
      <c r="D155" s="1">
        <f t="shared" si="154"/>
        <v>15</v>
      </c>
      <c r="E155" s="1">
        <f t="shared" si="180"/>
        <v>1</v>
      </c>
      <c r="F155" s="11">
        <f t="shared" si="203"/>
        <v>5</v>
      </c>
      <c r="G155" s="12">
        <f t="shared" ref="G155:L155" si="219">IF($B155&lt;G$8,0,G$3+(G$4-G$3)*(POWER(G$5,$B155-G$8)-1)/(POWER(G$5,$C$5-G$8)-1))</f>
        <v>0.808440832642142</v>
      </c>
      <c r="H155" s="12">
        <f t="shared" si="219"/>
        <v>0.65244710068422</v>
      </c>
      <c r="I155" s="12">
        <f t="shared" si="219"/>
        <v>0.527733459672109</v>
      </c>
      <c r="J155" s="12">
        <f t="shared" si="219"/>
        <v>0.543584112977723</v>
      </c>
      <c r="K155" s="12">
        <f t="shared" si="219"/>
        <v>0.393359526219901</v>
      </c>
      <c r="L155" s="12">
        <f t="shared" si="219"/>
        <v>0.651471926111134</v>
      </c>
      <c r="M155" s="2">
        <f>E155*模块规划!$F$10+G155*模块规划!$F$11+H155*模块规划!$F$13</f>
        <v>4880.51599668228</v>
      </c>
      <c r="N155" s="2">
        <f>I155*模块规划!$F$15+J155*模块规划!$F$17+K155*模块规划!$F$16+L155*模块规划!$F$18</f>
        <v>15275.2255950292</v>
      </c>
      <c r="O155" s="2">
        <f t="shared" si="182"/>
        <v>3.0542842226124</v>
      </c>
      <c r="P155" s="13">
        <f t="shared" si="183"/>
        <v>30181.7086019033</v>
      </c>
      <c r="Q155" s="7">
        <f>P155/(P155+_曲线基线!$L$2)</f>
        <v>0.557046084014469</v>
      </c>
      <c r="R155" s="2">
        <f>E155*模块规划!$E$10+G155*模块规划!$E$11+H155*模块规划!$E$13</f>
        <v>7320.77399502342</v>
      </c>
      <c r="S155" s="2">
        <f>I155*模块规划!$E$15+J155*模块规划!$E$17+K155*模块规划!$E$16+L155*模块规划!$E$18</f>
        <v>22912.8383925438</v>
      </c>
      <c r="T155" s="2">
        <f t="shared" si="184"/>
        <v>3.0542842226124</v>
      </c>
      <c r="U155" s="13">
        <f t="shared" si="185"/>
        <v>45272.5629028549</v>
      </c>
      <c r="V155" s="2">
        <f t="shared" si="186"/>
        <v>0.895734130205266</v>
      </c>
      <c r="W155" s="2">
        <f t="shared" si="187"/>
        <v>0.260978840273688</v>
      </c>
      <c r="X155" s="2">
        <f t="shared" si="188"/>
        <v>0.454422952688161</v>
      </c>
      <c r="Y155" s="2">
        <f t="shared" si="189"/>
        <v>1</v>
      </c>
      <c r="Z155" s="2">
        <f t="shared" si="190"/>
        <v>1</v>
      </c>
      <c r="AA155" s="2">
        <f t="shared" si="191"/>
        <v>1</v>
      </c>
      <c r="AB155" s="2">
        <f t="shared" si="192"/>
        <v>1</v>
      </c>
      <c r="AC155" s="2">
        <f t="shared" si="193"/>
        <v>1</v>
      </c>
      <c r="AD155" s="1">
        <f t="shared" si="194"/>
        <v>1.80446916103847</v>
      </c>
      <c r="AE155" s="2">
        <f t="shared" si="195"/>
        <v>1</v>
      </c>
      <c r="AF155" s="2">
        <f t="shared" si="196"/>
        <v>1.18130929576093</v>
      </c>
      <c r="AG155" s="2">
        <f t="shared" si="197"/>
        <v>1.32132036304299</v>
      </c>
      <c r="AH155" s="2">
        <f>MIN(1,_曲线基线!$L$3+AH$9*($H$10*H155+$I$10*I155+$J$10*J155+$K$10*K155+$L$10*L155))</f>
        <v>0.462478647856121</v>
      </c>
      <c r="AI155" s="2">
        <f>_曲线基线!$L$4+AI$9*($H$10*H155+$I$10*I155+$J$10*J155+$K$10*K155+$L$10*L155)</f>
        <v>3.14904766188491</v>
      </c>
      <c r="AJ155" s="2">
        <f t="shared" si="198"/>
        <v>1.94280833795685</v>
      </c>
      <c r="AK155" s="1">
        <f t="shared" si="199"/>
        <v>3.87374350747972</v>
      </c>
      <c r="AL155" s="1">
        <f t="shared" si="200"/>
        <v>1582287.54937495</v>
      </c>
      <c r="AM155" s="14">
        <f t="shared" si="201"/>
        <v>39.2275860469279</v>
      </c>
      <c r="AN155" s="14">
        <f>(((E155*模块规划!$D$10+G155*模块规划!$D$11+H155*模块规划!$D$13)*(1+模块规划!$G$14*H155)+(I155*模块规划!$D$15+J155*模块规划!$D$17+K155*模块规划!$D$16+L155*模块规划!$D$18))*(1+模块规划!$J$17*J155))*F155/(1-Q155)</f>
        <v>2146871.09901702</v>
      </c>
      <c r="AO155" s="1">
        <f t="shared" si="202"/>
        <v>62069320.9940885</v>
      </c>
      <c r="AP155" s="1">
        <f>IF(AO155="","",_xlfn.XLOOKUP(AO155,_曲线基线!$E$3:$E$502,_曲线基线!$A$3:$A$502,500,1))</f>
        <v>251</v>
      </c>
      <c r="AQ155" s="15">
        <f t="shared" si="205"/>
        <v>5</v>
      </c>
    </row>
    <row r="156" customHeight="1" spans="1:43">
      <c r="A156" s="1" t="str">
        <f>IFERROR(_xlfn.XLOOKUP(B156,_曲线基线!$G$3:$G$107,_曲线基线!$J$3:$J$107,""),"")</f>
        <v/>
      </c>
      <c r="B156" s="1">
        <v>145</v>
      </c>
      <c r="C156" s="1">
        <f t="shared" si="153"/>
        <v>11</v>
      </c>
      <c r="D156" s="1">
        <f t="shared" si="154"/>
        <v>1</v>
      </c>
      <c r="E156" s="1">
        <f t="shared" si="180"/>
        <v>1</v>
      </c>
      <c r="F156" s="11">
        <f t="shared" si="203"/>
        <v>5</v>
      </c>
      <c r="G156" s="12">
        <f t="shared" ref="G156:L156" si="220">IF($B156&lt;G$8,0,G$3+(G$4-G$3)*(POWER(G$5,$B156-G$8)-1)/(POWER(G$5,$C$5-G$8)-1))</f>
        <v>0.810019410607005</v>
      </c>
      <c r="H156" s="12">
        <f t="shared" si="220"/>
        <v>0.653464700910047</v>
      </c>
      <c r="I156" s="12">
        <f t="shared" si="220"/>
        <v>0.530349881821735</v>
      </c>
      <c r="J156" s="12">
        <f t="shared" si="220"/>
        <v>0.544791375209893</v>
      </c>
      <c r="K156" s="12">
        <f t="shared" si="220"/>
        <v>0.398851460630477</v>
      </c>
      <c r="L156" s="12">
        <f t="shared" si="220"/>
        <v>0.652510394420298</v>
      </c>
      <c r="M156" s="2">
        <f>E156*模块规划!$F$10+G156*模块规划!$F$11+H156*模块规划!$F$13</f>
        <v>4888.09317091363</v>
      </c>
      <c r="N156" s="2">
        <f>I156*模块规划!$F$15+J156*模块规划!$F$17+K156*模块规划!$F$16+L156*模块规划!$F$18</f>
        <v>15346.3735425572</v>
      </c>
      <c r="O156" s="2">
        <f t="shared" si="182"/>
        <v>3.06213581767129</v>
      </c>
      <c r="P156" s="13">
        <f t="shared" si="183"/>
        <v>30314.3787213262</v>
      </c>
      <c r="Q156" s="7">
        <f>P156/(P156+_曲线基线!$L$2)</f>
        <v>0.558128058075779</v>
      </c>
      <c r="R156" s="2">
        <f>E156*模块规划!$E$10+G156*模块规划!$E$11+H156*模块规划!$E$13</f>
        <v>7332.13975637044</v>
      </c>
      <c r="S156" s="2">
        <f>I156*模块规划!$E$15+J156*模块规划!$E$17+K156*模块规划!$E$16+L156*模块规划!$E$18</f>
        <v>23019.5603138357</v>
      </c>
      <c r="T156" s="2">
        <f t="shared" si="184"/>
        <v>3.06213581767129</v>
      </c>
      <c r="U156" s="13">
        <f t="shared" si="185"/>
        <v>45471.5680819893</v>
      </c>
      <c r="V156" s="2">
        <f t="shared" si="186"/>
        <v>0.896039410273014</v>
      </c>
      <c r="W156" s="2">
        <f t="shared" si="187"/>
        <v>0.261385880364019</v>
      </c>
      <c r="X156" s="2">
        <f t="shared" si="188"/>
        <v>0.454702792750263</v>
      </c>
      <c r="Y156" s="2">
        <f t="shared" si="189"/>
        <v>1</v>
      </c>
      <c r="Z156" s="2">
        <f t="shared" si="190"/>
        <v>1</v>
      </c>
      <c r="AA156" s="2">
        <f t="shared" si="191"/>
        <v>1</v>
      </c>
      <c r="AB156" s="2">
        <f t="shared" si="192"/>
        <v>1</v>
      </c>
      <c r="AC156" s="2">
        <f t="shared" si="193"/>
        <v>1</v>
      </c>
      <c r="AD156" s="1">
        <f t="shared" si="194"/>
        <v>1.80636459646285</v>
      </c>
      <c r="AE156" s="2">
        <f t="shared" si="195"/>
        <v>1</v>
      </c>
      <c r="AF156" s="2">
        <f t="shared" si="196"/>
        <v>1.18200227054751</v>
      </c>
      <c r="AG156" s="2">
        <f t="shared" si="197"/>
        <v>1.32254846835919</v>
      </c>
      <c r="AH156" s="2">
        <f>MIN(1,_曲线基线!$L$3+AH$9*($H$10*H156+$I$10*I156+$J$10*J156+$K$10*K156+$L$10*L156))</f>
        <v>0.464055165495577</v>
      </c>
      <c r="AI156" s="2">
        <f>_曲线基线!$L$4+AI$9*($H$10*H156+$I$10*I156+$J$10*J156+$K$10*K156+$L$10*L156)</f>
        <v>3.15343938959482</v>
      </c>
      <c r="AJ156" s="2">
        <f t="shared" si="198"/>
        <v>1.94641180684703</v>
      </c>
      <c r="AK156" s="1">
        <f t="shared" si="199"/>
        <v>3.89148968381223</v>
      </c>
      <c r="AL156" s="1">
        <f t="shared" si="200"/>
        <v>1598200.3876416</v>
      </c>
      <c r="AM156" s="14">
        <f t="shared" si="201"/>
        <v>39.283286547319</v>
      </c>
      <c r="AN156" s="14">
        <f>(((E156*模块规划!$D$10+G156*模块规划!$D$11+H156*模块规划!$D$13)*(1+模块规划!$G$14*H156)+(I156*模块规划!$D$15+J156*模块规划!$D$17+K156*模块规划!$D$16+L156*模块规划!$D$18))*(1+模块规划!$J$17*J156))*F156/(1-Q156)</f>
        <v>2162215.99514876</v>
      </c>
      <c r="AO156" s="1">
        <f t="shared" si="202"/>
        <v>62782563.7877612</v>
      </c>
      <c r="AP156" s="1">
        <f>IF(AO156="","",_xlfn.XLOOKUP(AO156,_曲线基线!$E$3:$E$502,_曲线基线!$A$3:$A$502,500,1))</f>
        <v>252</v>
      </c>
      <c r="AQ156" s="15">
        <f t="shared" si="205"/>
        <v>5</v>
      </c>
    </row>
    <row r="157" customHeight="1" spans="1:43">
      <c r="A157" s="1" t="str">
        <f>IFERROR(_xlfn.XLOOKUP(B157,_曲线基线!$G$3:$G$107,_曲线基线!$J$3:$J$107,""),"")</f>
        <v/>
      </c>
      <c r="B157" s="1">
        <v>146</v>
      </c>
      <c r="C157" s="1">
        <f t="shared" si="153"/>
        <v>11</v>
      </c>
      <c r="D157" s="1">
        <f t="shared" si="154"/>
        <v>2</v>
      </c>
      <c r="E157" s="1">
        <f t="shared" si="180"/>
        <v>1</v>
      </c>
      <c r="F157" s="11">
        <f t="shared" si="203"/>
        <v>5</v>
      </c>
      <c r="G157" s="12">
        <f t="shared" ref="G157:L157" si="221">IF($B157&lt;G$8,0,G$3+(G$4-G$3)*(POWER(G$5,$B157-G$8)-1)/(POWER(G$5,$C$5-G$8)-1))</f>
        <v>0.811574309902396</v>
      </c>
      <c r="H157" s="12">
        <f t="shared" si="221"/>
        <v>0.654461949131358</v>
      </c>
      <c r="I157" s="12">
        <f t="shared" si="221"/>
        <v>0.532913975528368</v>
      </c>
      <c r="J157" s="12">
        <f t="shared" si="221"/>
        <v>0.545974492197419</v>
      </c>
      <c r="K157" s="12">
        <f t="shared" si="221"/>
        <v>0.404233556352841</v>
      </c>
      <c r="L157" s="12">
        <f t="shared" si="221"/>
        <v>0.653528093363277</v>
      </c>
      <c r="M157" s="2">
        <f>E157*模块规划!$F$10+G157*模块规划!$F$11+H157*模块规划!$F$13</f>
        <v>4895.5566875315</v>
      </c>
      <c r="N157" s="2">
        <f>I157*模块规划!$F$15+J157*模块规划!$F$17+K157*模块规划!$F$16+L157*模块规划!$F$18</f>
        <v>15416.0985311346</v>
      </c>
      <c r="O157" s="2">
        <f t="shared" si="182"/>
        <v>3.069830380829</v>
      </c>
      <c r="P157" s="13">
        <f t="shared" si="183"/>
        <v>30444.6271815893</v>
      </c>
      <c r="Q157" s="7">
        <f>P157/(P157+_曲线基线!$L$2)</f>
        <v>0.559185153018815</v>
      </c>
      <c r="R157" s="2">
        <f>E157*模块规划!$E$10+G157*模块规划!$E$11+H157*模块规划!$E$13</f>
        <v>7343.33503129725</v>
      </c>
      <c r="S157" s="2">
        <f>I157*模块规划!$E$15+J157*模块规划!$E$17+K157*模块规划!$E$16+L157*模块规划!$E$18</f>
        <v>23124.1477967019</v>
      </c>
      <c r="T157" s="2">
        <f t="shared" si="184"/>
        <v>3.069830380829</v>
      </c>
      <c r="U157" s="13">
        <f t="shared" si="185"/>
        <v>45666.940772384</v>
      </c>
      <c r="V157" s="2">
        <f t="shared" si="186"/>
        <v>0.896338584739407</v>
      </c>
      <c r="W157" s="2">
        <f t="shared" si="187"/>
        <v>0.261784779652543</v>
      </c>
      <c r="X157" s="2">
        <f t="shared" si="188"/>
        <v>0.454977036011123</v>
      </c>
      <c r="Y157" s="2">
        <f t="shared" si="189"/>
        <v>1</v>
      </c>
      <c r="Z157" s="2">
        <f t="shared" si="190"/>
        <v>1</v>
      </c>
      <c r="AA157" s="2">
        <f t="shared" si="191"/>
        <v>1</v>
      </c>
      <c r="AB157" s="2">
        <f t="shared" si="192"/>
        <v>1</v>
      </c>
      <c r="AC157" s="2">
        <f t="shared" si="193"/>
        <v>1</v>
      </c>
      <c r="AD157" s="1">
        <f t="shared" si="194"/>
        <v>1.80822333736772</v>
      </c>
      <c r="AE157" s="2">
        <f t="shared" si="195"/>
        <v>1</v>
      </c>
      <c r="AF157" s="2">
        <f t="shared" si="196"/>
        <v>1.18268138583835</v>
      </c>
      <c r="AG157" s="2">
        <f t="shared" si="197"/>
        <v>1.32375201156908</v>
      </c>
      <c r="AH157" s="2">
        <f>MIN(1,_曲线基线!$L$3+AH$9*($H$10*H157+$I$10*I157+$J$10*J157+$K$10*K157+$L$10*L157))</f>
        <v>0.465600152782243</v>
      </c>
      <c r="AI157" s="2">
        <f>_曲线基线!$L$4+AI$9*($H$10*H157+$I$10*I157+$J$10*J157+$K$10*K157+$L$10*L157)</f>
        <v>3.15774328275054</v>
      </c>
      <c r="AJ157" s="2">
        <f t="shared" si="198"/>
        <v>1.94994320635941</v>
      </c>
      <c r="AK157" s="1">
        <f t="shared" si="199"/>
        <v>3.90894507299951</v>
      </c>
      <c r="AL157" s="1">
        <f t="shared" si="200"/>
        <v>1613925.7899855</v>
      </c>
      <c r="AM157" s="14">
        <f t="shared" si="201"/>
        <v>39.3395440527141</v>
      </c>
      <c r="AN157" s="14">
        <f>(((E157*模块规划!$D$10+G157*模块规划!$D$11+H157*模块规划!$D$13)*(1+模块规划!$G$14*H157)+(I157*模块规划!$D$15+J157*模块规划!$D$17+K157*模块规划!$D$16+L157*模块规划!$D$18))*(1+模块规划!$J$17*J157))*F157/(1-Q157)</f>
        <v>2177331.96410555</v>
      </c>
      <c r="AO157" s="1">
        <f t="shared" si="202"/>
        <v>63491104.7129459</v>
      </c>
      <c r="AP157" s="1">
        <f>IF(AO157="","",_xlfn.XLOOKUP(AO157,_曲线基线!$E$3:$E$502,_曲线基线!$A$3:$A$502,500,1))</f>
        <v>253</v>
      </c>
      <c r="AQ157" s="15">
        <f t="shared" si="205"/>
        <v>5</v>
      </c>
    </row>
    <row r="158" customHeight="1" spans="1:43">
      <c r="A158" s="1" t="str">
        <f>IFERROR(_xlfn.XLOOKUP(B158,_曲线基线!$G$3:$G$107,_曲线基线!$J$3:$J$107,""),"")</f>
        <v/>
      </c>
      <c r="B158" s="1">
        <v>147</v>
      </c>
      <c r="C158" s="1">
        <f t="shared" si="153"/>
        <v>11</v>
      </c>
      <c r="D158" s="1">
        <f t="shared" si="154"/>
        <v>3</v>
      </c>
      <c r="E158" s="1">
        <f t="shared" si="180"/>
        <v>1</v>
      </c>
      <c r="F158" s="11">
        <f t="shared" si="203"/>
        <v>5</v>
      </c>
      <c r="G158" s="12">
        <f t="shared" ref="G158:L158" si="222">IF($B158&lt;G$8,0,G$3+(G$4-G$3)*(POWER(G$5,$B158-G$8)-1)/(POWER(G$5,$C$5-G$8)-1))</f>
        <v>0.813105885708356</v>
      </c>
      <c r="H158" s="12">
        <f t="shared" si="222"/>
        <v>0.655439252388242</v>
      </c>
      <c r="I158" s="12">
        <f t="shared" si="222"/>
        <v>0.535426787360869</v>
      </c>
      <c r="J158" s="12">
        <f t="shared" si="222"/>
        <v>0.547133946845194</v>
      </c>
      <c r="K158" s="12">
        <f t="shared" si="222"/>
        <v>0.409508010160758</v>
      </c>
      <c r="L158" s="12">
        <f t="shared" si="222"/>
        <v>0.654525438327398</v>
      </c>
      <c r="M158" s="2">
        <f>E158*模块规划!$F$10+G158*模块规划!$F$11+H158*模块规划!$F$13</f>
        <v>4902.90825140011</v>
      </c>
      <c r="N158" s="2">
        <f>I158*模块规划!$F$15+J158*模块规划!$F$17+K158*模块规划!$F$16+L158*模块规划!$F$18</f>
        <v>15484.4290199404</v>
      </c>
      <c r="O158" s="2">
        <f t="shared" si="182"/>
        <v>3.07737105272355</v>
      </c>
      <c r="P158" s="13">
        <f t="shared" si="183"/>
        <v>30572.4969469586</v>
      </c>
      <c r="Q158" s="7">
        <f>P158/(P158+_曲线基线!$L$2)</f>
        <v>0.560218033942506</v>
      </c>
      <c r="R158" s="2">
        <f>E158*模块规划!$E$10+G158*模块规划!$E$11+H158*模块规划!$E$13</f>
        <v>7354.36237710016</v>
      </c>
      <c r="S158" s="2">
        <f>I158*模块规划!$E$15+J158*模块规划!$E$17+K158*模块规划!$E$16+L158*模块规划!$E$18</f>
        <v>23226.6435299106</v>
      </c>
      <c r="T158" s="2">
        <f t="shared" si="184"/>
        <v>3.07737105272355</v>
      </c>
      <c r="U158" s="13">
        <f t="shared" si="185"/>
        <v>45858.7454204378</v>
      </c>
      <c r="V158" s="2">
        <f t="shared" si="186"/>
        <v>0.896631775716473</v>
      </c>
      <c r="W158" s="2">
        <f t="shared" si="187"/>
        <v>0.262175700955297</v>
      </c>
      <c r="X158" s="2">
        <f t="shared" si="188"/>
        <v>0.455245794406766</v>
      </c>
      <c r="Y158" s="2">
        <f t="shared" si="189"/>
        <v>1</v>
      </c>
      <c r="Z158" s="2">
        <f t="shared" si="190"/>
        <v>1</v>
      </c>
      <c r="AA158" s="2">
        <f t="shared" si="191"/>
        <v>1</v>
      </c>
      <c r="AB158" s="2">
        <f t="shared" si="192"/>
        <v>1</v>
      </c>
      <c r="AC158" s="2">
        <f t="shared" si="193"/>
        <v>1</v>
      </c>
      <c r="AD158" s="1">
        <f t="shared" si="194"/>
        <v>1.81004606956159</v>
      </c>
      <c r="AE158" s="2">
        <f t="shared" si="195"/>
        <v>1</v>
      </c>
      <c r="AF158" s="2">
        <f t="shared" si="196"/>
        <v>1.18334691882337</v>
      </c>
      <c r="AG158" s="2">
        <f t="shared" si="197"/>
        <v>1.32493148391476</v>
      </c>
      <c r="AH158" s="2">
        <f>MIN(1,_曲线基线!$L$3+AH$9*($H$10*H158+$I$10*I158+$J$10*J158+$K$10*K158+$L$10*L158))</f>
        <v>0.467114240323177</v>
      </c>
      <c r="AI158" s="2">
        <f>_曲线基线!$L$4+AI$9*($H$10*H158+$I$10*I158+$J$10*J158+$K$10*K158+$L$10*L158)</f>
        <v>3.16196109804314</v>
      </c>
      <c r="AJ158" s="2">
        <f t="shared" si="198"/>
        <v>1.95340397788155</v>
      </c>
      <c r="AK158" s="1">
        <f t="shared" si="199"/>
        <v>3.92611308769522</v>
      </c>
      <c r="AL158" s="1">
        <f t="shared" si="200"/>
        <v>1629463.38959758</v>
      </c>
      <c r="AM158" s="14">
        <f t="shared" si="201"/>
        <v>39.3963641331631</v>
      </c>
      <c r="AN158" s="14">
        <f>(((E158*模块规划!$D$10+G158*模块规划!$D$11+H158*模块规划!$D$13)*(1+模块规划!$G$14*H158)+(I158*模块规划!$D$15+J158*模块规划!$D$17+K158*模块规划!$D$16+L158*模块规划!$D$18))*(1+模块规划!$J$17*J158))*F158/(1-Q158)</f>
        <v>2192221.07744696</v>
      </c>
      <c r="AO158" s="1">
        <f t="shared" si="202"/>
        <v>64194933.0382445</v>
      </c>
      <c r="AP158" s="1">
        <f>IF(AO158="","",_xlfn.XLOOKUP(AO158,_曲线基线!$E$3:$E$502,_曲线基线!$A$3:$A$502,500,1))</f>
        <v>254</v>
      </c>
      <c r="AQ158" s="15">
        <f t="shared" si="205"/>
        <v>5</v>
      </c>
    </row>
    <row r="159" customHeight="1" spans="1:43">
      <c r="A159" s="1" t="str">
        <f>IFERROR(_xlfn.XLOOKUP(B159,_曲线基线!$G$3:$G$107,_曲线基线!$J$3:$J$107,""),"")</f>
        <v/>
      </c>
      <c r="B159" s="1">
        <v>148</v>
      </c>
      <c r="C159" s="1">
        <f t="shared" si="153"/>
        <v>11</v>
      </c>
      <c r="D159" s="1">
        <f t="shared" si="154"/>
        <v>4</v>
      </c>
      <c r="E159" s="1">
        <f t="shared" si="180"/>
        <v>1</v>
      </c>
      <c r="F159" s="11">
        <f t="shared" si="203"/>
        <v>5</v>
      </c>
      <c r="G159" s="12">
        <f t="shared" ref="G159:L159" si="223">IF($B159&lt;G$8,0,G$3+(G$4-G$3)*(POWER(G$5,$B159-G$8)-1)/(POWER(G$5,$C$5-G$8)-1))</f>
        <v>0.814614487877227</v>
      </c>
      <c r="H159" s="12">
        <f t="shared" si="223"/>
        <v>0.656397009579988</v>
      </c>
      <c r="I159" s="12">
        <f t="shared" si="223"/>
        <v>0.53788934295672</v>
      </c>
      <c r="J159" s="12">
        <f t="shared" si="223"/>
        <v>0.548270212400014</v>
      </c>
      <c r="K159" s="12">
        <f t="shared" si="223"/>
        <v>0.414676974892516</v>
      </c>
      <c r="L159" s="12">
        <f t="shared" si="223"/>
        <v>0.655502836392235</v>
      </c>
      <c r="M159" s="2">
        <f>E159*模块规划!$F$10+G159*模块规划!$F$11+H159*模块规划!$F$13</f>
        <v>4910.14954181069</v>
      </c>
      <c r="N159" s="2">
        <f>I159*模块规划!$F$15+J159*模块规划!$F$17+K159*模块规划!$F$16+L159*模块规划!$F$18</f>
        <v>15551.3928989702</v>
      </c>
      <c r="O159" s="2">
        <f t="shared" si="182"/>
        <v>3.08476091118022</v>
      </c>
      <c r="P159" s="13">
        <f t="shared" si="183"/>
        <v>30698.0302735973</v>
      </c>
      <c r="Q159" s="7">
        <f>P159/(P159+_曲线基线!$L$2)</f>
        <v>0.561227344386023</v>
      </c>
      <c r="R159" s="2">
        <f>E159*模块规划!$E$10+G159*模块规划!$E$11+H159*模块规划!$E$13</f>
        <v>7365.22431271603</v>
      </c>
      <c r="S159" s="2">
        <f>I159*模块规划!$E$15+J159*模块规划!$E$17+K159*模块规划!$E$16+L159*模块规划!$E$18</f>
        <v>23327.0893484553</v>
      </c>
      <c r="T159" s="2">
        <f t="shared" si="184"/>
        <v>3.08476091118022</v>
      </c>
      <c r="U159" s="13">
        <f t="shared" si="185"/>
        <v>46047.0454103959</v>
      </c>
      <c r="V159" s="2">
        <f t="shared" si="186"/>
        <v>0.896919102873996</v>
      </c>
      <c r="W159" s="2">
        <f t="shared" si="187"/>
        <v>0.262558803831995</v>
      </c>
      <c r="X159" s="2">
        <f t="shared" si="188"/>
        <v>0.455509177634497</v>
      </c>
      <c r="Y159" s="2">
        <f t="shared" si="189"/>
        <v>1</v>
      </c>
      <c r="Z159" s="2">
        <f t="shared" si="190"/>
        <v>1</v>
      </c>
      <c r="AA159" s="2">
        <f t="shared" si="191"/>
        <v>1</v>
      </c>
      <c r="AB159" s="2">
        <f t="shared" si="192"/>
        <v>1</v>
      </c>
      <c r="AC159" s="2">
        <f t="shared" si="193"/>
        <v>1</v>
      </c>
      <c r="AD159" s="1">
        <f t="shared" si="194"/>
        <v>1.81183346704084</v>
      </c>
      <c r="AE159" s="2">
        <f t="shared" si="195"/>
        <v>1</v>
      </c>
      <c r="AF159" s="2">
        <f t="shared" si="196"/>
        <v>1.1839991411487</v>
      </c>
      <c r="AG159" s="2">
        <f t="shared" si="197"/>
        <v>1.32608736681353</v>
      </c>
      <c r="AH159" s="2">
        <f>MIN(1,_曲线基线!$L$3+AH$9*($H$10*H159+$I$10*I159+$J$10*J159+$K$10*K159+$L$10*L159))</f>
        <v>0.468598046113291</v>
      </c>
      <c r="AI159" s="2">
        <f>_曲线基线!$L$4+AI$9*($H$10*H159+$I$10*I159+$J$10*J159+$K$10*K159+$L$10*L159)</f>
        <v>3.16609455702988</v>
      </c>
      <c r="AJ159" s="2">
        <f t="shared" si="198"/>
        <v>1.95679553397324</v>
      </c>
      <c r="AK159" s="1">
        <f t="shared" si="199"/>
        <v>3.94299715942252</v>
      </c>
      <c r="AL159" s="1">
        <f t="shared" si="200"/>
        <v>1644812.94400631</v>
      </c>
      <c r="AM159" s="14">
        <f t="shared" si="201"/>
        <v>39.4537524144166</v>
      </c>
      <c r="AN159" s="14">
        <f>(((E159*模块规划!$D$10+G159*模块规划!$D$11+H159*模块规划!$D$13)*(1+模块规划!$G$14*H159)+(I159*模块规划!$D$15+J159*模块规划!$D$17+K159*模块规划!$D$16+L159*模块规划!$D$18))*(1+模块规划!$J$17*J159))*F159/(1-Q159)</f>
        <v>2206885.44798275</v>
      </c>
      <c r="AO159" s="1">
        <f t="shared" si="202"/>
        <v>64894042.6608527</v>
      </c>
      <c r="AP159" s="1">
        <f>IF(AO159="","",_xlfn.XLOOKUP(AO159,_曲线基线!$E$3:$E$502,_曲线基线!$A$3:$A$502,500,1))</f>
        <v>255</v>
      </c>
      <c r="AQ159" s="15">
        <f t="shared" si="205"/>
        <v>5</v>
      </c>
    </row>
    <row r="160" customHeight="1" spans="1:43">
      <c r="A160" s="1" t="str">
        <f>IFERROR(_xlfn.XLOOKUP(B160,_曲线基线!$G$3:$G$107,_曲线基线!$J$3:$J$107,""),"")</f>
        <v/>
      </c>
      <c r="B160" s="1">
        <v>149</v>
      </c>
      <c r="C160" s="1">
        <f t="shared" si="153"/>
        <v>11</v>
      </c>
      <c r="D160" s="1">
        <f t="shared" si="154"/>
        <v>5</v>
      </c>
      <c r="E160" s="1">
        <f t="shared" si="180"/>
        <v>1</v>
      </c>
      <c r="F160" s="11">
        <f t="shared" si="203"/>
        <v>5</v>
      </c>
      <c r="G160" s="12">
        <f t="shared" ref="G160:L160" si="224">IF($B160&lt;G$8,0,G$3+(G$4-G$3)*(POWER(G$5,$B160-G$8)-1)/(POWER(G$5,$C$5-G$8)-1))</f>
        <v>0.816100461013564</v>
      </c>
      <c r="H160" s="12">
        <f t="shared" si="224"/>
        <v>0.6573356116279</v>
      </c>
      <c r="I160" s="12">
        <f t="shared" si="224"/>
        <v>0.540302647440654</v>
      </c>
      <c r="J160" s="12">
        <f t="shared" si="224"/>
        <v>0.549383752643738</v>
      </c>
      <c r="K160" s="12">
        <f t="shared" si="224"/>
        <v>0.419742560329639</v>
      </c>
      <c r="L160" s="12">
        <f t="shared" si="224"/>
        <v>0.656460686495776</v>
      </c>
      <c r="M160" s="2">
        <f>E160*模块规划!$F$10+G160*模块规划!$F$11+H160*模块规划!$F$13</f>
        <v>4917.28221286511</v>
      </c>
      <c r="N160" s="2">
        <f>I160*模块规划!$F$15+J160*模块规划!$F$17+K160*模块规划!$F$16+L160*模块规划!$F$18</f>
        <v>15617.0175004193</v>
      </c>
      <c r="O160" s="2">
        <f t="shared" si="182"/>
        <v>3.09200297246775</v>
      </c>
      <c r="P160" s="13">
        <f t="shared" si="183"/>
        <v>30821.268719061</v>
      </c>
      <c r="Q160" s="7">
        <f>P160/(P160+_曲线基线!$L$2)</f>
        <v>0.562213707183772</v>
      </c>
      <c r="R160" s="2">
        <f>E160*模块规划!$E$10+G160*模块规划!$E$11+H160*模块规划!$E$13</f>
        <v>7375.92331929766</v>
      </c>
      <c r="S160" s="2">
        <f>I160*模块规划!$E$15+J160*模块规划!$E$17+K160*模块规划!$E$16+L160*模块规划!$E$18</f>
        <v>23425.526250629</v>
      </c>
      <c r="T160" s="2">
        <f t="shared" si="184"/>
        <v>3.09200297246775</v>
      </c>
      <c r="U160" s="13">
        <f t="shared" si="185"/>
        <v>46231.9030785915</v>
      </c>
      <c r="V160" s="2">
        <f t="shared" si="186"/>
        <v>0.89720068348837</v>
      </c>
      <c r="W160" s="2">
        <f t="shared" si="187"/>
        <v>0.26293424465116</v>
      </c>
      <c r="X160" s="2">
        <f t="shared" si="188"/>
        <v>0.455767293197673</v>
      </c>
      <c r="Y160" s="2">
        <f t="shared" si="189"/>
        <v>1</v>
      </c>
      <c r="Z160" s="2">
        <f t="shared" si="190"/>
        <v>1</v>
      </c>
      <c r="AA160" s="2">
        <f t="shared" si="191"/>
        <v>1</v>
      </c>
      <c r="AB160" s="2">
        <f t="shared" si="192"/>
        <v>1</v>
      </c>
      <c r="AC160" s="2">
        <f t="shared" si="193"/>
        <v>1</v>
      </c>
      <c r="AD160" s="1">
        <f t="shared" si="194"/>
        <v>1.81358619215055</v>
      </c>
      <c r="AE160" s="2">
        <f t="shared" si="195"/>
        <v>1</v>
      </c>
      <c r="AF160" s="2">
        <f t="shared" si="196"/>
        <v>1.18463831902752</v>
      </c>
      <c r="AG160" s="2">
        <f t="shared" si="197"/>
        <v>1.32722013205433</v>
      </c>
      <c r="AH160" s="2">
        <f>MIN(1,_曲线基线!$L$3+AH$9*($H$10*H160+$I$10*I160+$J$10*J160+$K$10*K160+$L$10*L160))</f>
        <v>0.470052175787604</v>
      </c>
      <c r="AI160" s="2">
        <f>_曲线基线!$L$4+AI$9*($H$10*H160+$I$10*I160+$J$10*J160+$K$10*K160+$L$10*L160)</f>
        <v>3.1701453468369</v>
      </c>
      <c r="AJ160" s="2">
        <f t="shared" si="198"/>
        <v>1.96011925894309</v>
      </c>
      <c r="AK160" s="1">
        <f t="shared" si="199"/>
        <v>3.95960073521948</v>
      </c>
      <c r="AL160" s="1">
        <f t="shared" si="200"/>
        <v>1659974.33013374</v>
      </c>
      <c r="AM160" s="14">
        <f t="shared" si="201"/>
        <v>39.5117145784826</v>
      </c>
      <c r="AN160" s="14">
        <f>(((E160*模块规划!$D$10+G160*模块规划!$D$11+H160*模块规划!$D$13)*(1+模块规划!$G$14*H160)+(I160*模块规划!$D$15+J160*模块规划!$D$17+K160*模块规划!$D$16+L160*模块规划!$D$18))*(1+模块规划!$J$17*J160))*F160/(1-Q160)</f>
        <v>2221327.22631072</v>
      </c>
      <c r="AO160" s="1">
        <f t="shared" si="202"/>
        <v>65588431.9398523</v>
      </c>
      <c r="AP160" s="1">
        <f>IF(AO160="","",_xlfn.XLOOKUP(AO160,_曲线基线!$E$3:$E$502,_曲线基线!$A$3:$A$502,500,1))</f>
        <v>255</v>
      </c>
      <c r="AQ160" s="15">
        <f t="shared" si="205"/>
        <v>5</v>
      </c>
    </row>
    <row r="161" customHeight="1" spans="1:43">
      <c r="A161" s="1" t="str">
        <f>IFERROR(_xlfn.XLOOKUP(B161,_曲线基线!$G$3:$G$107,_曲线基线!$J$3:$J$107,""),"")</f>
        <v/>
      </c>
      <c r="B161" s="1">
        <v>150</v>
      </c>
      <c r="C161" s="1">
        <f t="shared" si="153"/>
        <v>11</v>
      </c>
      <c r="D161" s="1">
        <f t="shared" si="154"/>
        <v>6</v>
      </c>
      <c r="E161" s="1">
        <f t="shared" si="180"/>
        <v>1</v>
      </c>
      <c r="F161" s="11">
        <f t="shared" si="203"/>
        <v>5</v>
      </c>
      <c r="G161" s="12">
        <f t="shared" ref="G161:L161" si="225">IF($B161&lt;G$8,0,G$3+(G$4-G$3)*(POWER(G$5,$B161-G$8)-1)/(POWER(G$5,$C$5-G$8)-1))</f>
        <v>0.817564144552856</v>
      </c>
      <c r="H161" s="12">
        <f t="shared" si="225"/>
        <v>0.658255441634853</v>
      </c>
      <c r="I161" s="12">
        <f t="shared" si="225"/>
        <v>0.542667685834909</v>
      </c>
      <c r="J161" s="12">
        <f t="shared" si="225"/>
        <v>0.550475022082587</v>
      </c>
      <c r="K161" s="12">
        <f t="shared" si="225"/>
        <v>0.42470683405802</v>
      </c>
      <c r="L161" s="12">
        <f t="shared" si="225"/>
        <v>0.657399379597246</v>
      </c>
      <c r="M161" s="2">
        <f>E161*模块规划!$F$10+G161*模块规划!$F$11+H161*模块规划!$F$13</f>
        <v>4924.30789385371</v>
      </c>
      <c r="N161" s="2">
        <f>I161*模块规划!$F$15+J161*模块规划!$F$17+K161*模块规划!$F$16+L161*模块规划!$F$18</f>
        <v>15681.3296098395</v>
      </c>
      <c r="O161" s="2">
        <f t="shared" si="182"/>
        <v>3.09910019252953</v>
      </c>
      <c r="P161" s="13">
        <f t="shared" si="183"/>
        <v>30942.2531517562</v>
      </c>
      <c r="Q161" s="7">
        <f>P161/(P161+_曲线基线!$L$2)</f>
        <v>0.563177725279859</v>
      </c>
      <c r="R161" s="2">
        <f>E161*模块规划!$E$10+G161*模块规划!$E$11+H161*模块规划!$E$13</f>
        <v>7386.46184078057</v>
      </c>
      <c r="S161" s="2">
        <f>I161*模块规划!$E$15+J161*模块规划!$E$17+K161*模块规划!$E$16+L161*模块规划!$E$18</f>
        <v>23521.9944147592</v>
      </c>
      <c r="T161" s="2">
        <f t="shared" si="184"/>
        <v>3.09910019252953</v>
      </c>
      <c r="U161" s="13">
        <f t="shared" si="185"/>
        <v>46413.3797276343</v>
      </c>
      <c r="V161" s="2">
        <f t="shared" si="186"/>
        <v>0.897476632490456</v>
      </c>
      <c r="W161" s="2">
        <f t="shared" si="187"/>
        <v>0.263302176653941</v>
      </c>
      <c r="X161" s="2">
        <f t="shared" si="188"/>
        <v>0.456020246449585</v>
      </c>
      <c r="Y161" s="2">
        <f t="shared" si="189"/>
        <v>1</v>
      </c>
      <c r="Z161" s="2">
        <f t="shared" si="190"/>
        <v>1</v>
      </c>
      <c r="AA161" s="2">
        <f t="shared" si="191"/>
        <v>1</v>
      </c>
      <c r="AB161" s="2">
        <f t="shared" si="192"/>
        <v>1</v>
      </c>
      <c r="AC161" s="2">
        <f t="shared" si="193"/>
        <v>1</v>
      </c>
      <c r="AD161" s="1">
        <f t="shared" si="194"/>
        <v>1.81530489574515</v>
      </c>
      <c r="AE161" s="2">
        <f t="shared" si="195"/>
        <v>1</v>
      </c>
      <c r="AF161" s="2">
        <f t="shared" si="196"/>
        <v>1.18526471334876</v>
      </c>
      <c r="AG161" s="2">
        <f t="shared" si="197"/>
        <v>1.32833024199031</v>
      </c>
      <c r="AH161" s="2">
        <f>MIN(1,_曲线基线!$L$3+AH$9*($H$10*H161+$I$10*I161+$J$10*J161+$K$10*K161+$L$10*L161))</f>
        <v>0.47147722286843</v>
      </c>
      <c r="AI161" s="2">
        <f>_曲线基线!$L$4+AI$9*($H$10*H161+$I$10*I161+$J$10*J161+$K$10*K161+$L$10*L161)</f>
        <v>3.17411512084777</v>
      </c>
      <c r="AJ161" s="2">
        <f t="shared" si="198"/>
        <v>1.96337650941355</v>
      </c>
      <c r="AK161" s="1">
        <f t="shared" si="199"/>
        <v>3.97592727444159</v>
      </c>
      <c r="AL161" s="1">
        <f t="shared" si="200"/>
        <v>1674947.53944502</v>
      </c>
      <c r="AM161" s="14">
        <f t="shared" si="201"/>
        <v>39.5702563641893</v>
      </c>
      <c r="AN161" s="14">
        <f>(((E161*模块规划!$D$10+G161*模块规划!$D$11+H161*模块规划!$D$13)*(1+模块规划!$G$14*H161)+(I161*模块规划!$D$15+J161*模块规划!$D$17+K161*模块规划!$D$16+L161*模块规划!$D$18))*(1+模块规划!$J$17*J161))*F161/(1-Q161)</f>
        <v>2235548.59749904</v>
      </c>
      <c r="AO161" s="1">
        <f t="shared" si="202"/>
        <v>66278103.5324073</v>
      </c>
      <c r="AP161" s="1">
        <f>IF(AO161="","",_xlfn.XLOOKUP(AO161,_曲线基线!$E$3:$E$502,_曲线基线!$A$3:$A$502,500,1))</f>
        <v>256</v>
      </c>
      <c r="AQ161" s="15">
        <f t="shared" si="205"/>
        <v>5</v>
      </c>
    </row>
    <row r="162" customHeight="1" spans="1:43">
      <c r="A162" s="1" t="str">
        <f>IFERROR(_xlfn.XLOOKUP(B162,_曲线基线!$G$3:$G$107,_曲线基线!$J$3:$J$107,""),"")</f>
        <v/>
      </c>
      <c r="B162" s="1">
        <v>151</v>
      </c>
      <c r="C162" s="1">
        <f t="shared" si="153"/>
        <v>11</v>
      </c>
      <c r="D162" s="1">
        <f t="shared" si="154"/>
        <v>7</v>
      </c>
      <c r="E162" s="1">
        <f t="shared" si="180"/>
        <v>1</v>
      </c>
      <c r="F162" s="11">
        <f t="shared" si="203"/>
        <v>5</v>
      </c>
      <c r="G162" s="12">
        <f t="shared" ref="G162:L162" si="226">IF($B162&lt;G$8,0,G$3+(G$4-G$3)*(POWER(G$5,$B162-G$8)-1)/(POWER(G$5,$C$5-G$8)-1))</f>
        <v>0.819005872839059</v>
      </c>
      <c r="H162" s="12">
        <f t="shared" si="226"/>
        <v>0.659156875041667</v>
      </c>
      <c r="I162" s="12">
        <f t="shared" si="226"/>
        <v>0.544985423461279</v>
      </c>
      <c r="J162" s="12">
        <f t="shared" si="226"/>
        <v>0.551544466132659</v>
      </c>
      <c r="K162" s="12">
        <f t="shared" si="226"/>
        <v>0.429571822311833</v>
      </c>
      <c r="L162" s="12">
        <f t="shared" si="226"/>
        <v>0.658319298836687</v>
      </c>
      <c r="M162" s="2">
        <f>E162*模块规划!$F$10+G162*模块规划!$F$11+H162*模块规划!$F$13</f>
        <v>4931.22818962749</v>
      </c>
      <c r="N162" s="2">
        <f>I162*模块规划!$F$15+J162*模块规划!$F$17+K162*模块规划!$F$16+L162*模块规划!$F$18</f>
        <v>15744.3554770713</v>
      </c>
      <c r="O162" s="2">
        <f t="shared" si="182"/>
        <v>3.10605546819008</v>
      </c>
      <c r="P162" s="13">
        <f t="shared" si="183"/>
        <v>31061.0237603568</v>
      </c>
      <c r="Q162" s="7">
        <f>P162/(P162+_曲线基线!$L$2)</f>
        <v>0.564119982504218</v>
      </c>
      <c r="R162" s="2">
        <f>E162*模块规划!$E$10+G162*模块规划!$E$11+H162*模块规划!$E$13</f>
        <v>7396.84228444123</v>
      </c>
      <c r="S162" s="2">
        <f>I162*模块规划!$E$15+J162*模块规划!$E$17+K162*模块规划!$E$16+L162*模块规划!$E$18</f>
        <v>23616.5332156069</v>
      </c>
      <c r="T162" s="2">
        <f t="shared" si="184"/>
        <v>3.10605546819008</v>
      </c>
      <c r="U162" s="13">
        <f t="shared" si="185"/>
        <v>46591.5356405352</v>
      </c>
      <c r="V162" s="2">
        <f t="shared" si="186"/>
        <v>0.8977470625125</v>
      </c>
      <c r="W162" s="2">
        <f t="shared" si="187"/>
        <v>0.263662750016667</v>
      </c>
      <c r="X162" s="2">
        <f t="shared" si="188"/>
        <v>0.456268140636459</v>
      </c>
      <c r="Y162" s="2">
        <f t="shared" si="189"/>
        <v>1</v>
      </c>
      <c r="Z162" s="2">
        <f t="shared" si="190"/>
        <v>1</v>
      </c>
      <c r="AA162" s="2">
        <f t="shared" si="191"/>
        <v>1</v>
      </c>
      <c r="AB162" s="2">
        <f t="shared" si="192"/>
        <v>1</v>
      </c>
      <c r="AC162" s="2">
        <f t="shared" si="193"/>
        <v>1</v>
      </c>
      <c r="AD162" s="1">
        <f t="shared" si="194"/>
        <v>1.81699021734866</v>
      </c>
      <c r="AE162" s="2">
        <f t="shared" si="195"/>
        <v>1</v>
      </c>
      <c r="AF162" s="2">
        <f t="shared" si="196"/>
        <v>1.18587857978358</v>
      </c>
      <c r="AG162" s="2">
        <f t="shared" si="197"/>
        <v>1.32941814972757</v>
      </c>
      <c r="AH162" s="2">
        <f>MIN(1,_曲线基线!$L$3+AH$9*($H$10*H162+$I$10*I162+$J$10*J162+$K$10*K162+$L$10*L162))</f>
        <v>0.472873769007639</v>
      </c>
      <c r="AI162" s="2">
        <f>_曲线基线!$L$4+AI$9*($H$10*H162+$I$10*I162+$J$10*J162+$K$10*K162+$L$10*L162)</f>
        <v>3.17800549937842</v>
      </c>
      <c r="AJ162" s="2">
        <f t="shared" si="198"/>
        <v>1.9665686148746</v>
      </c>
      <c r="AK162" s="1">
        <f t="shared" si="199"/>
        <v>3.99198024571643</v>
      </c>
      <c r="AL162" s="1">
        <f t="shared" si="200"/>
        <v>1689732.67319412</v>
      </c>
      <c r="AM162" s="14">
        <f t="shared" si="201"/>
        <v>39.6293835677531</v>
      </c>
      <c r="AN162" s="14">
        <f>(((E162*模块规划!$D$10+G162*模块规划!$D$11+H162*模块规划!$D$13)*(1+模块规划!$G$14*H162)+(I162*模块规划!$D$15+J162*模块规划!$D$17+K162*模块规划!$D$16+L162*模块规划!$D$18))*(1+模块规划!$J$17*J162))*F162/(1-Q162)</f>
        <v>2249551.77790876</v>
      </c>
      <c r="AO162" s="1">
        <f t="shared" si="202"/>
        <v>66963064.2329747</v>
      </c>
      <c r="AP162" s="1">
        <f>IF(AO162="","",_xlfn.XLOOKUP(AO162,_曲线基线!$E$3:$E$502,_曲线基线!$A$3:$A$502,500,1))</f>
        <v>257</v>
      </c>
      <c r="AQ162" s="15">
        <f t="shared" si="205"/>
        <v>5</v>
      </c>
    </row>
    <row r="163" customHeight="1" spans="1:43">
      <c r="A163" s="1" t="str">
        <f>IFERROR(_xlfn.XLOOKUP(B163,_曲线基线!$G$3:$G$107,_曲线基线!$J$3:$J$107,""),"")</f>
        <v/>
      </c>
      <c r="B163" s="1">
        <v>152</v>
      </c>
      <c r="C163" s="1">
        <f t="shared" si="153"/>
        <v>11</v>
      </c>
      <c r="D163" s="1">
        <f t="shared" si="154"/>
        <v>8</v>
      </c>
      <c r="E163" s="1">
        <f t="shared" si="180"/>
        <v>1</v>
      </c>
      <c r="F163" s="11">
        <f t="shared" si="203"/>
        <v>5</v>
      </c>
      <c r="G163" s="12">
        <f t="shared" ref="G163:L163" si="227">IF($B163&lt;G$8,0,G$3+(G$4-G$3)*(POWER(G$5,$B163-G$8)-1)/(POWER(G$5,$C$5-G$8)-1))</f>
        <v>0.820425975200969</v>
      </c>
      <c r="H163" s="12">
        <f t="shared" si="227"/>
        <v>0.660040279780345</v>
      </c>
      <c r="I163" s="12">
        <f t="shared" si="227"/>
        <v>0.547256806335121</v>
      </c>
      <c r="J163" s="12">
        <f t="shared" si="227"/>
        <v>0.55259252130173</v>
      </c>
      <c r="K163" s="12">
        <f t="shared" si="227"/>
        <v>0.43433951080057</v>
      </c>
      <c r="L163" s="12">
        <f t="shared" si="227"/>
        <v>0.659220819691339</v>
      </c>
      <c r="M163" s="2">
        <f>E163*模块规划!$F$10+G163*模块规划!$F$11+H163*模块规划!$F$13</f>
        <v>4938.04468096465</v>
      </c>
      <c r="N163" s="2">
        <f>I163*模块规划!$F$15+J163*模块规划!$F$17+K163*模块规划!$F$16+L163*模块规划!$F$18</f>
        <v>15806.1208269584</v>
      </c>
      <c r="O163" s="2">
        <f t="shared" si="182"/>
        <v>3.11287163833741</v>
      </c>
      <c r="P163" s="13">
        <f t="shared" si="183"/>
        <v>31177.6200631761</v>
      </c>
      <c r="Q163" s="7">
        <f>P163/(P163+_曲线基线!$L$2)</f>
        <v>0.565041044312513</v>
      </c>
      <c r="R163" s="2">
        <f>E163*模块规划!$E$10+G163*模块规划!$E$11+H163*模块规划!$E$13</f>
        <v>7407.06702144698</v>
      </c>
      <c r="S163" s="2">
        <f>I163*模块规划!$E$15+J163*模块规划!$E$17+K163*模块规划!$E$16+L163*模块规划!$E$18</f>
        <v>23709.1812404376</v>
      </c>
      <c r="T163" s="2">
        <f t="shared" si="184"/>
        <v>3.11287163833741</v>
      </c>
      <c r="U163" s="13">
        <f t="shared" si="185"/>
        <v>46766.4300947642</v>
      </c>
      <c r="V163" s="2">
        <f t="shared" si="186"/>
        <v>0.898012083934104</v>
      </c>
      <c r="W163" s="2">
        <f t="shared" si="187"/>
        <v>0.264016111912138</v>
      </c>
      <c r="X163" s="2">
        <f t="shared" si="188"/>
        <v>0.456511076939595</v>
      </c>
      <c r="Y163" s="2">
        <f t="shared" si="189"/>
        <v>1</v>
      </c>
      <c r="Z163" s="2">
        <f t="shared" si="190"/>
        <v>1</v>
      </c>
      <c r="AA163" s="2">
        <f t="shared" si="191"/>
        <v>1</v>
      </c>
      <c r="AB163" s="2">
        <f t="shared" si="192"/>
        <v>1</v>
      </c>
      <c r="AC163" s="2">
        <f t="shared" si="193"/>
        <v>1</v>
      </c>
      <c r="AD163" s="1">
        <f t="shared" si="194"/>
        <v>1.81864278531449</v>
      </c>
      <c r="AE163" s="2">
        <f t="shared" si="195"/>
        <v>1</v>
      </c>
      <c r="AF163" s="2">
        <f t="shared" si="196"/>
        <v>1.1864801688897</v>
      </c>
      <c r="AG163" s="2">
        <f t="shared" si="197"/>
        <v>1.33048429931008</v>
      </c>
      <c r="AH163" s="2">
        <f>MIN(1,_曲线基线!$L$3+AH$9*($H$10*H163+$I$10*I163+$J$10*J163+$K$10*K163+$L$10*L163))</f>
        <v>0.474242384224064</v>
      </c>
      <c r="AI163" s="2">
        <f>_曲线基线!$L$4+AI$9*($H$10*H163+$I$10*I163+$J$10*J163+$K$10*K163+$L$10*L163)</f>
        <v>3.18181807033847</v>
      </c>
      <c r="AJ163" s="2">
        <f t="shared" si="198"/>
        <v>1.96969687822643</v>
      </c>
      <c r="AK163" s="1">
        <f t="shared" si="199"/>
        <v>4.00776312404544</v>
      </c>
      <c r="AL163" s="1">
        <f t="shared" si="200"/>
        <v>1704329.93776847</v>
      </c>
      <c r="AM163" s="14">
        <f t="shared" si="201"/>
        <v>39.6891020433525</v>
      </c>
      <c r="AN163" s="14">
        <f>(((E163*模块规划!$D$10+G163*模块规划!$D$11+H163*模块规划!$D$13)*(1+模块规划!$G$14*H163)+(I163*模块规划!$D$15+J163*模块规划!$D$17+K163*模块规划!$D$16+L163*模块规划!$D$18))*(1+模块规划!$J$17*J163))*F163/(1-Q163)</f>
        <v>2263339.01215195</v>
      </c>
      <c r="AO163" s="1">
        <f t="shared" si="202"/>
        <v>67643324.8156333</v>
      </c>
      <c r="AP163" s="1">
        <f>IF(AO163="","",_xlfn.XLOOKUP(AO163,_曲线基线!$E$3:$E$502,_曲线基线!$A$3:$A$502,500,1))</f>
        <v>258</v>
      </c>
      <c r="AQ163" s="15">
        <f t="shared" si="205"/>
        <v>5</v>
      </c>
    </row>
    <row r="164" customHeight="1" spans="1:43">
      <c r="A164" s="1" t="str">
        <f>IFERROR(_xlfn.XLOOKUP(B164,_曲线基线!$G$3:$G$107,_曲线基线!$J$3:$J$107,""),"")</f>
        <v/>
      </c>
      <c r="B164" s="1">
        <v>153</v>
      </c>
      <c r="C164" s="1">
        <f t="shared" si="153"/>
        <v>11</v>
      </c>
      <c r="D164" s="1">
        <f t="shared" si="154"/>
        <v>9</v>
      </c>
      <c r="E164" s="1">
        <f t="shared" si="180"/>
        <v>1</v>
      </c>
      <c r="F164" s="11">
        <f t="shared" si="203"/>
        <v>5</v>
      </c>
      <c r="G164" s="12">
        <f t="shared" ref="G164:L164" si="228">IF($B164&lt;G$8,0,G$3+(G$4-G$3)*(POWER(G$5,$B164-G$8)-1)/(POWER(G$5,$C$5-G$8)-1))</f>
        <v>0.821824776027451</v>
      </c>
      <c r="H164" s="12">
        <f t="shared" si="228"/>
        <v>0.66090601642425</v>
      </c>
      <c r="I164" s="12">
        <f t="shared" si="228"/>
        <v>0.549482761551487</v>
      </c>
      <c r="J164" s="12">
        <f t="shared" si="228"/>
        <v>0.553619615367419</v>
      </c>
      <c r="K164" s="12">
        <f t="shared" si="228"/>
        <v>0.439011845519532</v>
      </c>
      <c r="L164" s="12">
        <f t="shared" si="228"/>
        <v>0.660104310128898</v>
      </c>
      <c r="M164" s="2">
        <f>E164*模块规划!$F$10+G164*模块规划!$F$11+H164*模块规划!$F$13</f>
        <v>4944.75892493176</v>
      </c>
      <c r="N164" s="2">
        <f>I164*模块规划!$F$15+J164*模块规划!$F$17+K164*模块规划!$F$16+L164*模块规划!$F$18</f>
        <v>15866.6508698478</v>
      </c>
      <c r="O164" s="2">
        <f t="shared" si="182"/>
        <v>3.1195514850818</v>
      </c>
      <c r="P164" s="13">
        <f t="shared" si="183"/>
        <v>31292.0809174901</v>
      </c>
      <c r="Q164" s="7">
        <f>P164/(P164+_曲线基线!$L$2)</f>
        <v>0.565941458491784</v>
      </c>
      <c r="R164" s="2">
        <f>E164*模块规划!$E$10+G164*模块规划!$E$11+H164*模块规划!$E$13</f>
        <v>7417.13838739764</v>
      </c>
      <c r="S164" s="2">
        <f>I164*模块规划!$E$15+J164*模块规划!$E$17+K164*模块规划!$E$16+L164*模块规划!$E$18</f>
        <v>23799.9763047717</v>
      </c>
      <c r="T164" s="2">
        <f t="shared" si="184"/>
        <v>3.1195514850818</v>
      </c>
      <c r="U164" s="13">
        <f t="shared" si="185"/>
        <v>46938.1213762352</v>
      </c>
      <c r="V164" s="2">
        <f t="shared" si="186"/>
        <v>0.898271804927275</v>
      </c>
      <c r="W164" s="2">
        <f t="shared" si="187"/>
        <v>0.2643624065697</v>
      </c>
      <c r="X164" s="2">
        <f t="shared" si="188"/>
        <v>0.456749154516669</v>
      </c>
      <c r="Y164" s="2">
        <f t="shared" si="189"/>
        <v>1</v>
      </c>
      <c r="Z164" s="2">
        <f t="shared" si="190"/>
        <v>1</v>
      </c>
      <c r="AA164" s="2">
        <f t="shared" si="191"/>
        <v>1</v>
      </c>
      <c r="AB164" s="2">
        <f t="shared" si="192"/>
        <v>1</v>
      </c>
      <c r="AC164" s="2">
        <f t="shared" si="193"/>
        <v>1</v>
      </c>
      <c r="AD164" s="1">
        <f t="shared" si="194"/>
        <v>1.82026321698474</v>
      </c>
      <c r="AE164" s="2">
        <f t="shared" si="195"/>
        <v>1</v>
      </c>
      <c r="AF164" s="2">
        <f t="shared" si="196"/>
        <v>1.1870697262137</v>
      </c>
      <c r="AG164" s="2">
        <f t="shared" si="197"/>
        <v>1.33152912590094</v>
      </c>
      <c r="AH164" s="2">
        <f>MIN(1,_曲线基线!$L$3+AH$9*($H$10*H164+$I$10*I164+$J$10*J164+$K$10*K164+$L$10*L164))</f>
        <v>0.475583627136161</v>
      </c>
      <c r="AI164" s="2">
        <f>_曲线基线!$L$4+AI$9*($H$10*H164+$I$10*I164+$J$10*J164+$K$10*K164+$L$10*L164)</f>
        <v>3.18555438987931</v>
      </c>
      <c r="AJ164" s="2">
        <f t="shared" si="198"/>
        <v>1.97276257631123</v>
      </c>
      <c r="AK164" s="1">
        <f t="shared" si="199"/>
        <v>4.0232793880479</v>
      </c>
      <c r="AL164" s="1">
        <f t="shared" si="200"/>
        <v>1718739.64013432</v>
      </c>
      <c r="AM164" s="14">
        <f t="shared" si="201"/>
        <v>39.7494177037079</v>
      </c>
      <c r="AN164" s="14">
        <f>(((E164*模块规划!$D$10+G164*模块规划!$D$11+H164*模块规划!$D$13)*(1+模块规划!$G$14*H164)+(I164*模块规划!$D$15+J164*模块规划!$D$17+K164*模块规划!$D$16+L164*模块规划!$D$18))*(1+模块规划!$J$17*J164))*F164/(1-Q164)</f>
        <v>2276912.57018132</v>
      </c>
      <c r="AO164" s="1">
        <f t="shared" si="202"/>
        <v>68318899.8796197</v>
      </c>
      <c r="AP164" s="1">
        <f>IF(AO164="","",_xlfn.XLOOKUP(AO164,_曲线基线!$E$3:$E$502,_曲线基线!$A$3:$A$502,500,1))</f>
        <v>258</v>
      </c>
      <c r="AQ164" s="15">
        <f t="shared" si="205"/>
        <v>5</v>
      </c>
    </row>
    <row r="165" customHeight="1" spans="1:43">
      <c r="A165" s="1" t="str">
        <f>IFERROR(_xlfn.XLOOKUP(B165,_曲线基线!$G$3:$G$107,_曲线基线!$J$3:$J$107,""),"")</f>
        <v/>
      </c>
      <c r="B165" s="1">
        <v>154</v>
      </c>
      <c r="C165" s="1">
        <f t="shared" si="153"/>
        <v>11</v>
      </c>
      <c r="D165" s="1">
        <f t="shared" si="154"/>
        <v>10</v>
      </c>
      <c r="E165" s="1">
        <f t="shared" si="180"/>
        <v>1</v>
      </c>
      <c r="F165" s="11">
        <f t="shared" si="203"/>
        <v>5</v>
      </c>
      <c r="G165" s="12">
        <f t="shared" ref="G165:L165" si="229">IF($B165&lt;G$8,0,G$3+(G$4-G$3)*(POWER(G$5,$B165-G$8)-1)/(POWER(G$5,$C$5-G$8)-1))</f>
        <v>0.823202594841535</v>
      </c>
      <c r="H165" s="12">
        <f t="shared" si="229"/>
        <v>0.661754438335276</v>
      </c>
      <c r="I165" s="12">
        <f t="shared" si="229"/>
        <v>0.551664197663526</v>
      </c>
      <c r="J165" s="12">
        <f t="shared" si="229"/>
        <v>0.554626167551795</v>
      </c>
      <c r="K165" s="12">
        <f t="shared" si="229"/>
        <v>0.443590733544115</v>
      </c>
      <c r="L165" s="12">
        <f t="shared" si="229"/>
        <v>0.660970130757706</v>
      </c>
      <c r="M165" s="2">
        <f>E165*模块规划!$F$10+G165*模块规划!$F$11+H165*模块规划!$F$13</f>
        <v>4951.37245523937</v>
      </c>
      <c r="N165" s="2">
        <f>I165*模块规划!$F$15+J165*模块规划!$F$17+K165*模块规划!$F$16+L165*模块规划!$F$18</f>
        <v>15925.9703118794</v>
      </c>
      <c r="O165" s="2">
        <f t="shared" si="182"/>
        <v>3.1260977348913</v>
      </c>
      <c r="P165" s="13">
        <f t="shared" si="183"/>
        <v>31404.4445288063</v>
      </c>
      <c r="Q165" s="7">
        <f>P165/(P165+_曲线基线!$L$2)</f>
        <v>0.566821755833655</v>
      </c>
      <c r="R165" s="2">
        <f>E165*模块规划!$E$10+G165*模块规划!$E$11+H165*模块规划!$E$13</f>
        <v>7427.05868285905</v>
      </c>
      <c r="S165" s="2">
        <f>I165*模块规划!$E$15+J165*模块规划!$E$17+K165*模块规划!$E$16+L165*模块规划!$E$18</f>
        <v>23888.9554678191</v>
      </c>
      <c r="T165" s="2">
        <f t="shared" si="184"/>
        <v>3.1260977348913</v>
      </c>
      <c r="U165" s="13">
        <f t="shared" si="185"/>
        <v>47106.6667932095</v>
      </c>
      <c r="V165" s="2">
        <f t="shared" si="186"/>
        <v>0.898526331500583</v>
      </c>
      <c r="W165" s="2">
        <f t="shared" si="187"/>
        <v>0.26470177533411</v>
      </c>
      <c r="X165" s="2">
        <f t="shared" si="188"/>
        <v>0.456982470542201</v>
      </c>
      <c r="Y165" s="2">
        <f t="shared" si="189"/>
        <v>1</v>
      </c>
      <c r="Z165" s="2">
        <f t="shared" si="190"/>
        <v>1</v>
      </c>
      <c r="AA165" s="2">
        <f t="shared" si="191"/>
        <v>1</v>
      </c>
      <c r="AB165" s="2">
        <f t="shared" si="192"/>
        <v>1</v>
      </c>
      <c r="AC165" s="2">
        <f t="shared" si="193"/>
        <v>1</v>
      </c>
      <c r="AD165" s="1">
        <f t="shared" si="194"/>
        <v>1.8218521188488</v>
      </c>
      <c r="AE165" s="2">
        <f t="shared" si="195"/>
        <v>1</v>
      </c>
      <c r="AF165" s="2">
        <f t="shared" si="196"/>
        <v>1.18764749239122</v>
      </c>
      <c r="AG165" s="2">
        <f t="shared" si="197"/>
        <v>1.33255305595999</v>
      </c>
      <c r="AH165" s="2">
        <f>MIN(1,_曲线基线!$L$3+AH$9*($H$10*H165+$I$10*I165+$J$10*J165+$K$10*K165+$L$10*L165))</f>
        <v>0.476898045190016</v>
      </c>
      <c r="AI165" s="2">
        <f>_曲线基线!$L$4+AI$9*($H$10*H165+$I$10*I165+$J$10*J165+$K$10*K165+$L$10*L165)</f>
        <v>3.18921598302933</v>
      </c>
      <c r="AJ165" s="2">
        <f t="shared" si="198"/>
        <v>1.97576696043432</v>
      </c>
      <c r="AK165" s="1">
        <f t="shared" si="199"/>
        <v>4.03853251734227</v>
      </c>
      <c r="AL165" s="1">
        <f t="shared" si="200"/>
        <v>1732962.18338482</v>
      </c>
      <c r="AM165" s="14">
        <f t="shared" si="201"/>
        <v>39.8103365206668</v>
      </c>
      <c r="AN165" s="14">
        <f>(((E165*模块规划!$D$10+G165*模块规划!$D$11+H165*模块规划!$D$13)*(1+模块规划!$G$14*H165)+(I165*模块规划!$D$15+J165*模块规划!$D$17+K165*模块规划!$D$16+L165*模块规划!$D$18))*(1+模块规划!$J$17*J165))*F165/(1-Q165)</f>
        <v>2290274.74450716</v>
      </c>
      <c r="AO165" s="1">
        <f t="shared" si="202"/>
        <v>68989807.6981392</v>
      </c>
      <c r="AP165" s="1">
        <f>IF(AO165="","",_xlfn.XLOOKUP(AO165,_曲线基线!$E$3:$E$502,_曲线基线!$A$3:$A$502,500,1))</f>
        <v>259</v>
      </c>
      <c r="AQ165" s="15">
        <f t="shared" si="205"/>
        <v>5</v>
      </c>
    </row>
    <row r="166" customHeight="1" spans="1:43">
      <c r="A166" s="1" t="str">
        <f>IFERROR(_xlfn.XLOOKUP(B166,_曲线基线!$G$3:$G$107,_曲线基线!$J$3:$J$107,""),"")</f>
        <v/>
      </c>
      <c r="B166" s="1">
        <v>155</v>
      </c>
      <c r="C166" s="1">
        <f t="shared" si="153"/>
        <v>11</v>
      </c>
      <c r="D166" s="1">
        <f t="shared" si="154"/>
        <v>11</v>
      </c>
      <c r="E166" s="1">
        <f t="shared" si="180"/>
        <v>1</v>
      </c>
      <c r="F166" s="11">
        <f t="shared" si="203"/>
        <v>5</v>
      </c>
      <c r="G166" s="12">
        <f t="shared" ref="G166:L166" si="230">IF($B166&lt;G$8,0,G$3+(G$4-G$3)*(POWER(G$5,$B166-G$8)-1)/(POWER(G$5,$C$5-G$8)-1))</f>
        <v>0.824559746373408</v>
      </c>
      <c r="H166" s="12">
        <f t="shared" si="230"/>
        <v>0.662585891808082</v>
      </c>
      <c r="I166" s="12">
        <f t="shared" si="230"/>
        <v>0.553802005053323</v>
      </c>
      <c r="J166" s="12">
        <f t="shared" si="230"/>
        <v>0.555612588692483</v>
      </c>
      <c r="K166" s="12">
        <f t="shared" si="230"/>
        <v>0.448078043808206</v>
      </c>
      <c r="L166" s="12">
        <f t="shared" si="230"/>
        <v>0.661818634973937</v>
      </c>
      <c r="M166" s="2">
        <f>E166*模块规划!$F$10+G166*模块规划!$F$11+H166*模块规划!$F$13</f>
        <v>4957.88678259236</v>
      </c>
      <c r="N166" s="2">
        <f>I166*模块规划!$F$15+J166*模块规划!$F$17+K166*模块规划!$F$16+L166*模块规划!$F$18</f>
        <v>15984.1033650703</v>
      </c>
      <c r="O166" s="2">
        <f t="shared" si="182"/>
        <v>3.13251305970461</v>
      </c>
      <c r="P166" s="13">
        <f t="shared" si="183"/>
        <v>31514.7484600778</v>
      </c>
      <c r="Q166" s="7">
        <f>P166/(P166+_曲线基线!$L$2)</f>
        <v>0.567682450776858</v>
      </c>
      <c r="R166" s="2">
        <f>E166*模块规划!$E$10+G166*模块规划!$E$11+H166*模块规划!$E$13</f>
        <v>7436.83017388853</v>
      </c>
      <c r="S166" s="2">
        <f>I166*模块规划!$E$15+J166*模块规划!$E$17+K166*模块规划!$E$16+L166*模块规划!$E$18</f>
        <v>23976.1550476055</v>
      </c>
      <c r="T166" s="2">
        <f t="shared" si="184"/>
        <v>3.13251305970461</v>
      </c>
      <c r="U166" s="13">
        <f t="shared" si="185"/>
        <v>47272.1226901166</v>
      </c>
      <c r="V166" s="2">
        <f t="shared" si="186"/>
        <v>0.898775767542425</v>
      </c>
      <c r="W166" s="2">
        <f t="shared" si="187"/>
        <v>0.265034356723233</v>
      </c>
      <c r="X166" s="2">
        <f t="shared" si="188"/>
        <v>0.457211120247223</v>
      </c>
      <c r="Y166" s="2">
        <f t="shared" si="189"/>
        <v>1</v>
      </c>
      <c r="Z166" s="2">
        <f t="shared" si="190"/>
        <v>1</v>
      </c>
      <c r="AA166" s="2">
        <f t="shared" si="191"/>
        <v>1</v>
      </c>
      <c r="AB166" s="2">
        <f t="shared" si="192"/>
        <v>1</v>
      </c>
      <c r="AC166" s="2">
        <f t="shared" si="193"/>
        <v>1</v>
      </c>
      <c r="AD166" s="1">
        <f t="shared" si="194"/>
        <v>1.82341008670123</v>
      </c>
      <c r="AE166" s="2">
        <f t="shared" si="195"/>
        <v>1</v>
      </c>
      <c r="AF166" s="2">
        <f t="shared" si="196"/>
        <v>1.18821370324518</v>
      </c>
      <c r="AG166" s="2">
        <f t="shared" si="197"/>
        <v>1.33355650741786</v>
      </c>
      <c r="AH166" s="2">
        <f>MIN(1,_曲线基线!$L$3+AH$9*($H$10*H166+$I$10*I166+$J$10*J166+$K$10*K166+$L$10*L166))</f>
        <v>0.478186174882794</v>
      </c>
      <c r="AI166" s="2">
        <f>_曲线基线!$L$4+AI$9*($H$10*H166+$I$10*I166+$J$10*J166+$K$10*K166+$L$10*L166)</f>
        <v>3.19280434431635</v>
      </c>
      <c r="AJ166" s="2">
        <f t="shared" si="198"/>
        <v>1.97871125687496</v>
      </c>
      <c r="AK166" s="1">
        <f t="shared" si="199"/>
        <v>4.05352599006029</v>
      </c>
      <c r="AL166" s="1">
        <f t="shared" si="200"/>
        <v>1746998.06239195</v>
      </c>
      <c r="AM166" s="14">
        <f t="shared" si="201"/>
        <v>39.8718645257953</v>
      </c>
      <c r="AN166" s="14">
        <f>(((E166*模块规划!$D$10+G166*模块规划!$D$11+H166*模块规划!$D$13)*(1+模块规划!$G$14*H166)+(I166*模块规划!$D$15+J166*模块规划!$D$17+K166*模块规划!$D$16+L166*模块规划!$D$18))*(1+模块规划!$J$17*J166))*F166/(1-Q166)</f>
        <v>2303427.84753732</v>
      </c>
      <c r="AO166" s="1">
        <f t="shared" si="202"/>
        <v>69656070.0705187</v>
      </c>
      <c r="AP166" s="1">
        <f>IF(AO166="","",_xlfn.XLOOKUP(AO166,_曲线基线!$E$3:$E$502,_曲线基线!$A$3:$A$502,500,1))</f>
        <v>260</v>
      </c>
      <c r="AQ166" s="15">
        <f t="shared" si="205"/>
        <v>5</v>
      </c>
    </row>
    <row r="167" customHeight="1" spans="1:43">
      <c r="A167" s="1" t="str">
        <f>IFERROR(_xlfn.XLOOKUP(B167,_曲线基线!$G$3:$G$107,_曲线基线!$J$3:$J$107,""),"")</f>
        <v/>
      </c>
      <c r="B167" s="1">
        <v>156</v>
      </c>
      <c r="C167" s="1">
        <f t="shared" si="153"/>
        <v>11</v>
      </c>
      <c r="D167" s="1">
        <f t="shared" si="154"/>
        <v>12</v>
      </c>
      <c r="E167" s="1">
        <f t="shared" si="180"/>
        <v>1</v>
      </c>
      <c r="F167" s="11">
        <f t="shared" si="203"/>
        <v>5</v>
      </c>
      <c r="G167" s="12">
        <f t="shared" ref="G167:L167" si="231">IF($B167&lt;G$8,0,G$3+(G$4-G$3)*(POWER(G$5,$B167-G$8)-1)/(POWER(G$5,$C$5-G$8)-1))</f>
        <v>0.825896540632302</v>
      </c>
      <c r="H167" s="12">
        <f t="shared" si="231"/>
        <v>0.663400716211432</v>
      </c>
      <c r="I167" s="12">
        <f t="shared" si="231"/>
        <v>0.555897056295325</v>
      </c>
      <c r="J167" s="12">
        <f t="shared" si="231"/>
        <v>0.556579281410357</v>
      </c>
      <c r="K167" s="12">
        <f t="shared" si="231"/>
        <v>0.452475607867016</v>
      </c>
      <c r="L167" s="12">
        <f t="shared" si="231"/>
        <v>0.662650169105844</v>
      </c>
      <c r="M167" s="2">
        <f>E167*模块规划!$F$10+G167*模块规划!$F$11+H167*模块规划!$F$13</f>
        <v>4964.30339503505</v>
      </c>
      <c r="N167" s="2">
        <f>I167*模块规划!$F$15+J167*模块规划!$F$17+K167*模块规划!$F$16+L167*模块规划!$F$18</f>
        <v>16041.0737571975</v>
      </c>
      <c r="O167" s="2">
        <f t="shared" si="182"/>
        <v>3.13880007802165</v>
      </c>
      <c r="P167" s="13">
        <f t="shared" si="183"/>
        <v>31623.0296408566</v>
      </c>
      <c r="Q167" s="7">
        <f>P167/(P167+_曲线基线!$L$2)</f>
        <v>0.568524042020693</v>
      </c>
      <c r="R167" s="2">
        <f>E167*模块规划!$E$10+G167*模块规划!$E$11+H167*模块规划!$E$13</f>
        <v>7446.45509255258</v>
      </c>
      <c r="S167" s="2">
        <f>I167*模块规划!$E$15+J167*模块规划!$E$17+K167*模块规划!$E$16+L167*模块规划!$E$18</f>
        <v>24061.6106357962</v>
      </c>
      <c r="T167" s="2">
        <f t="shared" si="184"/>
        <v>3.13880007802165</v>
      </c>
      <c r="U167" s="13">
        <f t="shared" si="185"/>
        <v>47434.544461285</v>
      </c>
      <c r="V167" s="2">
        <f t="shared" si="186"/>
        <v>0.89902021486343</v>
      </c>
      <c r="W167" s="2">
        <f t="shared" si="187"/>
        <v>0.265360286484573</v>
      </c>
      <c r="X167" s="2">
        <f t="shared" si="188"/>
        <v>0.457435196958144</v>
      </c>
      <c r="Y167" s="2">
        <f t="shared" si="189"/>
        <v>1</v>
      </c>
      <c r="Z167" s="2">
        <f t="shared" si="190"/>
        <v>1</v>
      </c>
      <c r="AA167" s="2">
        <f t="shared" si="191"/>
        <v>1</v>
      </c>
      <c r="AB167" s="2">
        <f t="shared" si="192"/>
        <v>1</v>
      </c>
      <c r="AC167" s="2">
        <f t="shared" si="193"/>
        <v>1</v>
      </c>
      <c r="AD167" s="1">
        <f t="shared" si="194"/>
        <v>1.82493770579886</v>
      </c>
      <c r="AE167" s="2">
        <f t="shared" si="195"/>
        <v>1</v>
      </c>
      <c r="AF167" s="2">
        <f t="shared" si="196"/>
        <v>1.18876858988207</v>
      </c>
      <c r="AG167" s="2">
        <f t="shared" si="197"/>
        <v>1.33453988984657</v>
      </c>
      <c r="AH167" s="2">
        <f>MIN(1,_曲线基线!$L$3+AH$9*($H$10*H167+$I$10*I167+$J$10*J167+$K$10*K167+$L$10*L167))</f>
        <v>0.479448541981716</v>
      </c>
      <c r="AI167" s="2">
        <f>_曲线基线!$L$4+AI$9*($H$10*H167+$I$10*I167+$J$10*J167+$K$10*K167+$L$10*L167)</f>
        <v>3.19632093837764</v>
      </c>
      <c r="AJ167" s="2">
        <f t="shared" si="198"/>
        <v>1.98159666738678</v>
      </c>
      <c r="AK167" s="1">
        <f t="shared" si="199"/>
        <v>4.06826328048901</v>
      </c>
      <c r="AL167" s="1">
        <f t="shared" si="200"/>
        <v>1760847.85956354</v>
      </c>
      <c r="AM167" s="14">
        <f t="shared" si="201"/>
        <v>39.9340078109752</v>
      </c>
      <c r="AN167" s="14">
        <f>(((E167*模块规划!$D$10+G167*模块规划!$D$11+H167*模块规划!$D$13)*(1+模块规划!$G$14*H167)+(I167*模块规划!$D$15+J167*模块规划!$D$17+K167*模块规划!$D$16+L167*模块规划!$D$18))*(1+模块规划!$J$17*J167))*F167/(1-Q167)</f>
        <v>2316374.20903647</v>
      </c>
      <c r="AO167" s="1">
        <f t="shared" si="202"/>
        <v>70317712.1777493</v>
      </c>
      <c r="AP167" s="1">
        <f>IF(AO167="","",_xlfn.XLOOKUP(AO167,_曲线基线!$E$3:$E$502,_曲线基线!$A$3:$A$502,500,1))</f>
        <v>261</v>
      </c>
      <c r="AQ167" s="15">
        <f t="shared" si="205"/>
        <v>5</v>
      </c>
    </row>
    <row r="168" customHeight="1" spans="1:43">
      <c r="A168" s="1" t="str">
        <f>IFERROR(_xlfn.XLOOKUP(B168,_曲线基线!$G$3:$G$107,_曲线基线!$J$3:$J$107,""),"")</f>
        <v/>
      </c>
      <c r="B168" s="1">
        <v>157</v>
      </c>
      <c r="C168" s="1">
        <f t="shared" si="153"/>
        <v>11</v>
      </c>
      <c r="D168" s="1">
        <f t="shared" si="154"/>
        <v>13</v>
      </c>
      <c r="E168" s="1">
        <f t="shared" si="180"/>
        <v>1</v>
      </c>
      <c r="F168" s="11">
        <f t="shared" si="203"/>
        <v>5</v>
      </c>
      <c r="G168" s="12">
        <f t="shared" ref="G168:L168" si="232">IF($B168&lt;G$8,0,G$3+(G$4-G$3)*(POWER(G$5,$B168-G$8)-1)/(POWER(G$5,$C$5-G$8)-1))</f>
        <v>0.827213282977314</v>
      </c>
      <c r="H168" s="12">
        <f t="shared" si="232"/>
        <v>0.664199244126714</v>
      </c>
      <c r="I168" s="12">
        <f t="shared" si="232"/>
        <v>0.557950206512487</v>
      </c>
      <c r="J168" s="12">
        <f t="shared" si="232"/>
        <v>0.557526640273874</v>
      </c>
      <c r="K168" s="12">
        <f t="shared" si="232"/>
        <v>0.456785220644649</v>
      </c>
      <c r="L168" s="12">
        <f t="shared" si="232"/>
        <v>0.663465072555113</v>
      </c>
      <c r="M168" s="2">
        <f>E168*模块规划!$F$10+G168*模块规划!$F$11+H168*模块规划!$F$13</f>
        <v>4970.62375829111</v>
      </c>
      <c r="N168" s="2">
        <f>I168*模块规划!$F$15+J168*模块规划!$F$17+K168*模块规划!$F$16+L168*模块规划!$F$18</f>
        <v>16096.9047414821</v>
      </c>
      <c r="O168" s="2">
        <f t="shared" si="182"/>
        <v>3.14496135597236</v>
      </c>
      <c r="P168" s="13">
        <f t="shared" si="183"/>
        <v>31729.3243763857</v>
      </c>
      <c r="Q168" s="7">
        <f>P168/(P168+_曲线基线!$L$2)</f>
        <v>0.569347013110937</v>
      </c>
      <c r="R168" s="2">
        <f>E168*模块规划!$E$10+G168*模块规划!$E$11+H168*模块规划!$E$13</f>
        <v>7455.93563743666</v>
      </c>
      <c r="S168" s="2">
        <f>I168*模块规划!$E$15+J168*模块规划!$E$17+K168*模块规划!$E$16+L168*模块规划!$E$18</f>
        <v>24145.3571122231</v>
      </c>
      <c r="T168" s="2">
        <f t="shared" si="184"/>
        <v>3.14496135597236</v>
      </c>
      <c r="U168" s="13">
        <f t="shared" si="185"/>
        <v>47593.9865645786</v>
      </c>
      <c r="V168" s="2">
        <f t="shared" si="186"/>
        <v>0.899259773238014</v>
      </c>
      <c r="W168" s="2">
        <f t="shared" si="187"/>
        <v>0.265679697650686</v>
      </c>
      <c r="X168" s="2">
        <f t="shared" si="188"/>
        <v>0.457654792134846</v>
      </c>
      <c r="Y168" s="2">
        <f t="shared" si="189"/>
        <v>1</v>
      </c>
      <c r="Z168" s="2">
        <f t="shared" si="190"/>
        <v>1</v>
      </c>
      <c r="AA168" s="2">
        <f t="shared" si="191"/>
        <v>1</v>
      </c>
      <c r="AB168" s="2">
        <f t="shared" si="192"/>
        <v>1</v>
      </c>
      <c r="AC168" s="2">
        <f t="shared" si="193"/>
        <v>1</v>
      </c>
      <c r="AD168" s="1">
        <f t="shared" si="194"/>
        <v>1.82643555101693</v>
      </c>
      <c r="AE168" s="2">
        <f t="shared" si="195"/>
        <v>1</v>
      </c>
      <c r="AF168" s="2">
        <f t="shared" si="196"/>
        <v>1.18931237878622</v>
      </c>
      <c r="AG168" s="2">
        <f t="shared" si="197"/>
        <v>1.3355036046267</v>
      </c>
      <c r="AH168" s="2">
        <f>MIN(1,_曲线基线!$L$3+AH$9*($H$10*H168+$I$10*I168+$J$10*J168+$K$10*K168+$L$10*L168))</f>
        <v>0.48068566173866</v>
      </c>
      <c r="AI168" s="2">
        <f>_曲线基线!$L$4+AI$9*($H$10*H168+$I$10*I168+$J$10*J168+$K$10*K168+$L$10*L168)</f>
        <v>3.1997672005577</v>
      </c>
      <c r="AJ168" s="2">
        <f t="shared" si="198"/>
        <v>1.98442436968837</v>
      </c>
      <c r="AK168" s="1">
        <f t="shared" si="199"/>
        <v>4.08274785683643</v>
      </c>
      <c r="AL168" s="1">
        <f t="shared" si="200"/>
        <v>1774512.24070599</v>
      </c>
      <c r="AM168" s="14">
        <f t="shared" si="201"/>
        <v>39.9967725290068</v>
      </c>
      <c r="AN168" s="14">
        <f>(((E168*模块规划!$D$10+G168*模块规划!$D$11+H168*模块规划!$D$13)*(1+模块规划!$G$14*H168)+(I168*模块规划!$D$15+J168*模块规划!$D$17+K168*模块规划!$D$16+L168*模块规划!$D$18))*(1+模块规划!$J$17*J168))*F168/(1-Q168)</f>
        <v>2329116.17370041</v>
      </c>
      <c r="AO168" s="1">
        <f t="shared" si="202"/>
        <v>70974762.4414558</v>
      </c>
      <c r="AP168" s="1">
        <f>IF(AO168="","",_xlfn.XLOOKUP(AO168,_曲线基线!$E$3:$E$502,_曲线基线!$A$3:$A$502,500,1))</f>
        <v>261</v>
      </c>
      <c r="AQ168" s="15">
        <f t="shared" si="205"/>
        <v>5</v>
      </c>
    </row>
    <row r="169" customHeight="1" spans="1:43">
      <c r="A169" s="1" t="str">
        <f>IFERROR(_xlfn.XLOOKUP(B169,_曲线基线!$G$3:$G$107,_曲线基线!$J$3:$J$107,""),"")</f>
        <v/>
      </c>
      <c r="B169" s="1">
        <v>158</v>
      </c>
      <c r="C169" s="1">
        <f t="shared" si="153"/>
        <v>11</v>
      </c>
      <c r="D169" s="1">
        <f t="shared" si="154"/>
        <v>14</v>
      </c>
      <c r="E169" s="1">
        <f t="shared" si="180"/>
        <v>1</v>
      </c>
      <c r="F169" s="11">
        <f t="shared" si="203"/>
        <v>5</v>
      </c>
      <c r="G169" s="12">
        <f t="shared" ref="G169:L169" si="233">IF($B169&lt;G$8,0,G$3+(G$4-G$3)*(POWER(G$5,$B169-G$8)-1)/(POWER(G$5,$C$5-G$8)-1))</f>
        <v>0.82851027418715</v>
      </c>
      <c r="H169" s="12">
        <f t="shared" si="233"/>
        <v>0.664981801483692</v>
      </c>
      <c r="I169" s="12">
        <f t="shared" si="233"/>
        <v>0.559962293725305</v>
      </c>
      <c r="J169" s="12">
        <f t="shared" si="233"/>
        <v>0.55845505196012</v>
      </c>
      <c r="K169" s="12">
        <f t="shared" si="233"/>
        <v>0.46100864116673</v>
      </c>
      <c r="L169" s="12">
        <f t="shared" si="233"/>
        <v>0.664263677935397</v>
      </c>
      <c r="M169" s="2">
        <f>E169*模块规划!$F$10+G169*模块规划!$F$11+H169*模块规划!$F$13</f>
        <v>4976.84931609832</v>
      </c>
      <c r="N169" s="2">
        <f>I169*模块规划!$F$15+J169*模块规划!$F$17+K169*模块规划!$F$16+L169*模块规划!$F$18</f>
        <v>16151.619106081</v>
      </c>
      <c r="O169" s="2">
        <f t="shared" si="182"/>
        <v>3.15099940836405</v>
      </c>
      <c r="P169" s="13">
        <f t="shared" si="183"/>
        <v>31833.6683566238</v>
      </c>
      <c r="Q169" s="7">
        <f>P169/(P169+_曲线基线!$L$2)</f>
        <v>0.570151832999654</v>
      </c>
      <c r="R169" s="2">
        <f>E169*模块规划!$E$10+G169*模块规划!$E$11+H169*模块规划!$E$13</f>
        <v>7465.27397414748</v>
      </c>
      <c r="S169" s="2">
        <f>I169*模块规划!$E$15+J169*模块规划!$E$17+K169*模块规划!$E$16+L169*模块规划!$E$18</f>
        <v>24227.4286591215</v>
      </c>
      <c r="T169" s="2">
        <f t="shared" si="184"/>
        <v>3.15099940836405</v>
      </c>
      <c r="U169" s="13">
        <f t="shared" si="185"/>
        <v>47750.5025349358</v>
      </c>
      <c r="V169" s="2">
        <f t="shared" si="186"/>
        <v>0.899494540445107</v>
      </c>
      <c r="W169" s="2">
        <f t="shared" si="187"/>
        <v>0.265992720593477</v>
      </c>
      <c r="X169" s="2">
        <f t="shared" si="188"/>
        <v>0.457869995408015</v>
      </c>
      <c r="Y169" s="2">
        <f t="shared" si="189"/>
        <v>1</v>
      </c>
      <c r="Z169" s="2">
        <f t="shared" si="190"/>
        <v>1</v>
      </c>
      <c r="AA169" s="2">
        <f t="shared" si="191"/>
        <v>1</v>
      </c>
      <c r="AB169" s="2">
        <f t="shared" si="192"/>
        <v>1</v>
      </c>
      <c r="AC169" s="2">
        <f t="shared" si="193"/>
        <v>1</v>
      </c>
      <c r="AD169" s="1">
        <f t="shared" si="194"/>
        <v>1.82790418700433</v>
      </c>
      <c r="AE169" s="2">
        <f t="shared" si="195"/>
        <v>1</v>
      </c>
      <c r="AF169" s="2">
        <f t="shared" si="196"/>
        <v>1.18984529191229</v>
      </c>
      <c r="AG169" s="2">
        <f t="shared" si="197"/>
        <v>1.33644804511123</v>
      </c>
      <c r="AH169" s="2">
        <f>MIN(1,_曲线基线!$L$3+AH$9*($H$10*H169+$I$10*I169+$J$10*J169+$K$10*K169+$L$10*L169))</f>
        <v>0.481898039100465</v>
      </c>
      <c r="AI169" s="2">
        <f>_曲线基线!$L$4+AI$9*($H$10*H169+$I$10*I169+$J$10*J169+$K$10*K169+$L$10*L169)</f>
        <v>3.20314453749415</v>
      </c>
      <c r="AJ169" s="2">
        <f t="shared" si="198"/>
        <v>1.98719551794392</v>
      </c>
      <c r="AK169" s="1">
        <f t="shared" si="199"/>
        <v>4.09698317911618</v>
      </c>
      <c r="AL169" s="1">
        <f t="shared" si="200"/>
        <v>1787991.95099335</v>
      </c>
      <c r="AM169" s="14">
        <f t="shared" si="201"/>
        <v>40.0601648942187</v>
      </c>
      <c r="AN169" s="14">
        <f>(((E169*模块规划!$D$10+G169*模块规划!$D$11+H169*模块规划!$D$13)*(1+模块规划!$G$14*H169)+(I169*模块规划!$D$15+J169*模块规划!$D$17+K169*模块规划!$D$16+L169*模块规划!$D$18))*(1+模块规划!$J$17*J169))*F169/(1-Q169)</f>
        <v>2341656.09884178</v>
      </c>
      <c r="AO169" s="1">
        <f t="shared" si="202"/>
        <v>71627252.3863295</v>
      </c>
      <c r="AP169" s="1">
        <f>IF(AO169="","",_xlfn.XLOOKUP(AO169,_曲线基线!$E$3:$E$502,_曲线基线!$A$3:$A$502,500,1))</f>
        <v>262</v>
      </c>
      <c r="AQ169" s="15">
        <f t="shared" si="205"/>
        <v>5</v>
      </c>
    </row>
    <row r="170" customHeight="1" spans="1:43">
      <c r="A170" s="1" t="str">
        <f>IFERROR(_xlfn.XLOOKUP(B170,_曲线基线!$G$3:$G$107,_曲线基线!$J$3:$J$107,""),"")</f>
        <v/>
      </c>
      <c r="B170" s="1">
        <v>159</v>
      </c>
      <c r="C170" s="1">
        <f t="shared" si="153"/>
        <v>11</v>
      </c>
      <c r="D170" s="1">
        <f t="shared" si="154"/>
        <v>15</v>
      </c>
      <c r="E170" s="1">
        <f t="shared" si="180"/>
        <v>1</v>
      </c>
      <c r="F170" s="11">
        <f t="shared" si="203"/>
        <v>5</v>
      </c>
      <c r="G170" s="12">
        <f t="shared" ref="G170:L170" si="234">IF($B170&lt;G$8,0,G$3+(G$4-G$3)*(POWER(G$5,$B170-G$8)-1)/(POWER(G$5,$C$5-G$8)-1))</f>
        <v>0.829787810528838</v>
      </c>
      <c r="H170" s="12">
        <f t="shared" si="234"/>
        <v>0.665748707693529</v>
      </c>
      <c r="I170" s="12">
        <f t="shared" si="234"/>
        <v>0.561934139193867</v>
      </c>
      <c r="J170" s="12">
        <f t="shared" si="234"/>
        <v>0.559364895412642</v>
      </c>
      <c r="K170" s="12">
        <f t="shared" si="234"/>
        <v>0.465147593278369</v>
      </c>
      <c r="L170" s="12">
        <f t="shared" si="234"/>
        <v>0.665046311208074</v>
      </c>
      <c r="M170" s="2">
        <f>E170*模块规划!$F$10+G170*模块规划!$F$11+H170*模块规划!$F$13</f>
        <v>4982.98149053842</v>
      </c>
      <c r="N170" s="2">
        <f>I170*模块规划!$F$15+J170*模块规划!$F$17+K170*模块规划!$F$16+L170*模块规划!$F$18</f>
        <v>16205.2391833879</v>
      </c>
      <c r="O170" s="2">
        <f t="shared" si="182"/>
        <v>3.1569166997079</v>
      </c>
      <c r="P170" s="13">
        <f t="shared" si="183"/>
        <v>31936.096665204</v>
      </c>
      <c r="Q170" s="7">
        <f>P170/(P170+_曲线基线!$L$2)</f>
        <v>0.570938956580258</v>
      </c>
      <c r="R170" s="2">
        <f>E170*模块规划!$E$10+G170*模块规划!$E$11+H170*模块规划!$E$13</f>
        <v>7474.47223580764</v>
      </c>
      <c r="S170" s="2">
        <f>I170*模块规划!$E$15+J170*模块规划!$E$17+K170*模块规划!$E$16+L170*模块规划!$E$18</f>
        <v>24307.8587750819</v>
      </c>
      <c r="T170" s="2">
        <f t="shared" si="184"/>
        <v>3.1569166997079</v>
      </c>
      <c r="U170" s="13">
        <f t="shared" si="185"/>
        <v>47904.1449978061</v>
      </c>
      <c r="V170" s="2">
        <f t="shared" si="186"/>
        <v>0.899724612308059</v>
      </c>
      <c r="W170" s="2">
        <f t="shared" si="187"/>
        <v>0.266299483077412</v>
      </c>
      <c r="X170" s="2">
        <f t="shared" si="188"/>
        <v>0.458080894615721</v>
      </c>
      <c r="Y170" s="2">
        <f t="shared" si="189"/>
        <v>1</v>
      </c>
      <c r="Z170" s="2">
        <f t="shared" si="190"/>
        <v>1</v>
      </c>
      <c r="AA170" s="2">
        <f t="shared" si="191"/>
        <v>1</v>
      </c>
      <c r="AB170" s="2">
        <f t="shared" si="192"/>
        <v>1</v>
      </c>
      <c r="AC170" s="2">
        <f t="shared" si="193"/>
        <v>1</v>
      </c>
      <c r="AD170" s="1">
        <f t="shared" si="194"/>
        <v>1.8293441683378</v>
      </c>
      <c r="AE170" s="2">
        <f t="shared" si="195"/>
        <v>1</v>
      </c>
      <c r="AF170" s="2">
        <f t="shared" si="196"/>
        <v>1.19036754677584</v>
      </c>
      <c r="AG170" s="2">
        <f t="shared" si="197"/>
        <v>1.33737359678607</v>
      </c>
      <c r="AH170" s="2">
        <f>MIN(1,_曲线基线!$L$3+AH$9*($H$10*H170+$I$10*I170+$J$10*J170+$K$10*K170+$L$10*L170))</f>
        <v>0.483086168915034</v>
      </c>
      <c r="AI170" s="2">
        <f>_曲线基线!$L$4+AI$9*($H$10*H170+$I$10*I170+$J$10*J170+$K$10*K170+$L$10*L170)</f>
        <v>3.20645432769188</v>
      </c>
      <c r="AJ170" s="2">
        <f t="shared" si="198"/>
        <v>1.98991124323436</v>
      </c>
      <c r="AK170" s="1">
        <f t="shared" si="199"/>
        <v>4.11097269714698</v>
      </c>
      <c r="AL170" s="1">
        <f t="shared" si="200"/>
        <v>1801287.81104281</v>
      </c>
      <c r="AM170" s="14">
        <f t="shared" si="201"/>
        <v>40.1241911830828</v>
      </c>
      <c r="AN170" s="14">
        <f>(((E170*模块规划!$D$10+G170*模块规划!$D$11+H170*模块规划!$D$13)*(1+模块规划!$G$14*H170)+(I170*模块规划!$D$15+J170*模块规划!$D$17+K170*模块规划!$D$16+L170*模块规划!$D$18))*(1+模块规划!$J$17*J170))*F170/(1-Q170)</f>
        <v>2353996.35218337</v>
      </c>
      <c r="AO170" s="1">
        <f t="shared" si="202"/>
        <v>72275216.5060383</v>
      </c>
      <c r="AP170" s="1">
        <f>IF(AO170="","",_xlfn.XLOOKUP(AO170,_曲线基线!$E$3:$E$502,_曲线基线!$A$3:$A$502,500,1))</f>
        <v>263</v>
      </c>
      <c r="AQ170" s="15">
        <f t="shared" si="205"/>
        <v>5</v>
      </c>
    </row>
    <row r="171" customHeight="1" spans="1:43">
      <c r="A171" s="1" t="str">
        <f>IFERROR(_xlfn.XLOOKUP(B171,_曲线基线!$G$3:$G$107,_曲线基线!$J$3:$J$107,""),"")</f>
        <v/>
      </c>
      <c r="B171" s="1">
        <v>160</v>
      </c>
      <c r="C171" s="1">
        <f t="shared" si="153"/>
        <v>12</v>
      </c>
      <c r="D171" s="1">
        <f t="shared" si="154"/>
        <v>1</v>
      </c>
      <c r="E171" s="1">
        <f t="shared" si="180"/>
        <v>1</v>
      </c>
      <c r="F171" s="11">
        <f t="shared" si="203"/>
        <v>5</v>
      </c>
      <c r="G171" s="12">
        <f t="shared" ref="G171:L171" si="235">IF($B171&lt;G$8,0,G$3+(G$4-G$3)*(POWER(G$5,$B171-G$8)-1)/(POWER(G$5,$C$5-G$8)-1))</f>
        <v>0.831046183825402</v>
      </c>
      <c r="H171" s="12">
        <f t="shared" si="235"/>
        <v>0.66650027577917</v>
      </c>
      <c r="I171" s="12">
        <f t="shared" si="235"/>
        <v>0.563866547753058</v>
      </c>
      <c r="J171" s="12">
        <f t="shared" si="235"/>
        <v>0.560256541996113</v>
      </c>
      <c r="K171" s="12">
        <f t="shared" si="235"/>
        <v>0.469203766347775</v>
      </c>
      <c r="L171" s="12">
        <f t="shared" si="235"/>
        <v>0.665813291815298</v>
      </c>
      <c r="M171" s="2">
        <f>E171*模块规划!$F$10+G171*模块规划!$F$11+H171*模块规划!$F$13</f>
        <v>4989.02168236193</v>
      </c>
      <c r="N171" s="2">
        <f>I171*模块规划!$F$15+J171*模块规划!$F$17+K171*模块规划!$F$16+L171*模块规划!$F$18</f>
        <v>16257.7868591487</v>
      </c>
      <c r="O171" s="2">
        <f t="shared" si="182"/>
        <v>3.16271564522488</v>
      </c>
      <c r="P171" s="13">
        <f t="shared" si="183"/>
        <v>32036.643788321</v>
      </c>
      <c r="Q171" s="7">
        <f>P171/(P171+_曲线基线!$L$2)</f>
        <v>0.571708825199092</v>
      </c>
      <c r="R171" s="2">
        <f>E171*模块规划!$E$10+G171*模块规划!$E$11+H171*模块规划!$E$13</f>
        <v>7483.53252354289</v>
      </c>
      <c r="S171" s="2">
        <f>I171*模块规划!$E$15+J171*模块规划!$E$17+K171*模块规划!$E$16+L171*模块规划!$E$18</f>
        <v>24386.6802887231</v>
      </c>
      <c r="T171" s="2">
        <f t="shared" si="184"/>
        <v>3.16271564522488</v>
      </c>
      <c r="U171" s="13">
        <f t="shared" si="185"/>
        <v>48054.9656824814</v>
      </c>
      <c r="V171" s="2">
        <f t="shared" si="186"/>
        <v>0.899950082733751</v>
      </c>
      <c r="W171" s="2">
        <f t="shared" si="187"/>
        <v>0.266600110311668</v>
      </c>
      <c r="X171" s="2">
        <f t="shared" si="188"/>
        <v>0.458287575839272</v>
      </c>
      <c r="Y171" s="2">
        <f t="shared" si="189"/>
        <v>1</v>
      </c>
      <c r="Z171" s="2">
        <f t="shared" si="190"/>
        <v>1</v>
      </c>
      <c r="AA171" s="2">
        <f t="shared" si="191"/>
        <v>1</v>
      </c>
      <c r="AB171" s="2">
        <f t="shared" si="192"/>
        <v>1</v>
      </c>
      <c r="AC171" s="2">
        <f t="shared" si="193"/>
        <v>1</v>
      </c>
      <c r="AD171" s="1">
        <f t="shared" si="194"/>
        <v>1.83075603967501</v>
      </c>
      <c r="AE171" s="2">
        <f t="shared" si="195"/>
        <v>1</v>
      </c>
      <c r="AF171" s="2">
        <f t="shared" si="196"/>
        <v>1.19087935654212</v>
      </c>
      <c r="AG171" s="2">
        <f t="shared" si="197"/>
        <v>1.33828063742742</v>
      </c>
      <c r="AH171" s="2">
        <f>MIN(1,_曲线基线!$L$3+AH$9*($H$10*H171+$I$10*I171+$J$10*J171+$K$10*K171+$L$10*L171))</f>
        <v>0.484250536133311</v>
      </c>
      <c r="AI171" s="2">
        <f>_曲线基线!$L$4+AI$9*($H$10*H171+$I$10*I171+$J$10*J171+$K$10*K171+$L$10*L171)</f>
        <v>3.20969792208565</v>
      </c>
      <c r="AJ171" s="2">
        <f t="shared" si="198"/>
        <v>1.992572654019</v>
      </c>
      <c r="AK171" s="1">
        <f t="shared" si="199"/>
        <v>4.12471984866269</v>
      </c>
      <c r="AL171" s="1">
        <f t="shared" si="200"/>
        <v>1814400.71309673</v>
      </c>
      <c r="AM171" s="14">
        <f t="shared" si="201"/>
        <v>40.1888577348355</v>
      </c>
      <c r="AN171" s="14">
        <f>(((E171*模块规划!$D$10+G171*模块规划!$D$11+H171*模块规划!$D$13)*(1+模块规划!$G$14*H171)+(I171*模块规划!$D$15+J171*模块规划!$D$17+K171*模块规划!$D$16+L171*模块规划!$D$18))*(1+模块规划!$J$17*J171))*F171/(1-Q171)</f>
        <v>2366139.30975527</v>
      </c>
      <c r="AO171" s="1">
        <f t="shared" si="202"/>
        <v>72918692.1326284</v>
      </c>
      <c r="AP171" s="1">
        <f>IF(AO171="","",_xlfn.XLOOKUP(AO171,_曲线基线!$E$3:$E$502,_曲线基线!$A$3:$A$502,500,1))</f>
        <v>263</v>
      </c>
      <c r="AQ171" s="15">
        <f t="shared" si="205"/>
        <v>5</v>
      </c>
    </row>
    <row r="172" customHeight="1" spans="1:43">
      <c r="A172" s="1" t="str">
        <f>IFERROR(_xlfn.XLOOKUP(B172,_曲线基线!$G$3:$G$107,_曲线基线!$J$3:$J$107,""),"")</f>
        <v/>
      </c>
      <c r="B172" s="1">
        <v>161</v>
      </c>
      <c r="C172" s="1">
        <f t="shared" si="153"/>
        <v>12</v>
      </c>
      <c r="D172" s="1">
        <f t="shared" si="154"/>
        <v>2</v>
      </c>
      <c r="E172" s="1">
        <f t="shared" si="180"/>
        <v>1</v>
      </c>
      <c r="F172" s="11">
        <f t="shared" si="203"/>
        <v>5</v>
      </c>
      <c r="G172" s="12">
        <f t="shared" ref="G172:L172" si="236">IF($B172&lt;G$8,0,G$3+(G$4-G$3)*(POWER(G$5,$B172-G$8)-1)/(POWER(G$5,$C$5-G$8)-1))</f>
        <v>0.832285681522516</v>
      </c>
      <c r="H172" s="12">
        <f t="shared" si="236"/>
        <v>0.667236812503098</v>
      </c>
      <c r="I172" s="12">
        <f t="shared" si="236"/>
        <v>0.565760308141065</v>
      </c>
      <c r="J172" s="12">
        <f t="shared" si="236"/>
        <v>0.561130355647914</v>
      </c>
      <c r="K172" s="12">
        <f t="shared" si="236"/>
        <v>0.473178815955793</v>
      </c>
      <c r="L172" s="12">
        <f t="shared" si="236"/>
        <v>0.666564932810378</v>
      </c>
      <c r="M172" s="2">
        <f>E172*模块规划!$F$10+G172*模块规划!$F$11+H172*模块规划!$F$13</f>
        <v>4994.97127130808</v>
      </c>
      <c r="N172" s="2">
        <f>I172*模块规划!$F$15+J172*模块规划!$F$17+K172*模块规划!$F$16+L172*模块规划!$F$18</f>
        <v>16309.2835813943</v>
      </c>
      <c r="O172" s="2">
        <f t="shared" si="182"/>
        <v>3.16839861183152</v>
      </c>
      <c r="P172" s="13">
        <f t="shared" si="183"/>
        <v>32135.3436235452</v>
      </c>
      <c r="Q172" s="7">
        <f>P172/(P172+_曲线基线!$L$2)</f>
        <v>0.572461867144721</v>
      </c>
      <c r="R172" s="2">
        <f>E172*模块规划!$E$10+G172*模块规划!$E$11+H172*模块规划!$E$13</f>
        <v>7492.45690696212</v>
      </c>
      <c r="S172" s="2">
        <f>I172*模块规划!$E$15+J172*模块规划!$E$17+K172*模块规划!$E$16+L172*模块规划!$E$18</f>
        <v>24463.9253720915</v>
      </c>
      <c r="T172" s="2">
        <f t="shared" si="184"/>
        <v>3.16839861183152</v>
      </c>
      <c r="U172" s="13">
        <f t="shared" si="185"/>
        <v>48203.0154353177</v>
      </c>
      <c r="V172" s="2">
        <f t="shared" si="186"/>
        <v>0.900171043750929</v>
      </c>
      <c r="W172" s="2">
        <f t="shared" si="187"/>
        <v>0.266894725001239</v>
      </c>
      <c r="X172" s="2">
        <f t="shared" si="188"/>
        <v>0.458490123438352</v>
      </c>
      <c r="Y172" s="2">
        <f t="shared" si="189"/>
        <v>1</v>
      </c>
      <c r="Z172" s="2">
        <f t="shared" si="190"/>
        <v>1</v>
      </c>
      <c r="AA172" s="2">
        <f t="shared" si="191"/>
        <v>1</v>
      </c>
      <c r="AB172" s="2">
        <f t="shared" si="192"/>
        <v>1</v>
      </c>
      <c r="AC172" s="2">
        <f t="shared" si="193"/>
        <v>1</v>
      </c>
      <c r="AD172" s="1">
        <f t="shared" si="194"/>
        <v>1.83214033590653</v>
      </c>
      <c r="AE172" s="2">
        <f t="shared" si="195"/>
        <v>1</v>
      </c>
      <c r="AF172" s="2">
        <f t="shared" si="196"/>
        <v>1.19138093011307</v>
      </c>
      <c r="AG172" s="2">
        <f t="shared" si="197"/>
        <v>1.33916953725594</v>
      </c>
      <c r="AH172" s="2">
        <f>MIN(1,_曲线基线!$L$3+AH$9*($H$10*H172+$I$10*I172+$J$10*J172+$K$10*K172+$L$10*L172))</f>
        <v>0.485391616007223</v>
      </c>
      <c r="AI172" s="2">
        <f>_曲线基线!$L$4+AI$9*($H$10*H172+$I$10*I172+$J$10*J172+$K$10*K172+$L$10*L172)</f>
        <v>3.21287664459155</v>
      </c>
      <c r="AJ172" s="2">
        <f t="shared" si="198"/>
        <v>1.99518083658794</v>
      </c>
      <c r="AK172" s="1">
        <f t="shared" si="199"/>
        <v>4.13822805752874</v>
      </c>
      <c r="AL172" s="1">
        <f t="shared" si="200"/>
        <v>1827331.61731096</v>
      </c>
      <c r="AM172" s="14">
        <f t="shared" si="201"/>
        <v>40.2541709521057</v>
      </c>
      <c r="AN172" s="14">
        <f>(((E172*模块规划!$D$10+G172*模块规划!$D$11+H172*模块规划!$D$13)*(1+模块规划!$G$14*H172)+(I172*模块规划!$D$15+J172*模块规划!$D$17+K172*模块规划!$D$16+L172*模块规划!$D$18))*(1+模块规划!$J$17*J172))*F172/(1-Q172)</f>
        <v>2378087.35389235</v>
      </c>
      <c r="AO172" s="1">
        <f t="shared" si="202"/>
        <v>73557719.3094231</v>
      </c>
      <c r="AP172" s="1">
        <f>IF(AO172="","",_xlfn.XLOOKUP(AO172,_曲线基线!$E$3:$E$502,_曲线基线!$A$3:$A$502,500,1))</f>
        <v>264</v>
      </c>
      <c r="AQ172" s="15">
        <f t="shared" si="205"/>
        <v>5</v>
      </c>
    </row>
    <row r="173" customHeight="1" spans="1:43">
      <c r="A173" s="1" t="str">
        <f>IFERROR(_xlfn.XLOOKUP(B173,_曲线基线!$G$3:$G$107,_曲线基线!$J$3:$J$107,""),"")</f>
        <v/>
      </c>
      <c r="B173" s="1">
        <v>162</v>
      </c>
      <c r="C173" s="1">
        <f t="shared" si="153"/>
        <v>12</v>
      </c>
      <c r="D173" s="1">
        <f t="shared" si="154"/>
        <v>3</v>
      </c>
      <c r="E173" s="1">
        <f t="shared" si="180"/>
        <v>1</v>
      </c>
      <c r="F173" s="11">
        <f t="shared" si="203"/>
        <v>5</v>
      </c>
      <c r="G173" s="12">
        <f t="shared" ref="G173:L173" si="237">IF($B173&lt;G$8,0,G$3+(G$4-G$3)*(POWER(G$5,$B173-G$8)-1)/(POWER(G$5,$C$5-G$8)-1))</f>
        <v>0.833506586754175</v>
      </c>
      <c r="H173" s="12">
        <f t="shared" si="237"/>
        <v>0.667958618492547</v>
      </c>
      <c r="I173" s="12">
        <f t="shared" si="237"/>
        <v>0.567616193321312</v>
      </c>
      <c r="J173" s="12">
        <f t="shared" si="237"/>
        <v>0.56198669302668</v>
      </c>
      <c r="K173" s="12">
        <f t="shared" si="237"/>
        <v>0.47707436457165</v>
      </c>
      <c r="L173" s="12">
        <f t="shared" si="237"/>
        <v>0.667301540985556</v>
      </c>
      <c r="M173" s="2">
        <f>E173*模块规划!$F$10+G173*模块规划!$F$11+H173*模块规划!$F$13</f>
        <v>5000.83161642004</v>
      </c>
      <c r="N173" s="2">
        <f>I173*模块规划!$F$15+J173*模块规划!$F$17+K173*模块规划!$F$16+L173*模块规划!$F$18</f>
        <v>16359.750369195</v>
      </c>
      <c r="O173" s="2">
        <f t="shared" si="182"/>
        <v>3.17396791910602</v>
      </c>
      <c r="P173" s="13">
        <f t="shared" si="183"/>
        <v>32232.2294885633</v>
      </c>
      <c r="Q173" s="7">
        <f>P173/(P173+_曲线基线!$L$2)</f>
        <v>0.573198498116081</v>
      </c>
      <c r="R173" s="2">
        <f>E173*模块规划!$E$10+G173*模块规划!$E$11+H173*模块规划!$E$13</f>
        <v>7501.24742463006</v>
      </c>
      <c r="S173" s="2">
        <f>I173*模块规划!$E$15+J173*模块规划!$E$17+K173*模块规划!$E$16+L173*模块规划!$E$18</f>
        <v>24539.6255537925</v>
      </c>
      <c r="T173" s="2">
        <f t="shared" si="184"/>
        <v>3.17396791910602</v>
      </c>
      <c r="U173" s="13">
        <f t="shared" si="185"/>
        <v>48348.3442328449</v>
      </c>
      <c r="V173" s="2">
        <f t="shared" si="186"/>
        <v>0.900387585547764</v>
      </c>
      <c r="W173" s="2">
        <f t="shared" si="187"/>
        <v>0.267183447397019</v>
      </c>
      <c r="X173" s="2">
        <f t="shared" si="188"/>
        <v>0.458688620085451</v>
      </c>
      <c r="Y173" s="2">
        <f t="shared" si="189"/>
        <v>1</v>
      </c>
      <c r="Z173" s="2">
        <f t="shared" si="190"/>
        <v>1</v>
      </c>
      <c r="AA173" s="2">
        <f t="shared" si="191"/>
        <v>1</v>
      </c>
      <c r="AB173" s="2">
        <f t="shared" si="192"/>
        <v>1</v>
      </c>
      <c r="AC173" s="2">
        <f t="shared" si="193"/>
        <v>1</v>
      </c>
      <c r="AD173" s="1">
        <f t="shared" si="194"/>
        <v>1.83349758230655</v>
      </c>
      <c r="AE173" s="2">
        <f t="shared" si="195"/>
        <v>1</v>
      </c>
      <c r="AF173" s="2">
        <f t="shared" si="196"/>
        <v>1.1918724722126</v>
      </c>
      <c r="AG173" s="2">
        <f t="shared" si="197"/>
        <v>1.34004065908788</v>
      </c>
      <c r="AH173" s="2">
        <f>MIN(1,_曲线基线!$L$3+AH$9*($H$10*H173+$I$10*I173+$J$10*J173+$K$10*K173+$L$10*L173))</f>
        <v>0.486509874283657</v>
      </c>
      <c r="AI173" s="2">
        <f>_曲线基线!$L$4+AI$9*($H$10*H173+$I$10*I173+$J$10*J173+$K$10*K173+$L$10*L173)</f>
        <v>3.21599179264733</v>
      </c>
      <c r="AJ173" s="2">
        <f t="shared" si="198"/>
        <v>1.9977368555055</v>
      </c>
      <c r="AK173" s="1">
        <f t="shared" si="199"/>
        <v>4.15150073206107</v>
      </c>
      <c r="AL173" s="1">
        <f t="shared" si="200"/>
        <v>1840081.54814897</v>
      </c>
      <c r="AM173" s="14">
        <f t="shared" si="201"/>
        <v>40.3201373015486</v>
      </c>
      <c r="AN173" s="14">
        <f>(((E173*模块规划!$D$10+G173*模块规划!$D$11+H173*模块规划!$D$13)*(1+模块规划!$G$14*H173)+(I173*模块规划!$D$15+J173*模块规划!$D$17+K173*模块规划!$D$16+L173*模块规划!$D$18))*(1+模块规划!$J$17*J173))*F173/(1-Q173)</f>
        <v>2389842.87132859</v>
      </c>
      <c r="AO173" s="1">
        <f t="shared" si="202"/>
        <v>74192340.6674127</v>
      </c>
      <c r="AP173" s="1">
        <f>IF(AO173="","",_xlfn.XLOOKUP(AO173,_曲线基线!$E$3:$E$502,_曲线基线!$A$3:$A$502,500,1))</f>
        <v>265</v>
      </c>
      <c r="AQ173" s="15">
        <f t="shared" si="205"/>
        <v>5</v>
      </c>
    </row>
    <row r="174" customHeight="1" spans="1:43">
      <c r="A174" s="1" t="str">
        <f>IFERROR(_xlfn.XLOOKUP(B174,_曲线基线!$G$3:$G$107,_曲线基线!$J$3:$J$107,""),"")</f>
        <v/>
      </c>
      <c r="B174" s="1">
        <v>163</v>
      </c>
      <c r="C174" s="1">
        <f t="shared" si="153"/>
        <v>12</v>
      </c>
      <c r="D174" s="1">
        <f t="shared" si="154"/>
        <v>4</v>
      </c>
      <c r="E174" s="1">
        <f t="shared" si="180"/>
        <v>1</v>
      </c>
      <c r="F174" s="11">
        <f t="shared" si="203"/>
        <v>5</v>
      </c>
      <c r="G174" s="12">
        <f t="shared" ref="G174:L174" si="238">IF($B174&lt;G$8,0,G$3+(G$4-G$3)*(POWER(G$5,$B174-G$8)-1)/(POWER(G$5,$C$5-G$8)-1))</f>
        <v>0.834709178407358</v>
      </c>
      <c r="H174" s="12">
        <f t="shared" si="238"/>
        <v>0.668665988362208</v>
      </c>
      <c r="I174" s="12">
        <f t="shared" si="238"/>
        <v>0.569434960797954</v>
      </c>
      <c r="J174" s="12">
        <f t="shared" si="238"/>
        <v>0.56282590365787</v>
      </c>
      <c r="K174" s="12">
        <f t="shared" si="238"/>
        <v>0.480892002215191</v>
      </c>
      <c r="L174" s="12">
        <f t="shared" si="238"/>
        <v>0.668023416997231</v>
      </c>
      <c r="M174" s="2">
        <f>E174*模块规划!$F$10+G174*模块规划!$F$11+H174*模块规划!$F$13</f>
        <v>5006.60405635532</v>
      </c>
      <c r="N174" s="2">
        <f>I174*模块规划!$F$15+J174*模块规划!$F$17+K174*模块规划!$F$16+L174*模块规划!$F$18</f>
        <v>16409.2078212396</v>
      </c>
      <c r="O174" s="2">
        <f t="shared" si="182"/>
        <v>3.17942584023504</v>
      </c>
      <c r="P174" s="13">
        <f t="shared" si="183"/>
        <v>32327.3341298413</v>
      </c>
      <c r="Q174" s="7">
        <f>P174/(P174+_曲线基线!$L$2)</f>
        <v>0.573919121670536</v>
      </c>
      <c r="R174" s="2">
        <f>E174*模块规划!$E$10+G174*模块规划!$E$11+H174*模块规划!$E$13</f>
        <v>7509.90608453298</v>
      </c>
      <c r="S174" s="2">
        <f>I174*模块规划!$E$15+J174*模块规划!$E$17+K174*模块规划!$E$16+L174*模块规划!$E$18</f>
        <v>24613.8117318594</v>
      </c>
      <c r="T174" s="2">
        <f t="shared" si="184"/>
        <v>3.17942584023504</v>
      </c>
      <c r="U174" s="13">
        <f t="shared" si="185"/>
        <v>48491.001194762</v>
      </c>
      <c r="V174" s="2">
        <f t="shared" si="186"/>
        <v>0.900599796508662</v>
      </c>
      <c r="W174" s="2">
        <f t="shared" si="187"/>
        <v>0.267466395344883</v>
      </c>
      <c r="X174" s="2">
        <f t="shared" si="188"/>
        <v>0.458883146799607</v>
      </c>
      <c r="Y174" s="2">
        <f t="shared" si="189"/>
        <v>1</v>
      </c>
      <c r="Z174" s="2">
        <f t="shared" si="190"/>
        <v>1</v>
      </c>
      <c r="AA174" s="2">
        <f t="shared" si="191"/>
        <v>1</v>
      </c>
      <c r="AB174" s="2">
        <f t="shared" si="192"/>
        <v>1</v>
      </c>
      <c r="AC174" s="2">
        <f t="shared" si="193"/>
        <v>1</v>
      </c>
      <c r="AD174" s="1">
        <f t="shared" si="194"/>
        <v>1.83482829468242</v>
      </c>
      <c r="AE174" s="2">
        <f t="shared" si="195"/>
        <v>1</v>
      </c>
      <c r="AF174" s="2">
        <f t="shared" si="196"/>
        <v>1.19235418347014</v>
      </c>
      <c r="AG174" s="2">
        <f t="shared" si="197"/>
        <v>1.34089435848319</v>
      </c>
      <c r="AH174" s="2">
        <f>MIN(1,_曲线基线!$L$3+AH$9*($H$10*H174+$I$10*I174+$J$10*J174+$K$10*K174+$L$10*L174))</f>
        <v>0.487605767394562</v>
      </c>
      <c r="AI174" s="2">
        <f>_曲线基线!$L$4+AI$9*($H$10*H174+$I$10*I174+$J$10*J174+$K$10*K174+$L$10*L174)</f>
        <v>3.21904463774199</v>
      </c>
      <c r="AJ174" s="2">
        <f t="shared" si="198"/>
        <v>2.00024175404471</v>
      </c>
      <c r="AK174" s="1">
        <f t="shared" si="199"/>
        <v>4.16454126344353</v>
      </c>
      <c r="AL174" s="1">
        <f t="shared" si="200"/>
        <v>1852651.59088131</v>
      </c>
      <c r="AM174" s="14">
        <f t="shared" si="201"/>
        <v>40.386763314486</v>
      </c>
      <c r="AN174" s="14">
        <f>(((E174*模块规划!$D$10+G174*模块规划!$D$11+H174*模块规划!$D$13)*(1+模块规划!$G$14*H174)+(I174*模块规划!$D$15+J174*模块规划!$D$17+K174*模块规划!$D$16+L174*模块规划!$D$18))*(1+模块规划!$J$17*J174))*F174/(1-Q174)</f>
        <v>2401408.25138477</v>
      </c>
      <c r="AO174" s="1">
        <f t="shared" si="202"/>
        <v>74822601.3051292</v>
      </c>
      <c r="AP174" s="1">
        <f>IF(AO174="","",_xlfn.XLOOKUP(AO174,_曲线基线!$E$3:$E$502,_曲线基线!$A$3:$A$502,500,1))</f>
        <v>265</v>
      </c>
      <c r="AQ174" s="15">
        <f t="shared" si="205"/>
        <v>5</v>
      </c>
    </row>
    <row r="175" customHeight="1" spans="1:43">
      <c r="A175" s="1" t="str">
        <f>IFERROR(_xlfn.XLOOKUP(B175,_曲线基线!$G$3:$G$107,_曲线基线!$J$3:$J$107,""),"")</f>
        <v/>
      </c>
      <c r="B175" s="1">
        <v>164</v>
      </c>
      <c r="C175" s="1">
        <f t="shared" si="153"/>
        <v>12</v>
      </c>
      <c r="D175" s="1">
        <f t="shared" si="154"/>
        <v>5</v>
      </c>
      <c r="E175" s="1">
        <f t="shared" si="180"/>
        <v>1</v>
      </c>
      <c r="F175" s="11">
        <f t="shared" si="203"/>
        <v>5</v>
      </c>
      <c r="G175" s="12">
        <f t="shared" ref="G175:L175" si="239">IF($B175&lt;G$8,0,G$3+(G$4-G$3)*(POWER(G$5,$B175-G$8)-1)/(POWER(G$5,$C$5-G$8)-1))</f>
        <v>0.835893731185743</v>
      </c>
      <c r="H175" s="12">
        <f t="shared" si="239"/>
        <v>0.669359210834475</v>
      </c>
      <c r="I175" s="12">
        <f t="shared" si="239"/>
        <v>0.571217352925063</v>
      </c>
      <c r="J175" s="12">
        <f t="shared" si="239"/>
        <v>0.563648330076437</v>
      </c>
      <c r="K175" s="12">
        <f t="shared" si="239"/>
        <v>0.484633287105861</v>
      </c>
      <c r="L175" s="12">
        <f t="shared" si="239"/>
        <v>0.668730855488672</v>
      </c>
      <c r="M175" s="2">
        <f>E175*模块规划!$F$10+G175*模块规划!$F$11+H175*模块规划!$F$13</f>
        <v>5012.28990969157</v>
      </c>
      <c r="N175" s="2">
        <f>I175*模块规划!$F$15+J175*模块规划!$F$17+K175*模块规划!$F$16+L175*模块规划!$F$18</f>
        <v>16457.6761242434</v>
      </c>
      <c r="O175" s="2">
        <f t="shared" si="182"/>
        <v>3.18477460294147</v>
      </c>
      <c r="P175" s="13">
        <f t="shared" si="183"/>
        <v>32420.6897312089</v>
      </c>
      <c r="Q175" s="7">
        <f>P175/(P175+_曲线基线!$L$2)</f>
        <v>0.574624129652841</v>
      </c>
      <c r="R175" s="2">
        <f>E175*模块规划!$E$10+G175*模块规划!$E$11+H175*模块规划!$E$13</f>
        <v>7518.43486453735</v>
      </c>
      <c r="S175" s="2">
        <f>I175*模块规划!$E$15+J175*模块规划!$E$17+K175*模块规划!$E$16+L175*模块规划!$E$18</f>
        <v>24686.5141863651</v>
      </c>
      <c r="T175" s="2">
        <f t="shared" si="184"/>
        <v>3.18477460294147</v>
      </c>
      <c r="U175" s="13">
        <f t="shared" si="185"/>
        <v>48631.0345968133</v>
      </c>
      <c r="V175" s="2">
        <f t="shared" si="186"/>
        <v>0.900807763250342</v>
      </c>
      <c r="W175" s="2">
        <f t="shared" si="187"/>
        <v>0.26774368433379</v>
      </c>
      <c r="X175" s="2">
        <f t="shared" si="188"/>
        <v>0.459073782979481</v>
      </c>
      <c r="Y175" s="2">
        <f t="shared" si="189"/>
        <v>1</v>
      </c>
      <c r="Z175" s="2">
        <f t="shared" si="190"/>
        <v>1</v>
      </c>
      <c r="AA175" s="2">
        <f t="shared" si="191"/>
        <v>1</v>
      </c>
      <c r="AB175" s="2">
        <f t="shared" si="192"/>
        <v>1</v>
      </c>
      <c r="AC175" s="2">
        <f t="shared" si="193"/>
        <v>1</v>
      </c>
      <c r="AD175" s="1">
        <f t="shared" si="194"/>
        <v>1.83613297952282</v>
      </c>
      <c r="AE175" s="2">
        <f t="shared" si="195"/>
        <v>1</v>
      </c>
      <c r="AF175" s="2">
        <f t="shared" si="196"/>
        <v>1.19282626050253</v>
      </c>
      <c r="AG175" s="2">
        <f t="shared" si="197"/>
        <v>1.34173098389059</v>
      </c>
      <c r="AH175" s="2">
        <f>MIN(1,_曲线基线!$L$3+AH$9*($H$10*H175+$I$10*I175+$J$10*J175+$K$10*K175+$L$10*L175))</f>
        <v>0.488679742643249</v>
      </c>
      <c r="AI175" s="2">
        <f>_曲线基线!$L$4+AI$9*($H$10*H175+$I$10*I175+$J$10*J175+$K$10*K175+$L$10*L175)</f>
        <v>3.22203642593476</v>
      </c>
      <c r="AJ175" s="2">
        <f t="shared" si="198"/>
        <v>2.00269655461314</v>
      </c>
      <c r="AK175" s="1">
        <f t="shared" si="199"/>
        <v>4.17735302424006</v>
      </c>
      <c r="AL175" s="1">
        <f t="shared" si="200"/>
        <v>1865042.88818941</v>
      </c>
      <c r="AM175" s="14">
        <f t="shared" si="201"/>
        <v>40.4540555875527</v>
      </c>
      <c r="AN175" s="14">
        <f>(((E175*模块规划!$D$10+G175*模块规划!$D$11+H175*模块规划!$D$13)*(1+模块规划!$G$14*H175)+(I175*模块规划!$D$15+J175*模块规划!$D$17+K175*模块规划!$D$16+L175*模块规划!$D$18))*(1+模块规划!$J$17*J175))*F175/(1-Q175)</f>
        <v>2412785.88424621</v>
      </c>
      <c r="AO175" s="1">
        <f t="shared" si="202"/>
        <v>75448548.6719844</v>
      </c>
      <c r="AP175" s="1">
        <f>IF(AO175="","",_xlfn.XLOOKUP(AO175,_曲线基线!$E$3:$E$502,_曲线基线!$A$3:$A$502,500,1))</f>
        <v>266</v>
      </c>
      <c r="AQ175" s="15">
        <f t="shared" si="205"/>
        <v>5</v>
      </c>
    </row>
    <row r="176" customHeight="1" spans="1:43">
      <c r="A176" s="1" t="str">
        <f>IFERROR(_xlfn.XLOOKUP(B176,_曲线基线!$G$3:$G$107,_曲线基线!$J$3:$J$107,""),"")</f>
        <v/>
      </c>
      <c r="B176" s="1">
        <v>165</v>
      </c>
      <c r="C176" s="1">
        <f t="shared" si="153"/>
        <v>12</v>
      </c>
      <c r="D176" s="1">
        <f t="shared" si="154"/>
        <v>6</v>
      </c>
      <c r="E176" s="1">
        <f t="shared" si="180"/>
        <v>1</v>
      </c>
      <c r="F176" s="11">
        <f t="shared" si="203"/>
        <v>5</v>
      </c>
      <c r="G176" s="12">
        <f t="shared" ref="G176:L176" si="240">IF($B176&lt;G$8,0,G$3+(G$4-G$3)*(POWER(G$5,$B176-G$8)-1)/(POWER(G$5,$C$5-G$8)-1))</f>
        <v>0.837060515672453</v>
      </c>
      <c r="H176" s="12">
        <f t="shared" si="240"/>
        <v>0.670038568857297</v>
      </c>
      <c r="I176" s="12">
        <f t="shared" si="240"/>
        <v>0.57296409720963</v>
      </c>
      <c r="J176" s="12">
        <f t="shared" si="240"/>
        <v>0.564454307966632</v>
      </c>
      <c r="K176" s="12">
        <f t="shared" si="240"/>
        <v>0.488299746298717</v>
      </c>
      <c r="L176" s="12">
        <f t="shared" si="240"/>
        <v>0.669424145210284</v>
      </c>
      <c r="M176" s="2">
        <f>E176*模块规划!$F$10+G176*模块规划!$F$11+H176*模块规划!$F$13</f>
        <v>5017.89047522777</v>
      </c>
      <c r="N176" s="2">
        <f>I176*模块规划!$F$15+J176*模块规划!$F$17+K176*模块规划!$F$16+L176*模块规划!$F$18</f>
        <v>16505.1750611871</v>
      </c>
      <c r="O176" s="2">
        <f t="shared" si="182"/>
        <v>3.19001639039378</v>
      </c>
      <c r="P176" s="13">
        <f t="shared" si="183"/>
        <v>32512.3279223645</v>
      </c>
      <c r="Q176" s="7">
        <f>P176/(P176+_曲线基线!$L$2)</f>
        <v>0.575313902605981</v>
      </c>
      <c r="R176" s="2">
        <f>E176*模块规划!$E$10+G176*模块规划!$E$11+H176*模块规划!$E$13</f>
        <v>7526.83571284166</v>
      </c>
      <c r="S176" s="2">
        <f>I176*模块规划!$E$15+J176*模块规划!$E$17+K176*模块规划!$E$16+L176*模块规划!$E$18</f>
        <v>24757.7625917806</v>
      </c>
      <c r="T176" s="2">
        <f t="shared" si="184"/>
        <v>3.19001639039378</v>
      </c>
      <c r="U176" s="13">
        <f t="shared" si="185"/>
        <v>48768.4918835468</v>
      </c>
      <c r="V176" s="2">
        <f t="shared" si="186"/>
        <v>0.901011570657189</v>
      </c>
      <c r="W176" s="2">
        <f t="shared" si="187"/>
        <v>0.268015427542919</v>
      </c>
      <c r="X176" s="2">
        <f t="shared" si="188"/>
        <v>0.459260606435757</v>
      </c>
      <c r="Y176" s="2">
        <f t="shared" si="189"/>
        <v>1</v>
      </c>
      <c r="Z176" s="2">
        <f t="shared" si="190"/>
        <v>1</v>
      </c>
      <c r="AA176" s="2">
        <f t="shared" si="191"/>
        <v>1</v>
      </c>
      <c r="AB176" s="2">
        <f t="shared" si="192"/>
        <v>1</v>
      </c>
      <c r="AC176" s="2">
        <f t="shared" si="193"/>
        <v>1</v>
      </c>
      <c r="AD176" s="1">
        <f t="shared" si="194"/>
        <v>1.83741213414467</v>
      </c>
      <c r="AE176" s="2">
        <f t="shared" si="195"/>
        <v>1</v>
      </c>
      <c r="AF176" s="2">
        <f t="shared" si="196"/>
        <v>1.19328889599427</v>
      </c>
      <c r="AG176" s="2">
        <f t="shared" si="197"/>
        <v>1.34255087678985</v>
      </c>
      <c r="AH176" s="2">
        <f>MIN(1,_曲线基线!$L$3+AH$9*($H$10*H176+$I$10*I176+$J$10*J176+$K$10*K176+$L$10*L176))</f>
        <v>0.489732238386962</v>
      </c>
      <c r="AI176" s="2">
        <f>_曲线基线!$L$4+AI$9*($H$10*H176+$I$10*I176+$J$10*J176+$K$10*K176+$L$10*L176)</f>
        <v>3.22496837836368</v>
      </c>
      <c r="AJ176" s="2">
        <f t="shared" si="198"/>
        <v>2.0051022591702</v>
      </c>
      <c r="AK176" s="1">
        <f t="shared" si="199"/>
        <v>4.18993936699789</v>
      </c>
      <c r="AL176" s="1">
        <f t="shared" si="200"/>
        <v>1877256.6368732</v>
      </c>
      <c r="AM176" s="14">
        <f t="shared" si="201"/>
        <v>40.5220207833501</v>
      </c>
      <c r="AN176" s="14">
        <f>(((E176*模块规划!$D$10+G176*模块规划!$D$11+H176*模块规划!$D$13)*(1+模块规划!$G$14*H176)+(I176*模块规划!$D$15+J176*模块规划!$D$17+K176*模块规划!$D$16+L176*模块规划!$D$18))*(1+模块规划!$J$17*J176))*F176/(1-Q176)</f>
        <v>2423978.15932742</v>
      </c>
      <c r="AO176" s="1">
        <f t="shared" si="202"/>
        <v>76070232.4550579</v>
      </c>
      <c r="AP176" s="1">
        <f>IF(AO176="","",_xlfn.XLOOKUP(AO176,_曲线基线!$E$3:$E$502,_曲线基线!$A$3:$A$502,500,1))</f>
        <v>266</v>
      </c>
      <c r="AQ176" s="15">
        <f t="shared" si="205"/>
        <v>5</v>
      </c>
    </row>
    <row r="177" customHeight="1" spans="1:43">
      <c r="A177" s="1" t="str">
        <f>IFERROR(_xlfn.XLOOKUP(B177,_曲线基线!$G$3:$G$107,_曲线基线!$J$3:$J$107,""),"")</f>
        <v/>
      </c>
      <c r="B177" s="1">
        <v>166</v>
      </c>
      <c r="C177" s="1">
        <f t="shared" si="153"/>
        <v>12</v>
      </c>
      <c r="D177" s="1">
        <f t="shared" si="154"/>
        <v>7</v>
      </c>
      <c r="E177" s="1">
        <f t="shared" si="180"/>
        <v>1</v>
      </c>
      <c r="F177" s="11">
        <f t="shared" si="203"/>
        <v>5</v>
      </c>
      <c r="G177" s="12">
        <f t="shared" ref="G177:L177" si="241">IF($B177&lt;G$8,0,G$3+(G$4-G$3)*(POWER(G$5,$B177-G$8)-1)/(POWER(G$5,$C$5-G$8)-1))</f>
        <v>0.838209798391862</v>
      </c>
      <c r="H177" s="12">
        <f t="shared" si="241"/>
        <v>0.670704339719662</v>
      </c>
      <c r="I177" s="12">
        <f t="shared" si="241"/>
        <v>0.574675906608506</v>
      </c>
      <c r="J177" s="12">
        <f t="shared" si="241"/>
        <v>0.565244166299023</v>
      </c>
      <c r="K177" s="12">
        <f t="shared" si="241"/>
        <v>0.491892876307716</v>
      </c>
      <c r="L177" s="12">
        <f t="shared" si="241"/>
        <v>0.670103569137464</v>
      </c>
      <c r="M177" s="2">
        <f>E177*模块规划!$F$10+G177*模块规划!$F$11+H177*模块规划!$F$13</f>
        <v>5023.40703228094</v>
      </c>
      <c r="N177" s="2">
        <f>I177*模块规划!$F$15+J177*模块规划!$F$17+K177*模块规划!$F$16+L177*模块规划!$F$18</f>
        <v>16551.7240193919</v>
      </c>
      <c r="O177" s="2">
        <f t="shared" si="182"/>
        <v>3.19515334209704</v>
      </c>
      <c r="P177" s="13">
        <f t="shared" si="183"/>
        <v>32602.2797872981</v>
      </c>
      <c r="Q177" s="7">
        <f>P177/(P177+_曲线基线!$L$2)</f>
        <v>0.57598881016475</v>
      </c>
      <c r="R177" s="2">
        <f>E177*模块规划!$E$10+G177*模块规划!$E$11+H177*模块规划!$E$13</f>
        <v>7535.11054842141</v>
      </c>
      <c r="S177" s="2">
        <f>I177*模块规划!$E$15+J177*模块规划!$E$17+K177*模块规划!$E$16+L177*模块规划!$E$18</f>
        <v>24827.5860290878</v>
      </c>
      <c r="T177" s="2">
        <f t="shared" si="184"/>
        <v>3.19515334209704</v>
      </c>
      <c r="U177" s="13">
        <f t="shared" si="185"/>
        <v>48903.4196809472</v>
      </c>
      <c r="V177" s="2">
        <f t="shared" si="186"/>
        <v>0.901211301915899</v>
      </c>
      <c r="W177" s="2">
        <f t="shared" si="187"/>
        <v>0.268281735887865</v>
      </c>
      <c r="X177" s="2">
        <f t="shared" si="188"/>
        <v>0.459443693422907</v>
      </c>
      <c r="Y177" s="2">
        <f t="shared" si="189"/>
        <v>1</v>
      </c>
      <c r="Z177" s="2">
        <f t="shared" si="190"/>
        <v>1</v>
      </c>
      <c r="AA177" s="2">
        <f t="shared" si="191"/>
        <v>1</v>
      </c>
      <c r="AB177" s="2">
        <f t="shared" si="192"/>
        <v>1</v>
      </c>
      <c r="AC177" s="2">
        <f t="shared" si="193"/>
        <v>1</v>
      </c>
      <c r="AD177" s="1">
        <f t="shared" si="194"/>
        <v>1.8386662468386</v>
      </c>
      <c r="AE177" s="2">
        <f t="shared" si="195"/>
        <v>1</v>
      </c>
      <c r="AF177" s="2">
        <f t="shared" si="196"/>
        <v>1.19374227877618</v>
      </c>
      <c r="AG177" s="2">
        <f t="shared" si="197"/>
        <v>1.34335437183112</v>
      </c>
      <c r="AH177" s="2">
        <f>MIN(1,_曲线基线!$L$3+AH$9*($H$10*H177+$I$10*I177+$J$10*J177+$K$10*K177+$L$10*L177))</f>
        <v>0.490763684215801</v>
      </c>
      <c r="AI177" s="2">
        <f>_曲线基线!$L$4+AI$9*($H$10*H177+$I$10*I177+$J$10*J177+$K$10*K177+$L$10*L177)</f>
        <v>3.22784169174402</v>
      </c>
      <c r="AJ177" s="2">
        <f t="shared" si="198"/>
        <v>2.00745984963612</v>
      </c>
      <c r="AK177" s="1">
        <f t="shared" si="199"/>
        <v>4.20230362293822</v>
      </c>
      <c r="AL177" s="1">
        <f t="shared" si="200"/>
        <v>1889294.08466094</v>
      </c>
      <c r="AM177" s="14">
        <f t="shared" si="201"/>
        <v>40.5906656311055</v>
      </c>
      <c r="AN177" s="14">
        <f>(((E177*模块规划!$D$10+G177*模块规划!$D$11+H177*模块规划!$D$13)*(1+模块规划!$G$14*H177)+(I177*模块规划!$D$15+J177*模块规划!$D$17+K177*模块规划!$D$16+L177*模块规划!$D$18))*(1+模块规划!$J$17*J177))*F177/(1-Q177)</f>
        <v>2434987.46372038</v>
      </c>
      <c r="AO177" s="1">
        <f t="shared" si="202"/>
        <v>76687704.4692979</v>
      </c>
      <c r="AP177" s="1">
        <f>IF(AO177="","",_xlfn.XLOOKUP(AO177,_曲线基线!$E$3:$E$502,_曲线基线!$A$3:$A$502,500,1))</f>
        <v>267</v>
      </c>
      <c r="AQ177" s="15">
        <f t="shared" si="205"/>
        <v>5</v>
      </c>
    </row>
    <row r="178" customHeight="1" spans="1:43">
      <c r="A178" s="1" t="str">
        <f>IFERROR(_xlfn.XLOOKUP(B178,_曲线基线!$G$3:$G$107,_曲线基线!$J$3:$J$107,""),"")</f>
        <v/>
      </c>
      <c r="B178" s="1">
        <v>167</v>
      </c>
      <c r="C178" s="1">
        <f t="shared" si="153"/>
        <v>12</v>
      </c>
      <c r="D178" s="1">
        <f t="shared" si="154"/>
        <v>8</v>
      </c>
      <c r="E178" s="1">
        <f t="shared" si="180"/>
        <v>1</v>
      </c>
      <c r="F178" s="11">
        <f t="shared" si="203"/>
        <v>5</v>
      </c>
      <c r="G178" s="12">
        <f t="shared" ref="G178:L178" si="242">IF($B178&lt;G$8,0,G$3+(G$4-G$3)*(POWER(G$5,$B178-G$8)-1)/(POWER(G$5,$C$5-G$8)-1))</f>
        <v>0.83934184187048</v>
      </c>
      <c r="H178" s="12">
        <f t="shared" si="242"/>
        <v>0.67135679516478</v>
      </c>
      <c r="I178" s="12">
        <f t="shared" si="242"/>
        <v>0.576353479819404</v>
      </c>
      <c r="J178" s="12">
        <f t="shared" si="242"/>
        <v>0.566018227464767</v>
      </c>
      <c r="K178" s="12">
        <f t="shared" si="242"/>
        <v>0.495414143716535</v>
      </c>
      <c r="L178" s="12">
        <f t="shared" si="242"/>
        <v>0.670769404586101</v>
      </c>
      <c r="M178" s="2">
        <f>E178*模块规划!$F$10+G178*模块规划!$F$11+H178*模块规划!$F$13</f>
        <v>5028.8408409783</v>
      </c>
      <c r="N178" s="2">
        <f>I178*模块规划!$F$15+J178*模块规划!$F$17+K178*模块规划!$F$16+L178*模块规划!$F$18</f>
        <v>16597.3419984326</v>
      </c>
      <c r="O178" s="2">
        <f t="shared" si="182"/>
        <v>3.20018755476624</v>
      </c>
      <c r="P178" s="13">
        <f t="shared" si="183"/>
        <v>32690.5758726316</v>
      </c>
      <c r="Q178" s="7">
        <f>P178/(P178+_曲线基线!$L$2)</f>
        <v>0.576649211432928</v>
      </c>
      <c r="R178" s="2">
        <f>E178*模块规划!$E$10+G178*模块规划!$E$11+H178*模块规划!$E$13</f>
        <v>7543.26126146745</v>
      </c>
      <c r="S178" s="2">
        <f>I178*模块规划!$E$15+J178*模块规划!$E$17+K178*模块规划!$E$16+L178*模块规划!$E$18</f>
        <v>24896.0129976489</v>
      </c>
      <c r="T178" s="2">
        <f t="shared" si="184"/>
        <v>3.20018755476624</v>
      </c>
      <c r="U178" s="13">
        <f t="shared" si="185"/>
        <v>49035.8638089474</v>
      </c>
      <c r="V178" s="2">
        <f t="shared" si="186"/>
        <v>0.901407038549434</v>
      </c>
      <c r="W178" s="2">
        <f t="shared" si="187"/>
        <v>0.268542718065912</v>
      </c>
      <c r="X178" s="2">
        <f t="shared" si="188"/>
        <v>0.459623118670315</v>
      </c>
      <c r="Y178" s="2">
        <f t="shared" si="189"/>
        <v>1</v>
      </c>
      <c r="Z178" s="2">
        <f t="shared" si="190"/>
        <v>1</v>
      </c>
      <c r="AA178" s="2">
        <f t="shared" si="191"/>
        <v>1</v>
      </c>
      <c r="AB178" s="2">
        <f t="shared" si="192"/>
        <v>1</v>
      </c>
      <c r="AC178" s="2">
        <f t="shared" si="193"/>
        <v>1</v>
      </c>
      <c r="AD178" s="1">
        <f t="shared" si="194"/>
        <v>1.83989579701306</v>
      </c>
      <c r="AE178" s="2">
        <f t="shared" si="195"/>
        <v>1</v>
      </c>
      <c r="AF178" s="2">
        <f t="shared" si="196"/>
        <v>1.19418659390245</v>
      </c>
      <c r="AG178" s="2">
        <f t="shared" si="197"/>
        <v>1.34414179697156</v>
      </c>
      <c r="AH178" s="2">
        <f>MIN(1,_曲线基线!$L$3+AH$9*($H$10*H178+$I$10*I178+$J$10*J178+$K$10*K178+$L$10*L178))</f>
        <v>0.491774501128063</v>
      </c>
      <c r="AI178" s="2">
        <f>_曲线基线!$L$4+AI$9*($H$10*H178+$I$10*I178+$J$10*J178+$K$10*K178+$L$10*L178)</f>
        <v>3.23065753885675</v>
      </c>
      <c r="AJ178" s="2">
        <f t="shared" si="198"/>
        <v>2.00977028829272</v>
      </c>
      <c r="AK178" s="1">
        <f t="shared" si="199"/>
        <v>4.21444910073083</v>
      </c>
      <c r="AL178" s="1">
        <f t="shared" si="200"/>
        <v>1901156.52712058</v>
      </c>
      <c r="AM178" s="14">
        <f t="shared" si="201"/>
        <v>40.6599969273384</v>
      </c>
      <c r="AN178" s="14">
        <f>(((E178*模块规划!$D$10+G178*模块规划!$D$11+H178*模块规划!$D$13)*(1+模块规划!$G$14*H178)+(I178*模块规划!$D$15+J178*模块规划!$D$17+K178*模块规划!$D$16+L178*模块规划!$D$18))*(1+模块规划!$J$17*J178))*F178/(1-Q178)</f>
        <v>2445816.18072346</v>
      </c>
      <c r="AO178" s="1">
        <f t="shared" si="202"/>
        <v>77301018.5511121</v>
      </c>
      <c r="AP178" s="1">
        <f>IF(AO178="","",_xlfn.XLOOKUP(AO178,_曲线基线!$E$3:$E$502,_曲线基线!$A$3:$A$502,500,1))</f>
        <v>268</v>
      </c>
      <c r="AQ178" s="15">
        <f t="shared" si="205"/>
        <v>5</v>
      </c>
    </row>
    <row r="179" customHeight="1" spans="1:43">
      <c r="A179" s="1" t="str">
        <f>IFERROR(_xlfn.XLOOKUP(B179,_曲线基线!$G$3:$G$107,_曲线基线!$J$3:$J$107,""),"")</f>
        <v/>
      </c>
      <c r="B179" s="1">
        <v>168</v>
      </c>
      <c r="C179" s="1">
        <f t="shared" ref="C179:C242" si="243">C164+1</f>
        <v>12</v>
      </c>
      <c r="D179" s="1">
        <f t="shared" ref="D179:D242" si="244">D164</f>
        <v>9</v>
      </c>
      <c r="E179" s="1">
        <f t="shared" si="180"/>
        <v>1</v>
      </c>
      <c r="F179" s="11">
        <f t="shared" si="203"/>
        <v>5</v>
      </c>
      <c r="G179" s="12">
        <f t="shared" ref="G179:L179" si="245">IF($B179&lt;G$8,0,G$3+(G$4-G$3)*(POWER(G$5,$B179-G$8)-1)/(POWER(G$5,$C$5-G$8)-1))</f>
        <v>0.840456904696918</v>
      </c>
      <c r="H179" s="12">
        <f t="shared" si="245"/>
        <v>0.671996201500996</v>
      </c>
      <c r="I179" s="12">
        <f t="shared" si="245"/>
        <v>0.577997501566084</v>
      </c>
      <c r="J179" s="12">
        <f t="shared" si="245"/>
        <v>0.566776807407195</v>
      </c>
      <c r="K179" s="12">
        <f t="shared" si="245"/>
        <v>0.498864985777178</v>
      </c>
      <c r="L179" s="12">
        <f t="shared" si="245"/>
        <v>0.671421923325764</v>
      </c>
      <c r="M179" s="2">
        <f>E179*模块规划!$F$10+G179*模块规划!$F$11+H179*模块规划!$F$13</f>
        <v>5034.19314254521</v>
      </c>
      <c r="N179" s="2">
        <f>I179*模块规划!$F$15+J179*模块规划!$F$17+K179*模块规划!$F$16+L179*模块规划!$F$18</f>
        <v>16642.0476178925</v>
      </c>
      <c r="O179" s="2">
        <f t="shared" si="182"/>
        <v>3.20512108318205</v>
      </c>
      <c r="P179" s="13">
        <f t="shared" si="183"/>
        <v>32777.2461958747</v>
      </c>
      <c r="Q179" s="7">
        <f>P179/(P179+_曲线基线!$L$2)</f>
        <v>0.57729545534486</v>
      </c>
      <c r="R179" s="2">
        <f>E179*模块规划!$E$10+G179*模块规划!$E$11+H179*模块规划!$E$13</f>
        <v>7551.28971381781</v>
      </c>
      <c r="S179" s="2">
        <f>I179*模块规划!$E$15+J179*模块规划!$E$17+K179*模块规划!$E$16+L179*模块规划!$E$18</f>
        <v>24963.0714268388</v>
      </c>
      <c r="T179" s="2">
        <f t="shared" si="184"/>
        <v>3.20512108318205</v>
      </c>
      <c r="U179" s="13">
        <f t="shared" si="185"/>
        <v>49165.869293812</v>
      </c>
      <c r="V179" s="2">
        <f t="shared" si="186"/>
        <v>0.901598860450299</v>
      </c>
      <c r="W179" s="2">
        <f t="shared" si="187"/>
        <v>0.268798480600398</v>
      </c>
      <c r="X179" s="2">
        <f t="shared" si="188"/>
        <v>0.459798955412774</v>
      </c>
      <c r="Y179" s="2">
        <f t="shared" si="189"/>
        <v>1</v>
      </c>
      <c r="Z179" s="2">
        <f t="shared" si="190"/>
        <v>1</v>
      </c>
      <c r="AA179" s="2">
        <f t="shared" si="191"/>
        <v>1</v>
      </c>
      <c r="AB179" s="2">
        <f t="shared" si="192"/>
        <v>1</v>
      </c>
      <c r="AC179" s="2">
        <f t="shared" si="193"/>
        <v>1</v>
      </c>
      <c r="AD179" s="1">
        <f t="shared" si="194"/>
        <v>1.84110125533695</v>
      </c>
      <c r="AE179" s="2">
        <f t="shared" si="195"/>
        <v>1</v>
      </c>
      <c r="AF179" s="2">
        <f t="shared" si="196"/>
        <v>1.19462202272619</v>
      </c>
      <c r="AG179" s="2">
        <f t="shared" si="197"/>
        <v>1.34491347360919</v>
      </c>
      <c r="AH179" s="2">
        <f>MIN(1,_曲线基线!$L$3+AH$9*($H$10*H179+$I$10*I179+$J$10*J179+$K$10*K179+$L$10*L179))</f>
        <v>0.49276510170208</v>
      </c>
      <c r="AI179" s="2">
        <f>_曲线基线!$L$4+AI$9*($H$10*H179+$I$10*I179+$J$10*J179+$K$10*K179+$L$10*L179)</f>
        <v>3.23341706902722</v>
      </c>
      <c r="AJ179" s="2">
        <f t="shared" si="198"/>
        <v>2.01203451817618</v>
      </c>
      <c r="AK179" s="1">
        <f t="shared" si="199"/>
        <v>4.22637908534927</v>
      </c>
      <c r="AL179" s="1">
        <f t="shared" si="200"/>
        <v>1912845.30467098</v>
      </c>
      <c r="AM179" s="14">
        <f t="shared" si="201"/>
        <v>40.7300215365336</v>
      </c>
      <c r="AN179" s="14">
        <f>(((E179*模块规划!$D$10+G179*模块规划!$D$11+H179*模块规划!$D$13)*(1+模块规划!$G$14*H179)+(I179*模块规划!$D$15+J179*模块规划!$D$17+K179*模块规划!$D$16+L179*模块规划!$D$18))*(1+模块规划!$J$17*J179))*F179/(1-Q179)</f>
        <v>2456466.688448</v>
      </c>
      <c r="AO179" s="1">
        <f t="shared" si="202"/>
        <v>77910230.4553063</v>
      </c>
      <c r="AP179" s="1">
        <f>IF(AO179="","",_xlfn.XLOOKUP(AO179,_曲线基线!$E$3:$E$502,_曲线基线!$A$3:$A$502,500,1))</f>
        <v>268</v>
      </c>
      <c r="AQ179" s="15">
        <f t="shared" si="205"/>
        <v>5</v>
      </c>
    </row>
    <row r="180" customHeight="1" spans="1:43">
      <c r="A180" s="1" t="str">
        <f>IFERROR(_xlfn.XLOOKUP(B180,_曲线基线!$G$3:$G$107,_曲线基线!$J$3:$J$107,""),"")</f>
        <v/>
      </c>
      <c r="B180" s="1">
        <v>169</v>
      </c>
      <c r="C180" s="1">
        <f t="shared" si="243"/>
        <v>12</v>
      </c>
      <c r="D180" s="1">
        <f t="shared" si="244"/>
        <v>10</v>
      </c>
      <c r="E180" s="1">
        <f t="shared" si="180"/>
        <v>1</v>
      </c>
      <c r="F180" s="11">
        <f t="shared" si="203"/>
        <v>5</v>
      </c>
      <c r="G180" s="12">
        <f t="shared" ref="G180:L180" si="246">IF($B180&lt;G$8,0,G$3+(G$4-G$3)*(POWER(G$5,$B180-G$8)-1)/(POWER(G$5,$C$5-G$8)-1))</f>
        <v>0.841555241580961</v>
      </c>
      <c r="H180" s="12">
        <f t="shared" si="246"/>
        <v>0.672622819710487</v>
      </c>
      <c r="I180" s="12">
        <f t="shared" si="246"/>
        <v>0.57960864287783</v>
      </c>
      <c r="J180" s="12">
        <f t="shared" si="246"/>
        <v>0.567520215750775</v>
      </c>
      <c r="K180" s="12">
        <f t="shared" si="246"/>
        <v>0.502246810996608</v>
      </c>
      <c r="L180" s="12">
        <f t="shared" si="246"/>
        <v>0.672061391690635</v>
      </c>
      <c r="M180" s="2">
        <f>E180*模块规划!$F$10+G180*模块规划!$F$11+H180*模块规划!$F$13</f>
        <v>5039.46515958861</v>
      </c>
      <c r="N180" s="2">
        <f>I180*模块规划!$F$15+J180*模块规划!$F$17+K180*模块规划!$F$16+L180*模块规划!$F$18</f>
        <v>16685.8591249632</v>
      </c>
      <c r="O180" s="2">
        <f t="shared" si="182"/>
        <v>3.20995594102954</v>
      </c>
      <c r="P180" s="13">
        <f t="shared" si="183"/>
        <v>32862.3202535961</v>
      </c>
      <c r="Q180" s="7">
        <f>P180/(P180+_曲线基线!$L$2)</f>
        <v>0.577927881012168</v>
      </c>
      <c r="R180" s="2">
        <f>E180*模块规划!$E$10+G180*模块规划!$E$11+H180*模块规划!$E$13</f>
        <v>7559.19773938292</v>
      </c>
      <c r="S180" s="2">
        <f>I180*模块规划!$E$15+J180*模块规划!$E$17+K180*模块规划!$E$16+L180*模块规划!$E$18</f>
        <v>25028.7886874448</v>
      </c>
      <c r="T180" s="2">
        <f t="shared" si="184"/>
        <v>3.20995594102954</v>
      </c>
      <c r="U180" s="13">
        <f t="shared" si="185"/>
        <v>49293.4803803941</v>
      </c>
      <c r="V180" s="2">
        <f t="shared" si="186"/>
        <v>0.901786845913146</v>
      </c>
      <c r="W180" s="2">
        <f t="shared" si="187"/>
        <v>0.269049127884195</v>
      </c>
      <c r="X180" s="2">
        <f t="shared" si="188"/>
        <v>0.459971275420384</v>
      </c>
      <c r="Y180" s="2">
        <f t="shared" si="189"/>
        <v>1</v>
      </c>
      <c r="Z180" s="2">
        <f t="shared" si="190"/>
        <v>1</v>
      </c>
      <c r="AA180" s="2">
        <f t="shared" si="191"/>
        <v>1</v>
      </c>
      <c r="AB180" s="2">
        <f t="shared" si="192"/>
        <v>1</v>
      </c>
      <c r="AC180" s="2">
        <f t="shared" si="193"/>
        <v>1</v>
      </c>
      <c r="AD180" s="1">
        <f t="shared" si="194"/>
        <v>1.84228308388082</v>
      </c>
      <c r="AE180" s="2">
        <f t="shared" si="195"/>
        <v>1</v>
      </c>
      <c r="AF180" s="2">
        <f t="shared" si="196"/>
        <v>1.19504874297346</v>
      </c>
      <c r="AG180" s="2">
        <f t="shared" si="197"/>
        <v>1.34566971671408</v>
      </c>
      <c r="AH180" s="2">
        <f>MIN(1,_曲线基线!$L$3+AH$9*($H$10*H180+$I$10*I180+$J$10*J180+$K$10*K180+$L$10*L180))</f>
        <v>0.493735890264616</v>
      </c>
      <c r="AI180" s="2">
        <f>_曲线基线!$L$4+AI$9*($H$10*H180+$I$10*I180+$J$10*J180+$K$10*K180+$L$10*L180)</f>
        <v>3.23612140859429</v>
      </c>
      <c r="AJ180" s="2">
        <f t="shared" si="198"/>
        <v>2.01425346346198</v>
      </c>
      <c r="AK180" s="1">
        <f t="shared" si="199"/>
        <v>4.23809683700344</v>
      </c>
      <c r="AL180" s="1">
        <f t="shared" si="200"/>
        <v>1924361.7996919</v>
      </c>
      <c r="AM180" s="14">
        <f t="shared" si="201"/>
        <v>40.8007463918208</v>
      </c>
      <c r="AN180" s="14">
        <f>(((E180*模块规划!$D$10+G180*模块规划!$D$11+H180*模块规划!$D$13)*(1+模块规划!$G$14*H180)+(I180*模块规划!$D$15+J180*模块规划!$D$17+K180*模块规划!$D$16+L180*模块规划!$D$18))*(1+模块规划!$J$17*J180))*F180/(1-Q180)</f>
        <v>2466941.35849961</v>
      </c>
      <c r="AO180" s="1">
        <f t="shared" si="202"/>
        <v>78515397.755337</v>
      </c>
      <c r="AP180" s="1">
        <f>IF(AO180="","",_xlfn.XLOOKUP(AO180,_曲线基线!$E$3:$E$502,_曲线基线!$A$3:$A$502,500,1))</f>
        <v>269</v>
      </c>
      <c r="AQ180" s="15">
        <f t="shared" si="205"/>
        <v>5</v>
      </c>
    </row>
    <row r="181" customHeight="1" spans="1:43">
      <c r="A181" s="1" t="str">
        <f>IFERROR(_xlfn.XLOOKUP(B181,_曲线基线!$G$3:$G$107,_曲线基线!$J$3:$J$107,""),"")</f>
        <v/>
      </c>
      <c r="B181" s="1">
        <v>170</v>
      </c>
      <c r="C181" s="1">
        <f t="shared" si="243"/>
        <v>12</v>
      </c>
      <c r="D181" s="1">
        <f t="shared" si="244"/>
        <v>11</v>
      </c>
      <c r="E181" s="1">
        <f t="shared" si="180"/>
        <v>1</v>
      </c>
      <c r="F181" s="11">
        <f t="shared" si="203"/>
        <v>5</v>
      </c>
      <c r="G181" s="12">
        <f t="shared" ref="G181:L181" si="247">IF($B181&lt;G$8,0,G$3+(G$4-G$3)*(POWER(G$5,$B181-G$8)-1)/(POWER(G$5,$C$5-G$8)-1))</f>
        <v>0.842637103411742</v>
      </c>
      <c r="H181" s="12">
        <f t="shared" si="247"/>
        <v>0.673236905555789</v>
      </c>
      <c r="I181" s="12">
        <f t="shared" si="247"/>
        <v>0.581187561363342</v>
      </c>
      <c r="J181" s="12">
        <f t="shared" si="247"/>
        <v>0.568248755927484</v>
      </c>
      <c r="K181" s="12">
        <f t="shared" si="247"/>
        <v>0.50556099971165</v>
      </c>
      <c r="L181" s="12">
        <f t="shared" si="247"/>
        <v>0.672688070688208</v>
      </c>
      <c r="M181" s="2">
        <f>E181*模块规划!$F$10+G181*模块规划!$F$11+H181*模块规划!$F$13</f>
        <v>5044.65809637636</v>
      </c>
      <c r="N181" s="2">
        <f>I181*模块规划!$F$15+J181*模块规划!$F$17+K181*模块规划!$F$16+L181*模块规划!$F$18</f>
        <v>16728.7944018925</v>
      </c>
      <c r="O181" s="2">
        <f t="shared" si="182"/>
        <v>3.21469410172009</v>
      </c>
      <c r="P181" s="13">
        <f t="shared" si="183"/>
        <v>32945.8270295081</v>
      </c>
      <c r="Q181" s="7">
        <f>P181/(P181+_曲线基线!$L$2)</f>
        <v>0.578546818056331</v>
      </c>
      <c r="R181" s="2">
        <f>E181*模块规划!$E$10+G181*模块规划!$E$11+H181*模块规划!$E$13</f>
        <v>7566.98714456454</v>
      </c>
      <c r="S181" s="2">
        <f>I181*模块规划!$E$15+J181*模块规划!$E$17+K181*模块规划!$E$16+L181*模块规划!$E$18</f>
        <v>25093.1916028388</v>
      </c>
      <c r="T181" s="2">
        <f t="shared" si="184"/>
        <v>3.21469410172009</v>
      </c>
      <c r="U181" s="13">
        <f t="shared" si="185"/>
        <v>49418.7405442622</v>
      </c>
      <c r="V181" s="2">
        <f t="shared" si="186"/>
        <v>0.901971071666737</v>
      </c>
      <c r="W181" s="2">
        <f t="shared" si="187"/>
        <v>0.269294762222316</v>
      </c>
      <c r="X181" s="2">
        <f t="shared" si="188"/>
        <v>0.460140149027842</v>
      </c>
      <c r="Y181" s="2">
        <f t="shared" si="189"/>
        <v>1</v>
      </c>
      <c r="Z181" s="2">
        <f t="shared" si="190"/>
        <v>1</v>
      </c>
      <c r="AA181" s="2">
        <f t="shared" si="191"/>
        <v>1</v>
      </c>
      <c r="AB181" s="2">
        <f t="shared" si="192"/>
        <v>1</v>
      </c>
      <c r="AC181" s="2">
        <f t="shared" si="193"/>
        <v>1</v>
      </c>
      <c r="AD181" s="1">
        <f t="shared" si="194"/>
        <v>1.84344173625658</v>
      </c>
      <c r="AE181" s="2">
        <f t="shared" si="195"/>
        <v>1</v>
      </c>
      <c r="AF181" s="2">
        <f t="shared" si="196"/>
        <v>1.19546692881578</v>
      </c>
      <c r="AG181" s="2">
        <f t="shared" si="197"/>
        <v>1.34641083495686</v>
      </c>
      <c r="AH181" s="2">
        <f>MIN(1,_曲线基线!$L$3+AH$9*($H$10*H181+$I$10*I181+$J$10*J181+$K$10*K181+$L$10*L181))</f>
        <v>0.494687263055902</v>
      </c>
      <c r="AI181" s="2">
        <f>_曲线基线!$L$4+AI$9*($H$10*H181+$I$10*I181+$J$10*J181+$K$10*K181+$L$10*L181)</f>
        <v>3.23877166137001</v>
      </c>
      <c r="AJ181" s="2">
        <f t="shared" si="198"/>
        <v>2.01642802984206</v>
      </c>
      <c r="AK181" s="1">
        <f t="shared" si="199"/>
        <v>4.24960559014615</v>
      </c>
      <c r="AL181" s="1">
        <f t="shared" si="200"/>
        <v>1935707.43373095</v>
      </c>
      <c r="AM181" s="14">
        <f t="shared" si="201"/>
        <v>40.8721784956609</v>
      </c>
      <c r="AN181" s="14">
        <f>(((E181*模块规划!$D$10+G181*模块规划!$D$11+H181*模块规划!$D$13)*(1+模块规划!$G$14*H181)+(I181*模块规划!$D$15+J181*模块规划!$D$17+K181*模块规划!$D$16+L181*模块规划!$D$18))*(1+模块规划!$J$17*J181))*F181/(1-Q181)</f>
        <v>2477242.55473141</v>
      </c>
      <c r="AO181" s="1">
        <f t="shared" si="202"/>
        <v>79116579.746829</v>
      </c>
      <c r="AP181" s="1">
        <f>IF(AO181="","",_xlfn.XLOOKUP(AO181,_曲线基线!$E$3:$E$502,_曲线基线!$A$3:$A$502,500,1))</f>
        <v>269</v>
      </c>
      <c r="AQ181" s="15">
        <f t="shared" si="205"/>
        <v>5</v>
      </c>
    </row>
    <row r="182" customHeight="1" spans="1:43">
      <c r="A182" s="1" t="str">
        <f>IFERROR(_xlfn.XLOOKUP(B182,_曲线基线!$G$3:$G$107,_曲线基线!$J$3:$J$107,""),"")</f>
        <v/>
      </c>
      <c r="B182" s="1">
        <v>171</v>
      </c>
      <c r="C182" s="1">
        <f t="shared" si="243"/>
        <v>12</v>
      </c>
      <c r="D182" s="1">
        <f t="shared" si="244"/>
        <v>12</v>
      </c>
      <c r="E182" s="1">
        <f t="shared" si="180"/>
        <v>1</v>
      </c>
      <c r="F182" s="11">
        <f t="shared" si="203"/>
        <v>5</v>
      </c>
      <c r="G182" s="12">
        <f t="shared" ref="G182:L182" si="248">IF($B182&lt;G$8,0,G$3+(G$4-G$3)*(POWER(G$5,$B182-G$8)-1)/(POWER(G$5,$C$5-G$8)-1))</f>
        <v>0.843702737315062</v>
      </c>
      <c r="H182" s="12">
        <f t="shared" si="248"/>
        <v>0.673838709684185</v>
      </c>
      <c r="I182" s="12">
        <f t="shared" si="248"/>
        <v>0.582734901479143</v>
      </c>
      <c r="J182" s="12">
        <f t="shared" si="248"/>
        <v>0.568962725300658</v>
      </c>
      <c r="K182" s="12">
        <f t="shared" si="248"/>
        <v>0.50880890465239</v>
      </c>
      <c r="L182" s="12">
        <f t="shared" si="248"/>
        <v>0.673302216105829</v>
      </c>
      <c r="M182" s="2">
        <f>E182*模块规划!$F$10+G182*模块规划!$F$11+H182*模块规划!$F$13</f>
        <v>5049.7731391123</v>
      </c>
      <c r="N182" s="2">
        <f>I182*模块规划!$F$15+J182*模块规划!$F$17+K182*模块规划!$F$16+L182*模块规划!$F$18</f>
        <v>16770.8709732832</v>
      </c>
      <c r="O182" s="2">
        <f t="shared" si="182"/>
        <v>3.21933749919682</v>
      </c>
      <c r="P182" s="13">
        <f t="shared" si="183"/>
        <v>33027.7950024643</v>
      </c>
      <c r="Q182" s="7">
        <f>P182/(P182+_曲线基线!$L$2)</f>
        <v>0.579152586927779</v>
      </c>
      <c r="R182" s="2">
        <f>E182*模块规划!$E$10+G182*模块规划!$E$11+H182*模块规划!$E$13</f>
        <v>7574.65970866844</v>
      </c>
      <c r="S182" s="2">
        <f>I182*模块规划!$E$15+J182*模块规划!$E$17+K182*模块规划!$E$16+L182*模块规划!$E$18</f>
        <v>25156.3064599248</v>
      </c>
      <c r="T182" s="2">
        <f t="shared" si="184"/>
        <v>3.21933749919682</v>
      </c>
      <c r="U182" s="13">
        <f t="shared" si="185"/>
        <v>49541.6925036964</v>
      </c>
      <c r="V182" s="2">
        <f t="shared" si="186"/>
        <v>0.902151612905255</v>
      </c>
      <c r="W182" s="2">
        <f t="shared" si="187"/>
        <v>0.269535483873674</v>
      </c>
      <c r="X182" s="2">
        <f t="shared" si="188"/>
        <v>0.460305645163151</v>
      </c>
      <c r="Y182" s="2">
        <f t="shared" si="189"/>
        <v>1</v>
      </c>
      <c r="Z182" s="2">
        <f t="shared" si="190"/>
        <v>1</v>
      </c>
      <c r="AA182" s="2">
        <f t="shared" si="191"/>
        <v>1</v>
      </c>
      <c r="AB182" s="2">
        <f t="shared" si="192"/>
        <v>1</v>
      </c>
      <c r="AC182" s="2">
        <f t="shared" si="193"/>
        <v>1</v>
      </c>
      <c r="AD182" s="1">
        <f t="shared" si="194"/>
        <v>1.84457765775563</v>
      </c>
      <c r="AE182" s="2">
        <f t="shared" si="195"/>
        <v>1</v>
      </c>
      <c r="AF182" s="2">
        <f t="shared" si="196"/>
        <v>1.19587675094126</v>
      </c>
      <c r="AG182" s="2">
        <f t="shared" si="197"/>
        <v>1.34713713083479</v>
      </c>
      <c r="AH182" s="2">
        <f>MIN(1,_曲线基线!$L$3+AH$9*($H$10*H182+$I$10*I182+$J$10*J182+$K$10*K182+$L$10*L182))</f>
        <v>0.495619608391362</v>
      </c>
      <c r="AI182" s="2">
        <f>_曲线基线!$L$4+AI$9*($H$10*H182+$I$10*I182+$J$10*J182+$K$10*K182+$L$10*L182)</f>
        <v>3.24136890909022</v>
      </c>
      <c r="AJ182" s="2">
        <f t="shared" si="198"/>
        <v>2.01855910489454</v>
      </c>
      <c r="AK182" s="1">
        <f t="shared" si="199"/>
        <v>4.26090855255078</v>
      </c>
      <c r="AL182" s="1">
        <f t="shared" si="200"/>
        <v>1946883.66480611</v>
      </c>
      <c r="AM182" s="14">
        <f t="shared" si="201"/>
        <v>40.9443249205394</v>
      </c>
      <c r="AN182" s="14">
        <f>(((E182*模块规划!$D$10+G182*模块规划!$D$11+H182*模块规划!$D$13)*(1+模块规划!$G$14*H182)+(I182*模块规划!$D$15+J182*模块规划!$D$17+K182*模块规划!$D$16+L182*模块规划!$D$18))*(1+模块规划!$J$17*J182))*F182/(1-Q182)</f>
        <v>2487372.63206647</v>
      </c>
      <c r="AO182" s="1">
        <f t="shared" si="202"/>
        <v>79713837.354312</v>
      </c>
      <c r="AP182" s="1">
        <f>IF(AO182="","",_xlfn.XLOOKUP(AO182,_曲线基线!$E$3:$E$502,_曲线基线!$A$3:$A$502,500,1))</f>
        <v>270</v>
      </c>
      <c r="AQ182" s="15">
        <f t="shared" si="205"/>
        <v>5</v>
      </c>
    </row>
    <row r="183" customHeight="1" spans="1:43">
      <c r="A183" s="1" t="str">
        <f>IFERROR(_xlfn.XLOOKUP(B183,_曲线基线!$G$3:$G$107,_曲线基线!$J$3:$J$107,""),"")</f>
        <v/>
      </c>
      <c r="B183" s="1">
        <v>172</v>
      </c>
      <c r="C183" s="1">
        <f t="shared" si="243"/>
        <v>12</v>
      </c>
      <c r="D183" s="1">
        <f t="shared" si="244"/>
        <v>13</v>
      </c>
      <c r="E183" s="1">
        <f t="shared" si="180"/>
        <v>1</v>
      </c>
      <c r="F183" s="11">
        <f t="shared" si="203"/>
        <v>5</v>
      </c>
      <c r="G183" s="12">
        <f t="shared" ref="G183:L183" si="249">IF($B183&lt;G$8,0,G$3+(G$4-G$3)*(POWER(G$5,$B183-G$8)-1)/(POWER(G$5,$C$5-G$8)-1))</f>
        <v>0.844752386709832</v>
      </c>
      <c r="H183" s="12">
        <f t="shared" si="249"/>
        <v>0.674428477730012</v>
      </c>
      <c r="I183" s="12">
        <f t="shared" si="249"/>
        <v>0.584251294792629</v>
      </c>
      <c r="J183" s="12">
        <f t="shared" si="249"/>
        <v>0.569662415286368</v>
      </c>
      <c r="K183" s="12">
        <f t="shared" si="249"/>
        <v>0.511991851494316</v>
      </c>
      <c r="L183" s="12">
        <f t="shared" si="249"/>
        <v>0.673904078615098</v>
      </c>
      <c r="M183" s="2">
        <f>E183*模块规划!$F$10+G183*模块规划!$F$11+H183*模块规划!$F$13</f>
        <v>5054.81145620719</v>
      </c>
      <c r="N183" s="2">
        <f>I183*模块规划!$F$15+J183*模块规划!$F$17+K183*模块规划!$F$16+L183*模块规划!$F$18</f>
        <v>16812.1060132461</v>
      </c>
      <c r="O183" s="2">
        <f t="shared" si="182"/>
        <v>3.22388802872402</v>
      </c>
      <c r="P183" s="13">
        <f t="shared" si="183"/>
        <v>33108.2521543695</v>
      </c>
      <c r="Q183" s="7">
        <f>P183/(P183+_曲线基线!$L$2)</f>
        <v>0.579745499212171</v>
      </c>
      <c r="R183" s="2">
        <f>E183*模块规划!$E$10+G183*模块规划!$E$11+H183*模块规划!$E$13</f>
        <v>7582.21718431079</v>
      </c>
      <c r="S183" s="2">
        <f>I183*模块规划!$E$15+J183*模块规划!$E$17+K183*模块规划!$E$16+L183*模块规划!$E$18</f>
        <v>25218.1590198691</v>
      </c>
      <c r="T183" s="2">
        <f t="shared" si="184"/>
        <v>3.22388802872402</v>
      </c>
      <c r="U183" s="13">
        <f t="shared" si="185"/>
        <v>49662.3782315542</v>
      </c>
      <c r="V183" s="2">
        <f t="shared" si="186"/>
        <v>0.902328543319004</v>
      </c>
      <c r="W183" s="2">
        <f t="shared" si="187"/>
        <v>0.269771391092005</v>
      </c>
      <c r="X183" s="2">
        <f t="shared" si="188"/>
        <v>0.460467831375753</v>
      </c>
      <c r="Y183" s="2">
        <f t="shared" si="189"/>
        <v>1</v>
      </c>
      <c r="Z183" s="2">
        <f t="shared" si="190"/>
        <v>1</v>
      </c>
      <c r="AA183" s="2">
        <f t="shared" si="191"/>
        <v>1</v>
      </c>
      <c r="AB183" s="2">
        <f t="shared" si="192"/>
        <v>1</v>
      </c>
      <c r="AC183" s="2">
        <f t="shared" si="193"/>
        <v>1</v>
      </c>
      <c r="AD183" s="1">
        <f t="shared" si="194"/>
        <v>1.84569128548555</v>
      </c>
      <c r="AE183" s="2">
        <f t="shared" si="195"/>
        <v>1</v>
      </c>
      <c r="AF183" s="2">
        <f t="shared" si="196"/>
        <v>1.19627837662423</v>
      </c>
      <c r="AG183" s="2">
        <f t="shared" si="197"/>
        <v>1.34784890079516</v>
      </c>
      <c r="AH183" s="2">
        <f>MIN(1,_曲线基线!$L$3+AH$9*($H$10*H183+$I$10*I183+$J$10*J183+$K$10*K183+$L$10*L183))</f>
        <v>0.496533306820113</v>
      </c>
      <c r="AI183" s="2">
        <f>_曲线基线!$L$4+AI$9*($H$10*H183+$I$10*I183+$J$10*J183+$K$10*K183+$L$10*L183)</f>
        <v>3.24391421185603</v>
      </c>
      <c r="AJ183" s="2">
        <f t="shared" si="198"/>
        <v>2.02064755844597</v>
      </c>
      <c r="AK183" s="1">
        <f t="shared" si="199"/>
        <v>4.27200890445704</v>
      </c>
      <c r="AL183" s="1">
        <f t="shared" si="200"/>
        <v>1957891.98480228</v>
      </c>
      <c r="AM183" s="14">
        <f t="shared" si="201"/>
        <v>41.0171928096667</v>
      </c>
      <c r="AN183" s="14">
        <f>(((E183*模块规划!$D$10+G183*模块规划!$D$11+H183*模块规划!$D$13)*(1+模块规划!$G$14*H183)+(I183*模块规划!$D$15+J183*模块规划!$D$17+K183*模块规划!$D$16+L183*模块规划!$D$18))*(1+模块规划!$J$17*J183))*F183/(1-Q183)</f>
        <v>2497333.93538684</v>
      </c>
      <c r="AO183" s="1">
        <f t="shared" si="202"/>
        <v>80307233.0411362</v>
      </c>
      <c r="AP183" s="1">
        <f>IF(AO183="","",_xlfn.XLOOKUP(AO183,_曲线基线!$E$3:$E$502,_曲线基线!$A$3:$A$502,500,1))</f>
        <v>271</v>
      </c>
      <c r="AQ183" s="15">
        <f t="shared" si="205"/>
        <v>5</v>
      </c>
    </row>
    <row r="184" customHeight="1" spans="1:43">
      <c r="A184" s="1" t="str">
        <f>IFERROR(_xlfn.XLOOKUP(B184,_曲线基线!$G$3:$G$107,_曲线基线!$J$3:$J$107,""),"")</f>
        <v/>
      </c>
      <c r="B184" s="1">
        <v>173</v>
      </c>
      <c r="C184" s="1">
        <f t="shared" si="243"/>
        <v>12</v>
      </c>
      <c r="D184" s="1">
        <f t="shared" si="244"/>
        <v>14</v>
      </c>
      <c r="E184" s="1">
        <f t="shared" si="180"/>
        <v>1</v>
      </c>
      <c r="F184" s="11">
        <f t="shared" si="203"/>
        <v>5</v>
      </c>
      <c r="G184" s="12">
        <f t="shared" ref="G184:L184" si="250">IF($B184&lt;G$8,0,G$3+(G$4-G$3)*(POWER(G$5,$B184-G$8)-1)/(POWER(G$5,$C$5-G$8)-1))</f>
        <v>0.84578629136368</v>
      </c>
      <c r="H184" s="12">
        <f t="shared" si="250"/>
        <v>0.675006450414923</v>
      </c>
      <c r="I184" s="12">
        <f t="shared" si="250"/>
        <v>0.585737360239844</v>
      </c>
      <c r="J184" s="12">
        <f t="shared" si="250"/>
        <v>0.570348111472365</v>
      </c>
      <c r="K184" s="12">
        <f t="shared" si="250"/>
        <v>0.515111139399403</v>
      </c>
      <c r="L184" s="12">
        <f t="shared" si="250"/>
        <v>0.674493903874182</v>
      </c>
      <c r="M184" s="2">
        <f>E184*模块规划!$F$10+G184*模块规划!$F$11+H184*模块规划!$F$13</f>
        <v>5059.77419854566</v>
      </c>
      <c r="N184" s="2">
        <f>I184*模块规划!$F$15+J184*模块规划!$F$17+K184*模块规划!$F$16+L184*模块规划!$F$18</f>
        <v>16852.5163524097</v>
      </c>
      <c r="O184" s="2">
        <f t="shared" si="182"/>
        <v>3.22834754766068</v>
      </c>
      <c r="P184" s="13">
        <f t="shared" si="183"/>
        <v>33187.2259780014</v>
      </c>
      <c r="Q184" s="7">
        <f>P184/(P184+_曲线基线!$L$2)</f>
        <v>0.580325857924421</v>
      </c>
      <c r="R184" s="2">
        <f>E184*模块规划!$E$10+G184*模块规划!$E$11+H184*模块规划!$E$13</f>
        <v>7589.6612978185</v>
      </c>
      <c r="S184" s="2">
        <f>I184*模块规划!$E$15+J184*模块规划!$E$17+K184*模块规划!$E$16+L184*模块规划!$E$18</f>
        <v>25278.7745286146</v>
      </c>
      <c r="T184" s="2">
        <f t="shared" si="184"/>
        <v>3.22834754766068</v>
      </c>
      <c r="U184" s="13">
        <f t="shared" si="185"/>
        <v>49780.8389670021</v>
      </c>
      <c r="V184" s="2">
        <f t="shared" si="186"/>
        <v>0.902501935124477</v>
      </c>
      <c r="W184" s="2">
        <f t="shared" si="187"/>
        <v>0.270002580165969</v>
      </c>
      <c r="X184" s="2">
        <f t="shared" si="188"/>
        <v>0.460626773864104</v>
      </c>
      <c r="Y184" s="2">
        <f t="shared" si="189"/>
        <v>1</v>
      </c>
      <c r="Z184" s="2">
        <f t="shared" si="190"/>
        <v>1</v>
      </c>
      <c r="AA184" s="2">
        <f t="shared" si="191"/>
        <v>1</v>
      </c>
      <c r="AB184" s="2">
        <f t="shared" si="192"/>
        <v>1</v>
      </c>
      <c r="AC184" s="2">
        <f t="shared" si="193"/>
        <v>1</v>
      </c>
      <c r="AD184" s="1">
        <f t="shared" si="194"/>
        <v>1.84678304850514</v>
      </c>
      <c r="AE184" s="2">
        <f t="shared" si="195"/>
        <v>1</v>
      </c>
      <c r="AF184" s="2">
        <f t="shared" si="196"/>
        <v>1.19667196979353</v>
      </c>
      <c r="AG184" s="2">
        <f t="shared" si="197"/>
        <v>1.34854643535632</v>
      </c>
      <c r="AH184" s="2">
        <f>MIN(1,_曲线基线!$L$3+AH$9*($H$10*H184+$I$10*I184+$J$10*J184+$K$10*K184+$L$10*L184))</f>
        <v>0.497428731280289</v>
      </c>
      <c r="AI184" s="2">
        <f>_曲线基线!$L$4+AI$9*($H$10*H184+$I$10*I184+$J$10*J184+$K$10*K184+$L$10*L184)</f>
        <v>3.24640860856652</v>
      </c>
      <c r="AJ184" s="2">
        <f t="shared" si="198"/>
        <v>2.02269424292637</v>
      </c>
      <c r="AK184" s="1">
        <f t="shared" si="199"/>
        <v>4.28290979778176</v>
      </c>
      <c r="AL184" s="1">
        <f t="shared" si="200"/>
        <v>1968733.91695975</v>
      </c>
      <c r="AM184" s="14">
        <f t="shared" si="201"/>
        <v>41.0907893776852</v>
      </c>
      <c r="AN184" s="14">
        <f>(((E184*模块规划!$D$10+G184*模块规划!$D$11+H184*模块规划!$D$13)*(1+模块规划!$G$14*H184)+(I184*模块规划!$D$15+J184*模块规划!$D$17+K184*模块规划!$D$16+L184*模块规划!$D$18))*(1+模块规划!$J$17*J184))*F184/(1-Q184)</f>
        <v>2507128.79848646</v>
      </c>
      <c r="AO184" s="1">
        <f t="shared" si="202"/>
        <v>80896830.7224982</v>
      </c>
      <c r="AP184" s="1">
        <f>IF(AO184="","",_xlfn.XLOOKUP(AO184,_曲线基线!$E$3:$E$502,_曲线基线!$A$3:$A$502,500,1))</f>
        <v>271</v>
      </c>
      <c r="AQ184" s="15">
        <f t="shared" si="205"/>
        <v>5</v>
      </c>
    </row>
    <row r="185" customHeight="1" spans="1:43">
      <c r="A185" s="1" t="str">
        <f>IFERROR(_xlfn.XLOOKUP(B185,_曲线基线!$G$3:$G$107,_曲线基线!$J$3:$J$107,""),"")</f>
        <v/>
      </c>
      <c r="B185" s="1">
        <v>174</v>
      </c>
      <c r="C185" s="1">
        <f t="shared" si="243"/>
        <v>12</v>
      </c>
      <c r="D185" s="1">
        <f t="shared" si="244"/>
        <v>15</v>
      </c>
      <c r="E185" s="1">
        <f t="shared" si="180"/>
        <v>1</v>
      </c>
      <c r="F185" s="11">
        <f t="shared" si="203"/>
        <v>5</v>
      </c>
      <c r="G185" s="12">
        <f t="shared" ref="G185:L185" si="251">IF($B185&lt;G$8,0,G$3+(G$4-G$3)*(POWER(G$5,$B185-G$8)-1)/(POWER(G$5,$C$5-G$8)-1))</f>
        <v>0.846804687447721</v>
      </c>
      <c r="H185" s="12">
        <f t="shared" si="251"/>
        <v>0.675572863646136</v>
      </c>
      <c r="I185" s="12">
        <f t="shared" si="251"/>
        <v>0.587193704378116</v>
      </c>
      <c r="J185" s="12">
        <f t="shared" si="251"/>
        <v>0.571020093734642</v>
      </c>
      <c r="K185" s="12">
        <f t="shared" si="251"/>
        <v>0.518168041546389</v>
      </c>
      <c r="L185" s="12">
        <f t="shared" si="251"/>
        <v>0.675071932628084</v>
      </c>
      <c r="M185" s="2">
        <f>E185*模块规划!$F$10+G185*模块规划!$F$11+H185*模块规划!$F$13</f>
        <v>5064.66249974906</v>
      </c>
      <c r="N185" s="2">
        <f>I185*模块规划!$F$15+J185*模块规划!$F$17+K185*模块规划!$F$16+L185*模块规划!$F$18</f>
        <v>16892.1184847901</v>
      </c>
      <c r="O185" s="2">
        <f t="shared" si="182"/>
        <v>3.2327178762186</v>
      </c>
      <c r="P185" s="13">
        <f t="shared" si="183"/>
        <v>33264.7434847429</v>
      </c>
      <c r="Q185" s="7">
        <f>P185/(P185+_曲线基线!$L$2)</f>
        <v>0.580893957791073</v>
      </c>
      <c r="R185" s="2">
        <f>E185*模块规划!$E$10+G185*模块规划!$E$11+H185*模块规划!$E$13</f>
        <v>7596.99374962359</v>
      </c>
      <c r="S185" s="2">
        <f>I185*模块规划!$E$15+J185*模块规划!$E$17+K185*模块规划!$E$16+L185*模块规划!$E$18</f>
        <v>25338.1777271852</v>
      </c>
      <c r="T185" s="2">
        <f t="shared" si="184"/>
        <v>3.2327178762186</v>
      </c>
      <c r="U185" s="13">
        <f t="shared" si="185"/>
        <v>49897.1152271143</v>
      </c>
      <c r="V185" s="2">
        <f t="shared" si="186"/>
        <v>0.902671859093841</v>
      </c>
      <c r="W185" s="2">
        <f t="shared" si="187"/>
        <v>0.270229145458455</v>
      </c>
      <c r="X185" s="2">
        <f t="shared" si="188"/>
        <v>0.460782537502687</v>
      </c>
      <c r="Y185" s="2">
        <f t="shared" si="189"/>
        <v>1</v>
      </c>
      <c r="Z185" s="2">
        <f t="shared" si="190"/>
        <v>1</v>
      </c>
      <c r="AA185" s="2">
        <f t="shared" si="191"/>
        <v>1</v>
      </c>
      <c r="AB185" s="2">
        <f t="shared" si="192"/>
        <v>1</v>
      </c>
      <c r="AC185" s="2">
        <f t="shared" si="193"/>
        <v>1</v>
      </c>
      <c r="AD185" s="1">
        <f t="shared" si="194"/>
        <v>1.84785336795799</v>
      </c>
      <c r="AE185" s="2">
        <f t="shared" si="195"/>
        <v>1</v>
      </c>
      <c r="AF185" s="2">
        <f t="shared" si="196"/>
        <v>1.19705769109946</v>
      </c>
      <c r="AG185" s="2">
        <f t="shared" si="197"/>
        <v>1.34923001922626</v>
      </c>
      <c r="AH185" s="2">
        <f>MIN(1,_曲线基线!$L$3+AH$9*($H$10*H185+$I$10*I185+$J$10*J185+$K$10*K185+$L$10*L185))</f>
        <v>0.498306247251261</v>
      </c>
      <c r="AI185" s="2">
        <f>_曲线基线!$L$4+AI$9*($H$10*H185+$I$10*I185+$J$10*J185+$K$10*K185+$L$10*L185)</f>
        <v>3.2488531173428</v>
      </c>
      <c r="AJ185" s="2">
        <f t="shared" si="198"/>
        <v>2.02469999371717</v>
      </c>
      <c r="AK185" s="1">
        <f t="shared" si="199"/>
        <v>4.2936143553921</v>
      </c>
      <c r="AL185" s="1">
        <f t="shared" si="200"/>
        <v>1979411.01345334</v>
      </c>
      <c r="AM185" s="14">
        <f t="shared" si="201"/>
        <v>41.1651219113839</v>
      </c>
      <c r="AN185" s="14">
        <f>(((E185*模块规划!$D$10+G185*模块规划!$D$11+H185*模块规划!$D$13)*(1+模块规划!$G$14*H185)+(I185*模块规划!$D$15+J185*模块规划!$D$17+K185*模块规划!$D$16+L185*模块规划!$D$18))*(1+模块规划!$J$17*J185))*F185/(1-Q185)</f>
        <v>2516759.54308569</v>
      </c>
      <c r="AO185" s="1">
        <f t="shared" si="202"/>
        <v>81482695.6815427</v>
      </c>
      <c r="AP185" s="1">
        <f>IF(AO185="","",_xlfn.XLOOKUP(AO185,_曲线基线!$E$3:$E$502,_曲线基线!$A$3:$A$502,500,1))</f>
        <v>272</v>
      </c>
      <c r="AQ185" s="15">
        <f t="shared" si="205"/>
        <v>5</v>
      </c>
    </row>
    <row r="186" customHeight="1" spans="1:43">
      <c r="A186" s="1" t="str">
        <f>IFERROR(_xlfn.XLOOKUP(B186,_曲线基线!$G$3:$G$107,_曲线基线!$J$3:$J$107,""),"")</f>
        <v/>
      </c>
      <c r="B186" s="1">
        <v>175</v>
      </c>
      <c r="C186" s="1">
        <f t="shared" si="243"/>
        <v>13</v>
      </c>
      <c r="D186" s="1">
        <f t="shared" si="244"/>
        <v>1</v>
      </c>
      <c r="E186" s="1">
        <f t="shared" si="180"/>
        <v>1</v>
      </c>
      <c r="F186" s="11">
        <f t="shared" si="203"/>
        <v>5</v>
      </c>
      <c r="G186" s="12">
        <f t="shared" ref="G186:L186" si="252">IF($B186&lt;G$8,0,G$3+(G$4-G$3)*(POWER(G$5,$B186-G$8)-1)/(POWER(G$5,$C$5-G$8)-1))</f>
        <v>0.847807807590501</v>
      </c>
      <c r="H186" s="12">
        <f t="shared" si="252"/>
        <v>0.676127948612725</v>
      </c>
      <c r="I186" s="12">
        <f t="shared" si="252"/>
        <v>0.588620921633621</v>
      </c>
      <c r="J186" s="12">
        <f t="shared" si="252"/>
        <v>0.571678636351673</v>
      </c>
      <c r="K186" s="12">
        <f t="shared" si="252"/>
        <v>0.521163805650434</v>
      </c>
      <c r="L186" s="12">
        <f t="shared" si="252"/>
        <v>0.675638400806908</v>
      </c>
      <c r="M186" s="2">
        <f>E186*模块规划!$F$10+G186*模块规划!$F$11+H186*模块规划!$F$13</f>
        <v>5069.4774764344</v>
      </c>
      <c r="N186" s="2">
        <f>I186*模块规划!$F$15+J186*模块规划!$F$17+K186*模块规划!$F$16+L186*模块规划!$F$18</f>
        <v>16930.9285745228</v>
      </c>
      <c r="O186" s="2">
        <f t="shared" si="182"/>
        <v>3.23700079820537</v>
      </c>
      <c r="P186" s="13">
        <f t="shared" si="183"/>
        <v>33340.8312122251</v>
      </c>
      <c r="Q186" s="7">
        <f>P186/(P186+_曲线基线!$L$2)</f>
        <v>0.581450085521551</v>
      </c>
      <c r="R186" s="2">
        <f>E186*模块规划!$E$10+G186*模块规划!$E$11+H186*模块规划!$E$13</f>
        <v>7604.2162146516</v>
      </c>
      <c r="S186" s="2">
        <f>I186*模块规划!$E$15+J186*模块规划!$E$17+K186*模块规划!$E$16+L186*模块规划!$E$18</f>
        <v>25396.3928617843</v>
      </c>
      <c r="T186" s="2">
        <f t="shared" si="184"/>
        <v>3.23700079820537</v>
      </c>
      <c r="U186" s="13">
        <f t="shared" si="185"/>
        <v>50011.2468183377</v>
      </c>
      <c r="V186" s="2">
        <f t="shared" si="186"/>
        <v>0.902838384583817</v>
      </c>
      <c r="W186" s="2">
        <f t="shared" si="187"/>
        <v>0.27045117944509</v>
      </c>
      <c r="X186" s="2">
        <f t="shared" si="188"/>
        <v>0.460935185868499</v>
      </c>
      <c r="Y186" s="2">
        <f t="shared" si="189"/>
        <v>1</v>
      </c>
      <c r="Z186" s="2">
        <f t="shared" si="190"/>
        <v>1</v>
      </c>
      <c r="AA186" s="2">
        <f t="shared" si="191"/>
        <v>1</v>
      </c>
      <c r="AB186" s="2">
        <f t="shared" si="192"/>
        <v>1</v>
      </c>
      <c r="AC186" s="2">
        <f t="shared" si="193"/>
        <v>1</v>
      </c>
      <c r="AD186" s="1">
        <f t="shared" si="194"/>
        <v>1.84890265720436</v>
      </c>
      <c r="AE186" s="2">
        <f t="shared" si="195"/>
        <v>1</v>
      </c>
      <c r="AF186" s="2">
        <f t="shared" si="196"/>
        <v>1.19743569797926</v>
      </c>
      <c r="AG186" s="2">
        <f t="shared" si="197"/>
        <v>1.3498999314188</v>
      </c>
      <c r="AH186" s="2">
        <f>MIN(1,_曲线基线!$L$3+AH$9*($H$10*H186+$I$10*I186+$J$10*J186+$K$10*K186+$L$10*L186))</f>
        <v>0.499166212902814</v>
      </c>
      <c r="AI186" s="2">
        <f>_曲线基线!$L$4+AI$9*($H$10*H186+$I$10*I186+$J$10*J186+$K$10*K186+$L$10*L186)</f>
        <v>3.25124873594355</v>
      </c>
      <c r="AJ186" s="2">
        <f t="shared" si="198"/>
        <v>2.02666562949215</v>
      </c>
      <c r="AK186" s="1">
        <f t="shared" si="199"/>
        <v>4.30412567043841</v>
      </c>
      <c r="AL186" s="1">
        <f t="shared" si="200"/>
        <v>1989924.85306</v>
      </c>
      <c r="AM186" s="14">
        <f t="shared" si="201"/>
        <v>41.2401977704196</v>
      </c>
      <c r="AN186" s="14">
        <f>(((E186*模块规划!$D$10+G186*模块规划!$D$11+H186*模块规划!$D$13)*(1+模块规划!$G$14*H186)+(I186*模块规划!$D$15+J186*模块规划!$D$17+K186*模块规划!$D$16+L186*模块规划!$D$18))*(1+模块规划!$J$17*J186))*F186/(1-Q186)</f>
        <v>2526228.47790471</v>
      </c>
      <c r="AO186" s="1">
        <f t="shared" si="202"/>
        <v>82064894.4884675</v>
      </c>
      <c r="AP186" s="1">
        <f>IF(AO186="","",_xlfn.XLOOKUP(AO186,_曲线基线!$E$3:$E$502,_曲线基线!$A$3:$A$502,500,1))</f>
        <v>272</v>
      </c>
      <c r="AQ186" s="15">
        <f t="shared" si="205"/>
        <v>5</v>
      </c>
    </row>
    <row r="187" customHeight="1" spans="1:43">
      <c r="A187" s="1" t="str">
        <f>IFERROR(_xlfn.XLOOKUP(B187,_曲线基线!$G$3:$G$107,_曲线基线!$J$3:$J$107,""),"")</f>
        <v/>
      </c>
      <c r="B187" s="1">
        <v>176</v>
      </c>
      <c r="C187" s="1">
        <f t="shared" si="243"/>
        <v>13</v>
      </c>
      <c r="D187" s="1">
        <f t="shared" si="244"/>
        <v>2</v>
      </c>
      <c r="E187" s="1">
        <f t="shared" si="180"/>
        <v>1</v>
      </c>
      <c r="F187" s="11">
        <f t="shared" si="203"/>
        <v>5</v>
      </c>
      <c r="G187" s="12">
        <f t="shared" ref="G187:L187" si="253">IF($B187&lt;G$8,0,G$3+(G$4-G$3)*(POWER(G$5,$B187-G$8)-1)/(POWER(G$5,$C$5-G$8)-1))</f>
        <v>0.848795880931139</v>
      </c>
      <c r="H187" s="12">
        <f t="shared" si="253"/>
        <v>0.676671931879982</v>
      </c>
      <c r="I187" s="12">
        <f t="shared" si="253"/>
        <v>0.590019594544017</v>
      </c>
      <c r="J187" s="12">
        <f t="shared" si="253"/>
        <v>0.572324008116363</v>
      </c>
      <c r="K187" s="12">
        <f t="shared" si="253"/>
        <v>0.524099654472399</v>
      </c>
      <c r="L187" s="12">
        <f t="shared" si="253"/>
        <v>0.676193539622156</v>
      </c>
      <c r="M187" s="2">
        <f>E187*模块规划!$F$10+G187*模块规划!$F$11+H187*模块规划!$F$13</f>
        <v>5074.22022846947</v>
      </c>
      <c r="N187" s="2">
        <f>I187*模块规划!$F$15+J187*模块规划!$F$17+K187*模块规划!$F$16+L187*模块规划!$F$18</f>
        <v>16968.9624624609</v>
      </c>
      <c r="O187" s="2">
        <f t="shared" si="182"/>
        <v>3.24119806175239</v>
      </c>
      <c r="P187" s="13">
        <f t="shared" si="183"/>
        <v>33415.515231881</v>
      </c>
      <c r="Q187" s="7">
        <f>P187/(P187+_曲线基线!$L$2)</f>
        <v>0.581994520068792</v>
      </c>
      <c r="R187" s="2">
        <f>E187*模块规划!$E$10+G187*模块规划!$E$11+H187*模块规划!$E$13</f>
        <v>7611.3303427042</v>
      </c>
      <c r="S187" s="2">
        <f>I187*模块规划!$E$15+J187*模块规划!$E$17+K187*模块规划!$E$16+L187*模块规划!$E$18</f>
        <v>25453.4436936914</v>
      </c>
      <c r="T187" s="2">
        <f t="shared" si="184"/>
        <v>3.24119806175239</v>
      </c>
      <c r="U187" s="13">
        <f t="shared" si="185"/>
        <v>50123.2728478214</v>
      </c>
      <c r="V187" s="2">
        <f t="shared" si="186"/>
        <v>0.903001579563995</v>
      </c>
      <c r="W187" s="2">
        <f t="shared" si="187"/>
        <v>0.270668772751993</v>
      </c>
      <c r="X187" s="2">
        <f t="shared" si="188"/>
        <v>0.461084781266995</v>
      </c>
      <c r="Y187" s="2">
        <f t="shared" si="189"/>
        <v>1</v>
      </c>
      <c r="Z187" s="2">
        <f t="shared" si="190"/>
        <v>1</v>
      </c>
      <c r="AA187" s="2">
        <f t="shared" si="191"/>
        <v>1</v>
      </c>
      <c r="AB187" s="2">
        <f t="shared" si="192"/>
        <v>1</v>
      </c>
      <c r="AC187" s="2">
        <f t="shared" si="193"/>
        <v>1</v>
      </c>
      <c r="AD187" s="1">
        <f t="shared" si="194"/>
        <v>1.84993132195155</v>
      </c>
      <c r="AE187" s="2">
        <f t="shared" si="195"/>
        <v>1</v>
      </c>
      <c r="AF187" s="2">
        <f t="shared" si="196"/>
        <v>1.19780614472147</v>
      </c>
      <c r="AG187" s="2">
        <f t="shared" si="197"/>
        <v>1.35055644536749</v>
      </c>
      <c r="AH187" s="2">
        <f>MIN(1,_曲线基线!$L$3+AH$9*($H$10*H187+$I$10*I187+$J$10*J187+$K$10*K187+$L$10*L187))</f>
        <v>0.500008979241336</v>
      </c>
      <c r="AI187" s="2">
        <f>_曲线基线!$L$4+AI$9*($H$10*H187+$I$10*I187+$J$10*J187+$K$10*K187+$L$10*L187)</f>
        <v>3.25359644217229</v>
      </c>
      <c r="AJ187" s="2">
        <f t="shared" si="198"/>
        <v>2.02859195255163</v>
      </c>
      <c r="AK187" s="1">
        <f t="shared" si="199"/>
        <v>4.31444680574405</v>
      </c>
      <c r="AL187" s="1">
        <f t="shared" si="200"/>
        <v>2000277.0389132</v>
      </c>
      <c r="AM187" s="14">
        <f t="shared" si="201"/>
        <v>41.3160243880457</v>
      </c>
      <c r="AN187" s="14">
        <f>(((E187*模块规划!$D$10+G187*模块规划!$D$11+H187*模块规划!$D$13)*(1+模块规划!$G$14*H187)+(I187*模块规划!$D$15+J187*模块规划!$D$17+K187*模块规划!$D$16+L187*模块规划!$D$18))*(1+模块规划!$J$17*J187))*F187/(1-Q187)</f>
        <v>2535537.89779388</v>
      </c>
      <c r="AO187" s="1">
        <f t="shared" si="202"/>
        <v>82643494.9225857</v>
      </c>
      <c r="AP187" s="1">
        <f>IF(AO187="","",_xlfn.XLOOKUP(AO187,_曲线基线!$E$3:$E$502,_曲线基线!$A$3:$A$502,500,1))</f>
        <v>273</v>
      </c>
      <c r="AQ187" s="15">
        <f t="shared" si="205"/>
        <v>5</v>
      </c>
    </row>
    <row r="188" customHeight="1" spans="1:43">
      <c r="A188" s="1" t="str">
        <f>IFERROR(_xlfn.XLOOKUP(B188,_曲线基线!$G$3:$G$107,_曲线基线!$J$3:$J$107,""),"")</f>
        <v/>
      </c>
      <c r="B188" s="1">
        <v>177</v>
      </c>
      <c r="C188" s="1">
        <f t="shared" si="243"/>
        <v>13</v>
      </c>
      <c r="D188" s="1">
        <f t="shared" si="244"/>
        <v>3</v>
      </c>
      <c r="E188" s="1">
        <f t="shared" si="180"/>
        <v>1</v>
      </c>
      <c r="F188" s="11">
        <f t="shared" si="203"/>
        <v>5</v>
      </c>
      <c r="G188" s="12">
        <f t="shared" ref="G188:L188" si="254">IF($B188&lt;G$8,0,G$3+(G$4-G$3)*(POWER(G$5,$B188-G$8)-1)/(POWER(G$5,$C$5-G$8)-1))</f>
        <v>0.849769133171668</v>
      </c>
      <c r="H188" s="12">
        <f t="shared" si="254"/>
        <v>0.677205035481893</v>
      </c>
      <c r="I188" s="12">
        <f t="shared" si="254"/>
        <v>0.591390293996205</v>
      </c>
      <c r="J188" s="12">
        <f t="shared" si="254"/>
        <v>0.57295647244576</v>
      </c>
      <c r="K188" s="12">
        <f t="shared" si="254"/>
        <v>0.526976786317925</v>
      </c>
      <c r="L188" s="12">
        <f t="shared" si="254"/>
        <v>0.676737575661098</v>
      </c>
      <c r="M188" s="2">
        <f>E188*模块规划!$F$10+G188*模块规划!$F$11+H188*模块规划!$F$13</f>
        <v>5078.891839224</v>
      </c>
      <c r="N188" s="2">
        <f>I188*模块规划!$F$15+J188*模块规划!$F$17+K188*模块规划!$F$16+L188*模块规划!$F$18</f>
        <v>17006.2356726403</v>
      </c>
      <c r="O188" s="2">
        <f t="shared" si="182"/>
        <v>3.24531138002848</v>
      </c>
      <c r="P188" s="13">
        <f t="shared" si="183"/>
        <v>33488.8211564077</v>
      </c>
      <c r="Q188" s="7">
        <f>P188/(P188+_曲线基线!$L$2)</f>
        <v>0.582527532879756</v>
      </c>
      <c r="R188" s="2">
        <f>E188*模块规划!$E$10+G188*模块规划!$E$11+H188*模块规划!$E$13</f>
        <v>7618.33775883601</v>
      </c>
      <c r="S188" s="2">
        <f>I188*模块规划!$E$15+J188*模块规划!$E$17+K188*模块规划!$E$16+L188*模块规划!$E$18</f>
        <v>25509.3535089604</v>
      </c>
      <c r="T188" s="2">
        <f t="shared" si="184"/>
        <v>3.24531138002848</v>
      </c>
      <c r="U188" s="13">
        <f t="shared" si="185"/>
        <v>50233.2317346116</v>
      </c>
      <c r="V188" s="2">
        <f t="shared" si="186"/>
        <v>0.903161510644568</v>
      </c>
      <c r="W188" s="2">
        <f t="shared" si="187"/>
        <v>0.270882014192757</v>
      </c>
      <c r="X188" s="2">
        <f t="shared" si="188"/>
        <v>0.461231384757521</v>
      </c>
      <c r="Y188" s="2">
        <f t="shared" si="189"/>
        <v>1</v>
      </c>
      <c r="Z188" s="2">
        <f t="shared" si="190"/>
        <v>1</v>
      </c>
      <c r="AA188" s="2">
        <f t="shared" si="191"/>
        <v>1</v>
      </c>
      <c r="AB188" s="2">
        <f t="shared" si="192"/>
        <v>1</v>
      </c>
      <c r="AC188" s="2">
        <f t="shared" si="193"/>
        <v>1</v>
      </c>
      <c r="AD188" s="1">
        <f t="shared" si="194"/>
        <v>1.85093976038262</v>
      </c>
      <c r="AE188" s="2">
        <f t="shared" si="195"/>
        <v>1</v>
      </c>
      <c r="AF188" s="2">
        <f t="shared" si="196"/>
        <v>1.19816918252883</v>
      </c>
      <c r="AG188" s="2">
        <f t="shared" si="197"/>
        <v>1.35119982903721</v>
      </c>
      <c r="AH188" s="2">
        <f>MIN(1,_曲线基线!$L$3+AH$9*($H$10*H188+$I$10*I188+$J$10*J188+$K$10*K188+$L$10*L188))</f>
        <v>0.500834890253087</v>
      </c>
      <c r="AI188" s="2">
        <f>_曲线基线!$L$4+AI$9*($H$10*H188+$I$10*I188+$J$10*J188+$K$10*K188+$L$10*L188)</f>
        <v>3.25589719427646</v>
      </c>
      <c r="AJ188" s="2">
        <f t="shared" si="198"/>
        <v>2.03047974914991</v>
      </c>
      <c r="AK188" s="1">
        <f t="shared" si="199"/>
        <v>4.32458079324976</v>
      </c>
      <c r="AL188" s="1">
        <f t="shared" si="200"/>
        <v>2010469.19634225</v>
      </c>
      <c r="AM188" s="14">
        <f t="shared" si="201"/>
        <v>41.392609271848</v>
      </c>
      <c r="AN188" s="14">
        <f>(((E188*模块规划!$D$10+G188*模块规划!$D$11+H188*模块规划!$D$13)*(1+模块规划!$G$14*H188)+(I188*模块规划!$D$15+J188*模块规划!$D$17+K188*模块规划!$D$16+L188*模块规划!$D$18))*(1+模块规划!$J$17*J188))*F188/(1-Q188)</f>
        <v>2544690.0829183</v>
      </c>
      <c r="AO188" s="1">
        <f t="shared" si="202"/>
        <v>83218565.8972808</v>
      </c>
      <c r="AP188" s="1">
        <f>IF(AO188="","",_xlfn.XLOOKUP(AO188,_曲线基线!$E$3:$E$502,_曲线基线!$A$3:$A$502,500,1))</f>
        <v>273</v>
      </c>
      <c r="AQ188" s="15">
        <f t="shared" si="205"/>
        <v>5</v>
      </c>
    </row>
    <row r="189" customHeight="1" spans="1:43">
      <c r="A189" s="1" t="str">
        <f>IFERROR(_xlfn.XLOOKUP(B189,_曲线基线!$G$3:$G$107,_曲线基线!$J$3:$J$107,""),"")</f>
        <v/>
      </c>
      <c r="B189" s="1">
        <v>178</v>
      </c>
      <c r="C189" s="1">
        <f t="shared" si="243"/>
        <v>13</v>
      </c>
      <c r="D189" s="1">
        <f t="shared" si="244"/>
        <v>4</v>
      </c>
      <c r="E189" s="1">
        <f t="shared" si="180"/>
        <v>1</v>
      </c>
      <c r="F189" s="11">
        <f t="shared" si="203"/>
        <v>5</v>
      </c>
      <c r="G189" s="12">
        <f t="shared" ref="G189:L189" si="255">IF($B189&lt;G$8,0,G$3+(G$4-G$3)*(POWER(G$5,$B189-G$8)-1)/(POWER(G$5,$C$5-G$8)-1))</f>
        <v>0.850727786628589</v>
      </c>
      <c r="H189" s="12">
        <f t="shared" si="255"/>
        <v>0.677727477011767</v>
      </c>
      <c r="I189" s="12">
        <f t="shared" si="255"/>
        <v>0.592733579459349</v>
      </c>
      <c r="J189" s="12">
        <f t="shared" si="255"/>
        <v>0.573576287488568</v>
      </c>
      <c r="K189" s="12">
        <f t="shared" si="255"/>
        <v>0.52979637552654</v>
      </c>
      <c r="L189" s="12">
        <f t="shared" si="255"/>
        <v>0.677270730979262</v>
      </c>
      <c r="M189" s="2">
        <f>E189*模块规划!$F$10+G189*模块规划!$F$11+H189*模块规划!$F$13</f>
        <v>5083.49337581722</v>
      </c>
      <c r="N189" s="2">
        <f>I189*模块规划!$F$15+J189*模块规划!$F$17+K189*模块规划!$F$16+L189*模块规划!$F$18</f>
        <v>17042.763418616</v>
      </c>
      <c r="O189" s="2">
        <f t="shared" si="182"/>
        <v>3.24934243193905</v>
      </c>
      <c r="P189" s="13">
        <f t="shared" si="183"/>
        <v>33560.77414714</v>
      </c>
      <c r="Q189" s="7">
        <f>P189/(P189+_曲线基线!$L$2)</f>
        <v>0.58304938813627</v>
      </c>
      <c r="R189" s="2">
        <f>E189*模块规划!$E$10+G189*模块规划!$E$11+H189*模块规划!$E$13</f>
        <v>7625.24006372584</v>
      </c>
      <c r="S189" s="2">
        <f>I189*模块规划!$E$15+J189*模块规划!$E$17+K189*模块规划!$E$16+L189*模块规划!$E$18</f>
        <v>25564.145127924</v>
      </c>
      <c r="T189" s="2">
        <f t="shared" si="184"/>
        <v>3.24934243193905</v>
      </c>
      <c r="U189" s="13">
        <f t="shared" si="185"/>
        <v>50341.16122071</v>
      </c>
      <c r="V189" s="2">
        <f t="shared" si="186"/>
        <v>0.90331824310353</v>
      </c>
      <c r="W189" s="2">
        <f t="shared" si="187"/>
        <v>0.271090990804707</v>
      </c>
      <c r="X189" s="2">
        <f t="shared" si="188"/>
        <v>0.461375056178236</v>
      </c>
      <c r="Y189" s="2">
        <f t="shared" si="189"/>
        <v>1</v>
      </c>
      <c r="Z189" s="2">
        <f t="shared" si="190"/>
        <v>1</v>
      </c>
      <c r="AA189" s="2">
        <f t="shared" si="191"/>
        <v>1</v>
      </c>
      <c r="AB189" s="2">
        <f t="shared" si="192"/>
        <v>1</v>
      </c>
      <c r="AC189" s="2">
        <f t="shared" si="193"/>
        <v>1</v>
      </c>
      <c r="AD189" s="1">
        <f t="shared" si="194"/>
        <v>1.85192836328354</v>
      </c>
      <c r="AE189" s="2">
        <f t="shared" si="195"/>
        <v>1</v>
      </c>
      <c r="AF189" s="2">
        <f t="shared" si="196"/>
        <v>1.19852495958005</v>
      </c>
      <c r="AG189" s="2">
        <f t="shared" si="197"/>
        <v>1.35183034503353</v>
      </c>
      <c r="AH189" s="2">
        <f>MIN(1,_曲线基线!$L$3+AH$9*($H$10*H189+$I$10*I189+$J$10*J189+$K$10*K189+$L$10*L189))</f>
        <v>0.501644283044604</v>
      </c>
      <c r="AI189" s="2">
        <f>_曲线基线!$L$4+AI$9*($H$10*H189+$I$10*I189+$J$10*J189+$K$10*K189+$L$10*L189)</f>
        <v>3.25815193133854</v>
      </c>
      <c r="AJ189" s="2">
        <f t="shared" si="198"/>
        <v>2.03232978981624</v>
      </c>
      <c r="AK189" s="1">
        <f t="shared" si="199"/>
        <v>4.33453063351005</v>
      </c>
      <c r="AL189" s="1">
        <f t="shared" si="200"/>
        <v>2020502.97079453</v>
      </c>
      <c r="AM189" s="14">
        <f t="shared" si="201"/>
        <v>41.4699600044884</v>
      </c>
      <c r="AN189" s="14">
        <f>(((E189*模块规划!$D$10+G189*模块规划!$D$11+H189*模块规划!$D$13)*(1+模块规划!$G$14*H189)+(I189*模块规划!$D$15+J189*模块规划!$D$17+K189*模块规划!$D$16+L189*模块规划!$D$18))*(1+模块规划!$J$17*J189))*F189/(1-Q189)</f>
        <v>2553687.2979948</v>
      </c>
      <c r="AO189" s="1">
        <f t="shared" si="202"/>
        <v>83790177.3877991</v>
      </c>
      <c r="AP189" s="1">
        <f>IF(AO189="","",_xlfn.XLOOKUP(AO189,_曲线基线!$E$3:$E$502,_曲线基线!$A$3:$A$502,500,1))</f>
        <v>274</v>
      </c>
      <c r="AQ189" s="15">
        <f t="shared" si="205"/>
        <v>5</v>
      </c>
    </row>
    <row r="190" customHeight="1" spans="1:43">
      <c r="A190" s="1" t="str">
        <f>IFERROR(_xlfn.XLOOKUP(B190,_曲线基线!$G$3:$G$107,_曲线基线!$J$3:$J$107,""),"")</f>
        <v/>
      </c>
      <c r="B190" s="1">
        <v>179</v>
      </c>
      <c r="C190" s="1">
        <f t="shared" si="243"/>
        <v>13</v>
      </c>
      <c r="D190" s="1">
        <f t="shared" si="244"/>
        <v>5</v>
      </c>
      <c r="E190" s="1">
        <f t="shared" si="180"/>
        <v>1</v>
      </c>
      <c r="F190" s="11">
        <f t="shared" si="203"/>
        <v>5</v>
      </c>
      <c r="G190" s="12">
        <f t="shared" ref="G190:L190" si="256">IF($B190&lt;G$8,0,G$3+(G$4-G$3)*(POWER(G$5,$B190-G$8)-1)/(POWER(G$5,$C$5-G$8)-1))</f>
        <v>0.851672060283656</v>
      </c>
      <c r="H190" s="12">
        <f t="shared" si="256"/>
        <v>0.678239469711043</v>
      </c>
      <c r="I190" s="12">
        <f t="shared" si="256"/>
        <v>0.59404999921323</v>
      </c>
      <c r="J190" s="12">
        <f t="shared" si="256"/>
        <v>0.574183706230521</v>
      </c>
      <c r="K190" s="12">
        <f t="shared" si="256"/>
        <v>0.532559572950983</v>
      </c>
      <c r="L190" s="12">
        <f t="shared" si="256"/>
        <v>0.677793223191062</v>
      </c>
      <c r="M190" s="2">
        <f>E190*模块规划!$F$10+G190*模块规划!$F$11+H190*模块规划!$F$13</f>
        <v>5088.02588936155</v>
      </c>
      <c r="N190" s="2">
        <f>I190*模块规划!$F$15+J190*模块规划!$F$17+K190*模块规划!$F$16+L190*模块规划!$F$18</f>
        <v>17078.5606096723</v>
      </c>
      <c r="O190" s="2">
        <f t="shared" si="182"/>
        <v>3.2532928628114</v>
      </c>
      <c r="P190" s="13">
        <f t="shared" si="183"/>
        <v>33631.3989213318</v>
      </c>
      <c r="Q190" s="7">
        <f>P190/(P190+_曲线基线!$L$2)</f>
        <v>0.583560342986632</v>
      </c>
      <c r="R190" s="2">
        <f>E190*模块规划!$E$10+G190*模块规划!$E$11+H190*模块规划!$E$13</f>
        <v>7632.03883404232</v>
      </c>
      <c r="S190" s="2">
        <f>I190*模块规划!$E$15+J190*模块规划!$E$17+K190*模块规划!$E$16+L190*模块规划!$E$18</f>
        <v>25617.8409145084</v>
      </c>
      <c r="T190" s="2">
        <f t="shared" si="184"/>
        <v>3.2532928628114</v>
      </c>
      <c r="U190" s="13">
        <f t="shared" si="185"/>
        <v>50447.0983819977</v>
      </c>
      <c r="V190" s="2">
        <f t="shared" si="186"/>
        <v>0.903471840913313</v>
      </c>
      <c r="W190" s="2">
        <f t="shared" si="187"/>
        <v>0.271295787884417</v>
      </c>
      <c r="X190" s="2">
        <f t="shared" si="188"/>
        <v>0.461515854170537</v>
      </c>
      <c r="Y190" s="2">
        <f t="shared" si="189"/>
        <v>1</v>
      </c>
      <c r="Z190" s="2">
        <f t="shared" si="190"/>
        <v>1</v>
      </c>
      <c r="AA190" s="2">
        <f t="shared" si="191"/>
        <v>1</v>
      </c>
      <c r="AB190" s="2">
        <f t="shared" si="192"/>
        <v>1</v>
      </c>
      <c r="AC190" s="2">
        <f t="shared" si="193"/>
        <v>1</v>
      </c>
      <c r="AD190" s="1">
        <f t="shared" si="194"/>
        <v>1.85289751416867</v>
      </c>
      <c r="AE190" s="2">
        <f t="shared" si="195"/>
        <v>1</v>
      </c>
      <c r="AF190" s="2">
        <f t="shared" si="196"/>
        <v>1.19887362109024</v>
      </c>
      <c r="AG190" s="2">
        <f t="shared" si="197"/>
        <v>1.35244825070992</v>
      </c>
      <c r="AH190" s="2">
        <f>MIN(1,_曲线基线!$L$3+AH$9*($H$10*H190+$I$10*I190+$J$10*J190+$K$10*K190+$L$10*L190))</f>
        <v>0.50243748798029</v>
      </c>
      <c r="AI190" s="2">
        <f>_曲线基线!$L$4+AI$9*($H$10*H190+$I$10*I190+$J$10*J190+$K$10*K190+$L$10*L190)</f>
        <v>3.26036157365938</v>
      </c>
      <c r="AJ190" s="2">
        <f t="shared" si="198"/>
        <v>2.03414282966923</v>
      </c>
      <c r="AK190" s="1">
        <f t="shared" si="199"/>
        <v>4.3442992952392</v>
      </c>
      <c r="AL190" s="1">
        <f t="shared" si="200"/>
        <v>2030380.02583883</v>
      </c>
      <c r="AM190" s="14">
        <f t="shared" si="201"/>
        <v>41.5480842444551</v>
      </c>
      <c r="AN190" s="14">
        <f>(((E190*模块规划!$D$10+G190*模块规划!$D$11+H190*模块规划!$D$13)*(1+模块规划!$G$14*H190)+(I190*模块规划!$D$15+J190*模块规划!$D$17+K190*模块规划!$D$16+L190*模块规划!$D$18))*(1+模块规划!$J$17*J190))*F190/(1-Q190)</f>
        <v>2562531.79157892</v>
      </c>
      <c r="AO190" s="1">
        <f t="shared" si="202"/>
        <v>84358400.3618105</v>
      </c>
      <c r="AP190" s="1">
        <f>IF(AO190="","",_xlfn.XLOOKUP(AO190,_曲线基线!$E$3:$E$502,_曲线基线!$A$3:$A$502,500,1))</f>
        <v>274</v>
      </c>
      <c r="AQ190" s="15">
        <f t="shared" si="205"/>
        <v>5</v>
      </c>
    </row>
    <row r="191" customHeight="1" spans="1:43">
      <c r="A191" s="1" t="str">
        <f>IFERROR(_xlfn.XLOOKUP(B191,_曲线基线!$G$3:$G$107,_曲线基线!$J$3:$J$107,""),"")</f>
        <v/>
      </c>
      <c r="B191" s="1">
        <v>180</v>
      </c>
      <c r="C191" s="1">
        <f t="shared" si="243"/>
        <v>13</v>
      </c>
      <c r="D191" s="1">
        <f t="shared" si="244"/>
        <v>6</v>
      </c>
      <c r="E191" s="1">
        <f t="shared" si="180"/>
        <v>1</v>
      </c>
      <c r="F191" s="11">
        <f t="shared" si="203"/>
        <v>5</v>
      </c>
      <c r="G191" s="12">
        <f t="shared" ref="G191:L191" si="257">IF($B191&lt;G$8,0,G$3+(G$4-G$3)*(POWER(G$5,$B191-G$8)-1)/(POWER(G$5,$C$5-G$8)-1))</f>
        <v>0.852602169833897</v>
      </c>
      <c r="H191" s="12">
        <f t="shared" si="257"/>
        <v>0.678741222556334</v>
      </c>
      <c r="I191" s="12">
        <f t="shared" si="257"/>
        <v>0.595340090572034</v>
      </c>
      <c r="J191" s="12">
        <f t="shared" si="257"/>
        <v>0.574778976597634</v>
      </c>
      <c r="K191" s="12">
        <f t="shared" si="257"/>
        <v>0.535267506426936</v>
      </c>
      <c r="L191" s="12">
        <f t="shared" si="257"/>
        <v>0.678305265558627</v>
      </c>
      <c r="M191" s="2">
        <f>E191*模块规划!$F$10+G191*模块规划!$F$11+H191*模块规划!$F$13</f>
        <v>5092.4904152027</v>
      </c>
      <c r="N191" s="2">
        <f>I191*模块规划!$F$15+J191*模块规划!$F$17+K191*模块规划!$F$16+L191*模块规划!$F$18</f>
        <v>17113.6418569074</v>
      </c>
      <c r="O191" s="2">
        <f t="shared" si="182"/>
        <v>3.25716428506631</v>
      </c>
      <c r="P191" s="13">
        <f t="shared" si="183"/>
        <v>33700.7197593481</v>
      </c>
      <c r="Q191" s="7">
        <f>P191/(P191+_曲线基线!$L$2)</f>
        <v>0.584060647768406</v>
      </c>
      <c r="R191" s="2">
        <f>E191*模块规划!$E$10+G191*模块规划!$E$11+H191*模块规划!$E$13</f>
        <v>7638.73562280406</v>
      </c>
      <c r="S191" s="2">
        <f>I191*模块规划!$E$15+J191*模块规划!$E$17+K191*模块规划!$E$16+L191*模块规划!$E$18</f>
        <v>25670.462785361</v>
      </c>
      <c r="T191" s="2">
        <f t="shared" si="184"/>
        <v>3.25716428506631</v>
      </c>
      <c r="U191" s="13">
        <f t="shared" si="185"/>
        <v>50551.0796390222</v>
      </c>
      <c r="V191" s="2">
        <f t="shared" si="186"/>
        <v>0.9036223667669</v>
      </c>
      <c r="W191" s="2">
        <f t="shared" si="187"/>
        <v>0.271496489022533</v>
      </c>
      <c r="X191" s="2">
        <f t="shared" si="188"/>
        <v>0.461653836202992</v>
      </c>
      <c r="Y191" s="2">
        <f t="shared" si="189"/>
        <v>1</v>
      </c>
      <c r="Z191" s="2">
        <f t="shared" si="190"/>
        <v>1</v>
      </c>
      <c r="AA191" s="2">
        <f t="shared" si="191"/>
        <v>1</v>
      </c>
      <c r="AB191" s="2">
        <f t="shared" si="192"/>
        <v>1</v>
      </c>
      <c r="AC191" s="2">
        <f t="shared" si="193"/>
        <v>1</v>
      </c>
      <c r="AD191" s="1">
        <f t="shared" si="194"/>
        <v>1.85384758940465</v>
      </c>
      <c r="AE191" s="2">
        <f t="shared" si="195"/>
        <v>1</v>
      </c>
      <c r="AF191" s="2">
        <f t="shared" si="196"/>
        <v>1.19921530937023</v>
      </c>
      <c r="AG191" s="2">
        <f t="shared" si="197"/>
        <v>1.35305379827279</v>
      </c>
      <c r="AH191" s="2">
        <f>MIN(1,_曲线基线!$L$3+AH$9*($H$10*H191+$I$10*I191+$J$10*J191+$K$10*K191+$L$10*L191))</f>
        <v>0.503214828817262</v>
      </c>
      <c r="AI191" s="2">
        <f>_曲线基线!$L$4+AI$9*($H$10*H191+$I$10*I191+$J$10*J191+$K$10*K191+$L$10*L191)</f>
        <v>3.2625270231338</v>
      </c>
      <c r="AJ191" s="2">
        <f t="shared" si="198"/>
        <v>2.03591960872517</v>
      </c>
      <c r="AK191" s="1">
        <f t="shared" si="199"/>
        <v>4.35388971490483</v>
      </c>
      <c r="AL191" s="1">
        <f t="shared" si="200"/>
        <v>2040102.04124778</v>
      </c>
      <c r="AM191" s="14">
        <f t="shared" si="201"/>
        <v>41.6269897268215</v>
      </c>
      <c r="AN191" s="14">
        <f>(((E191*模块规划!$D$10+G191*模块规划!$D$11+H191*模块规划!$D$13)*(1+模块规划!$G$14*H191)+(I191*模块规划!$D$15+J191*模块规划!$D$17+K191*模块规划!$D$16+L191*模块规划!$D$18))*(1+模块规划!$J$17*J191))*F191/(1-Q191)</f>
        <v>2571225.79540004</v>
      </c>
      <c r="AO191" s="1">
        <f t="shared" si="202"/>
        <v>84923306.712689</v>
      </c>
      <c r="AP191" s="1">
        <f>IF(AO191="","",_xlfn.XLOOKUP(AO191,_曲线基线!$E$3:$E$502,_曲线基线!$A$3:$A$502,500,1))</f>
        <v>275</v>
      </c>
      <c r="AQ191" s="15">
        <f t="shared" si="205"/>
        <v>5</v>
      </c>
    </row>
    <row r="192" customHeight="1" spans="1:43">
      <c r="A192" s="1" t="str">
        <f>IFERROR(_xlfn.XLOOKUP(B192,_曲线基线!$G$3:$G$107,_曲线基线!$J$3:$J$107,""),"")</f>
        <v/>
      </c>
      <c r="B192" s="1">
        <v>181</v>
      </c>
      <c r="C192" s="1">
        <f t="shared" si="243"/>
        <v>13</v>
      </c>
      <c r="D192" s="1">
        <f t="shared" si="244"/>
        <v>7</v>
      </c>
      <c r="E192" s="1">
        <f t="shared" si="180"/>
        <v>1</v>
      </c>
      <c r="F192" s="11">
        <f t="shared" si="203"/>
        <v>5</v>
      </c>
      <c r="G192" s="12">
        <f t="shared" ref="G192:L192" si="258">IF($B192&lt;G$8,0,G$3+(G$4-G$3)*(POWER(G$5,$B192-G$8)-1)/(POWER(G$5,$C$5-G$8)-1))</f>
        <v>0.853518327740884</v>
      </c>
      <c r="H192" s="12">
        <f t="shared" si="258"/>
        <v>0.679232940344718</v>
      </c>
      <c r="I192" s="12">
        <f t="shared" si="258"/>
        <v>0.596604380103661</v>
      </c>
      <c r="J192" s="12">
        <f t="shared" si="258"/>
        <v>0.575362341557406</v>
      </c>
      <c r="K192" s="12">
        <f t="shared" si="258"/>
        <v>0.537921281233371</v>
      </c>
      <c r="L192" s="12">
        <f t="shared" si="258"/>
        <v>0.67880706707884</v>
      </c>
      <c r="M192" s="2">
        <f>E192*模块规划!$F$10+G192*模块规划!$F$11+H192*模块规划!$F$13</f>
        <v>5096.88797315624</v>
      </c>
      <c r="N192" s="2">
        <f>I192*模块规划!$F$15+J192*模块规划!$F$17+K192*模块规划!$F$16+L192*模块规划!$F$18</f>
        <v>17148.0214791978</v>
      </c>
      <c r="O192" s="2">
        <f t="shared" si="182"/>
        <v>3.26095827887612</v>
      </c>
      <c r="P192" s="13">
        <f t="shared" si="183"/>
        <v>33768.7605117657</v>
      </c>
      <c r="Q192" s="7">
        <f>P192/(P192+_曲线基线!$L$2)</f>
        <v>0.584550546222782</v>
      </c>
      <c r="R192" s="2">
        <f>E192*模块规划!$E$10+G192*模块规划!$E$11+H192*模块规划!$E$13</f>
        <v>7645.33195973436</v>
      </c>
      <c r="S192" s="2">
        <f>I192*模块规划!$E$15+J192*模块规划!$E$17+K192*模块规划!$E$16+L192*模块规划!$E$18</f>
        <v>25722.0322187967</v>
      </c>
      <c r="T192" s="2">
        <f t="shared" si="184"/>
        <v>3.26095827887612</v>
      </c>
      <c r="U192" s="13">
        <f t="shared" si="185"/>
        <v>50653.1407676486</v>
      </c>
      <c r="V192" s="2">
        <f t="shared" si="186"/>
        <v>0.903769882103415</v>
      </c>
      <c r="W192" s="2">
        <f t="shared" si="187"/>
        <v>0.271693176137887</v>
      </c>
      <c r="X192" s="2">
        <f t="shared" si="188"/>
        <v>0.461789058594798</v>
      </c>
      <c r="Y192" s="2">
        <f t="shared" si="189"/>
        <v>1</v>
      </c>
      <c r="Z192" s="2">
        <f t="shared" si="190"/>
        <v>1</v>
      </c>
      <c r="AA192" s="2">
        <f t="shared" si="191"/>
        <v>1</v>
      </c>
      <c r="AB192" s="2">
        <f t="shared" si="192"/>
        <v>1</v>
      </c>
      <c r="AC192" s="2">
        <f t="shared" si="193"/>
        <v>1</v>
      </c>
      <c r="AD192" s="1">
        <f t="shared" si="194"/>
        <v>1.85477895833267</v>
      </c>
      <c r="AE192" s="2">
        <f t="shared" si="195"/>
        <v>1</v>
      </c>
      <c r="AF192" s="2">
        <f t="shared" si="196"/>
        <v>1.19955016388461</v>
      </c>
      <c r="AG192" s="2">
        <f t="shared" si="197"/>
        <v>1.3536472348844</v>
      </c>
      <c r="AH192" s="2">
        <f>MIN(1,_曲线基线!$L$3+AH$9*($H$10*H192+$I$10*I192+$J$10*J192+$K$10*K192+$L$10*L192))</f>
        <v>0.503976622837495</v>
      </c>
      <c r="AI192" s="2">
        <f>_曲线基线!$L$4+AI$9*($H$10*H192+$I$10*I192+$J$10*J192+$K$10*K192+$L$10*L192)</f>
        <v>3.26464916361874</v>
      </c>
      <c r="AJ192" s="2">
        <f t="shared" si="198"/>
        <v>2.03766085219999</v>
      </c>
      <c r="AK192" s="1">
        <f t="shared" si="199"/>
        <v>4.36330479636646</v>
      </c>
      <c r="AL192" s="1">
        <f t="shared" si="200"/>
        <v>2049670.71115748</v>
      </c>
      <c r="AM192" s="14">
        <f t="shared" si="201"/>
        <v>41.7066842640116</v>
      </c>
      <c r="AN192" s="14">
        <f>(((E192*模块规划!$D$10+G192*模块规划!$D$11+H192*模块规划!$D$13)*(1+模块规划!$G$14*H192)+(I192*模块规划!$D$15+J192*模块规划!$D$17+K192*模块规划!$D$16+L192*模块规划!$D$18))*(1+模块规划!$J$17*J192))*F192/(1-Q192)</f>
        <v>2579771.52374254</v>
      </c>
      <c r="AO192" s="1">
        <f t="shared" si="202"/>
        <v>85484969.195437</v>
      </c>
      <c r="AP192" s="1">
        <f>IF(AO192="","",_xlfn.XLOOKUP(AO192,_曲线基线!$E$3:$E$502,_曲线基线!$A$3:$A$502,500,1))</f>
        <v>275</v>
      </c>
      <c r="AQ192" s="15">
        <f t="shared" si="205"/>
        <v>5</v>
      </c>
    </row>
    <row r="193" customHeight="1" spans="1:43">
      <c r="A193" s="1" t="str">
        <f>IFERROR(_xlfn.XLOOKUP(B193,_曲线基线!$G$3:$G$107,_曲线基线!$J$3:$J$107,""),"")</f>
        <v/>
      </c>
      <c r="B193" s="1">
        <v>182</v>
      </c>
      <c r="C193" s="1">
        <f t="shared" si="243"/>
        <v>13</v>
      </c>
      <c r="D193" s="1">
        <f t="shared" si="244"/>
        <v>8</v>
      </c>
      <c r="E193" s="1">
        <f t="shared" si="180"/>
        <v>1</v>
      </c>
      <c r="F193" s="11">
        <f t="shared" si="203"/>
        <v>5</v>
      </c>
      <c r="G193" s="12">
        <f t="shared" ref="G193:L193" si="259">IF($B193&lt;G$8,0,G$3+(G$4-G$3)*(POWER(G$5,$B193-G$8)-1)/(POWER(G$5,$C$5-G$8)-1))</f>
        <v>0.854420743279267</v>
      </c>
      <c r="H193" s="12">
        <f t="shared" si="259"/>
        <v>0.679714823777335</v>
      </c>
      <c r="I193" s="12">
        <f t="shared" si="259"/>
        <v>0.597843383844656</v>
      </c>
      <c r="J193" s="12">
        <f t="shared" si="259"/>
        <v>0.575934039217981</v>
      </c>
      <c r="K193" s="12">
        <f t="shared" si="259"/>
        <v>0.540521980543677</v>
      </c>
      <c r="L193" s="12">
        <f t="shared" si="259"/>
        <v>0.679298832568649</v>
      </c>
      <c r="M193" s="2">
        <f>E193*模块规划!$F$10+G193*模块规划!$F$11+H193*模块规划!$F$13</f>
        <v>5101.21956774048</v>
      </c>
      <c r="N193" s="2">
        <f>I193*模块规划!$F$15+J193*模块规划!$F$17+K193*模块规划!$F$16+L193*模块规划!$F$18</f>
        <v>17181.7135090424</v>
      </c>
      <c r="O193" s="2">
        <f t="shared" si="182"/>
        <v>3.26467639280974</v>
      </c>
      <c r="P193" s="13">
        <f t="shared" si="183"/>
        <v>33835.5446063838</v>
      </c>
      <c r="Q193" s="7">
        <f>P193/(P193+_曲线基线!$L$2)</f>
        <v>0.58503027570089</v>
      </c>
      <c r="R193" s="2">
        <f>E193*模块规划!$E$10+G193*模块规划!$E$11+H193*模块规划!$E$13</f>
        <v>7651.82935161072</v>
      </c>
      <c r="S193" s="2">
        <f>I193*模块规划!$E$15+J193*模块规划!$E$17+K193*模块规划!$E$16+L193*模块规划!$E$18</f>
        <v>25772.5702635635</v>
      </c>
      <c r="T193" s="2">
        <f t="shared" si="184"/>
        <v>3.26467639280974</v>
      </c>
      <c r="U193" s="13">
        <f t="shared" si="185"/>
        <v>50753.3169095757</v>
      </c>
      <c r="V193" s="2">
        <f t="shared" si="186"/>
        <v>0.9039144471332</v>
      </c>
      <c r="W193" s="2">
        <f t="shared" si="187"/>
        <v>0.271885929510934</v>
      </c>
      <c r="X193" s="2">
        <f t="shared" si="188"/>
        <v>0.461921576538767</v>
      </c>
      <c r="Y193" s="2">
        <f t="shared" si="189"/>
        <v>1</v>
      </c>
      <c r="Z193" s="2">
        <f t="shared" si="190"/>
        <v>1</v>
      </c>
      <c r="AA193" s="2">
        <f t="shared" si="191"/>
        <v>1</v>
      </c>
      <c r="AB193" s="2">
        <f t="shared" si="192"/>
        <v>1</v>
      </c>
      <c r="AC193" s="2">
        <f t="shared" si="193"/>
        <v>1</v>
      </c>
      <c r="AD193" s="1">
        <f t="shared" si="194"/>
        <v>1.85569198338909</v>
      </c>
      <c r="AE193" s="2">
        <f t="shared" si="195"/>
        <v>1</v>
      </c>
      <c r="AF193" s="2">
        <f t="shared" si="196"/>
        <v>1.19987832130871</v>
      </c>
      <c r="AG193" s="2">
        <f t="shared" si="197"/>
        <v>1.35422880276378</v>
      </c>
      <c r="AH193" s="2">
        <f>MIN(1,_曲线基线!$L$3+AH$9*($H$10*H193+$I$10*I193+$J$10*J193+$K$10*K193+$L$10*L193))</f>
        <v>0.504723180977323</v>
      </c>
      <c r="AI193" s="2">
        <f>_曲线基线!$L$4+AI$9*($H$10*H193+$I$10*I193+$J$10*J193+$K$10*K193+$L$10*L193)</f>
        <v>3.26672886129397</v>
      </c>
      <c r="AJ193" s="2">
        <f t="shared" si="198"/>
        <v>2.03936727080531</v>
      </c>
      <c r="AK193" s="1">
        <f t="shared" si="199"/>
        <v>4.37254741055731</v>
      </c>
      <c r="AL193" s="1">
        <f t="shared" si="200"/>
        <v>2059087.74230229</v>
      </c>
      <c r="AM193" s="14">
        <f t="shared" si="201"/>
        <v>41.7871757465736</v>
      </c>
      <c r="AN193" s="14">
        <f>(((E193*模块规划!$D$10+G193*模块规划!$D$11+H193*模块规划!$D$13)*(1+模块规划!$G$14*H193)+(I193*模块规划!$D$15+J193*模块规划!$D$17+K193*模块规划!$D$16+L193*模块规划!$D$18))*(1+模块规划!$J$17*J193))*F193/(1-Q193)</f>
        <v>2588171.17287103</v>
      </c>
      <c r="AO193" s="1">
        <f t="shared" si="202"/>
        <v>86043461.3652012</v>
      </c>
      <c r="AP193" s="1">
        <f>IF(AO193="","",_xlfn.XLOOKUP(AO193,_曲线基线!$E$3:$E$502,_曲线基线!$A$3:$A$502,500,1))</f>
        <v>276</v>
      </c>
      <c r="AQ193" s="15">
        <f t="shared" si="205"/>
        <v>5</v>
      </c>
    </row>
    <row r="194" customHeight="1" spans="1:43">
      <c r="A194" s="1" t="str">
        <f>IFERROR(_xlfn.XLOOKUP(B194,_曲线基线!$G$3:$G$107,_曲线基线!$J$3:$J$107,""),"")</f>
        <v/>
      </c>
      <c r="B194" s="1">
        <v>183</v>
      </c>
      <c r="C194" s="1">
        <f t="shared" si="243"/>
        <v>13</v>
      </c>
      <c r="D194" s="1">
        <f t="shared" si="244"/>
        <v>9</v>
      </c>
      <c r="E194" s="1">
        <f t="shared" si="180"/>
        <v>1</v>
      </c>
      <c r="F194" s="11">
        <f t="shared" si="203"/>
        <v>5</v>
      </c>
      <c r="G194" s="12">
        <f t="shared" ref="G194:L194" si="260">IF($B194&lt;G$8,0,G$3+(G$4-G$3)*(POWER(G$5,$B194-G$8)-1)/(POWER(G$5,$C$5-G$8)-1))</f>
        <v>0.855309622584573</v>
      </c>
      <c r="H194" s="12">
        <f t="shared" si="260"/>
        <v>0.6801870695413</v>
      </c>
      <c r="I194" s="12">
        <f t="shared" si="260"/>
        <v>0.599057607510831</v>
      </c>
      <c r="J194" s="12">
        <f t="shared" si="260"/>
        <v>0.576494302925346</v>
      </c>
      <c r="K194" s="12">
        <f t="shared" si="260"/>
        <v>0.543070665867777</v>
      </c>
      <c r="L194" s="12">
        <f t="shared" si="260"/>
        <v>0.679780762748662</v>
      </c>
      <c r="M194" s="2">
        <f>E194*模块规划!$F$10+G194*模块规划!$F$11+H194*模块规划!$F$13</f>
        <v>5105.48618840595</v>
      </c>
      <c r="N194" s="2">
        <f>I194*模块规划!$F$15+J194*模块规划!$F$17+K194*模块规划!$F$16+L194*模块规划!$F$18</f>
        <v>17214.7316982901</v>
      </c>
      <c r="O194" s="2">
        <f t="shared" si="182"/>
        <v>3.26832014446468</v>
      </c>
      <c r="P194" s="13">
        <f t="shared" si="183"/>
        <v>33901.0950551434</v>
      </c>
      <c r="Q194" s="7">
        <f>P194/(P194+_曲线基线!$L$2)</f>
        <v>0.585500067362404</v>
      </c>
      <c r="R194" s="2">
        <f>E194*模块规划!$E$10+G194*模块规划!$E$11+H194*模块规划!$E$13</f>
        <v>7658.22928260893</v>
      </c>
      <c r="S194" s="2">
        <f>I194*模块规划!$E$15+J194*模块规划!$E$17+K194*模块规划!$E$16+L194*模块规划!$E$18</f>
        <v>25822.0975474351</v>
      </c>
      <c r="T194" s="2">
        <f t="shared" si="184"/>
        <v>3.26832014446468</v>
      </c>
      <c r="U194" s="13">
        <f t="shared" si="185"/>
        <v>50851.6425827152</v>
      </c>
      <c r="V194" s="2">
        <f t="shared" si="186"/>
        <v>0.90405612086239</v>
      </c>
      <c r="W194" s="2">
        <f t="shared" si="187"/>
        <v>0.27207482781652</v>
      </c>
      <c r="X194" s="2">
        <f t="shared" si="188"/>
        <v>0.462051444123857</v>
      </c>
      <c r="Y194" s="2">
        <f t="shared" si="189"/>
        <v>1</v>
      </c>
      <c r="Z194" s="2">
        <f t="shared" si="190"/>
        <v>1</v>
      </c>
      <c r="AA194" s="2">
        <f t="shared" si="191"/>
        <v>1</v>
      </c>
      <c r="AB194" s="2">
        <f t="shared" si="192"/>
        <v>1</v>
      </c>
      <c r="AC194" s="2">
        <f t="shared" si="193"/>
        <v>1</v>
      </c>
      <c r="AD194" s="1">
        <f t="shared" si="194"/>
        <v>1.85658702022448</v>
      </c>
      <c r="AE194" s="2">
        <f t="shared" si="195"/>
        <v>1</v>
      </c>
      <c r="AF194" s="2">
        <f t="shared" si="196"/>
        <v>1.20019991558433</v>
      </c>
      <c r="AG194" s="2">
        <f t="shared" si="197"/>
        <v>1.35479873928557</v>
      </c>
      <c r="AH194" s="2">
        <f>MIN(1,_曲线基线!$L$3+AH$9*($H$10*H194+$I$10*I194+$J$10*J194+$K$10*K194+$L$10*L194))</f>
        <v>0.505454807954355</v>
      </c>
      <c r="AI194" s="2">
        <f>_曲线基线!$L$4+AI$9*($H$10*H194+$I$10*I194+$J$10*J194+$K$10*K194+$L$10*L194)</f>
        <v>3.2687669650157</v>
      </c>
      <c r="AJ194" s="2">
        <f t="shared" si="198"/>
        <v>2.04103956103853</v>
      </c>
      <c r="AK194" s="1">
        <f t="shared" si="199"/>
        <v>4.38162039520705</v>
      </c>
      <c r="AL194" s="1">
        <f t="shared" si="200"/>
        <v>2068354.85232302</v>
      </c>
      <c r="AM194" s="14">
        <f t="shared" si="201"/>
        <v>41.8684721439612</v>
      </c>
      <c r="AN194" s="14">
        <f>(((E194*模块规划!$D$10+G194*模块规划!$D$11+H194*模块规划!$D$13)*(1+模块规划!$G$14*H194)+(I194*模块规划!$D$15+J194*模块规划!$D$17+K194*模块规划!$D$16+L194*模块规划!$D$18))*(1+模块规划!$J$17*J194))*F194/(1-Q194)</f>
        <v>2596426.92049795</v>
      </c>
      <c r="AO194" s="1">
        <f t="shared" si="202"/>
        <v>86598857.5183134</v>
      </c>
      <c r="AP194" s="1">
        <f>IF(AO194="","",_xlfn.XLOOKUP(AO194,_曲线基线!$E$3:$E$502,_曲线基线!$A$3:$A$502,500,1))</f>
        <v>276</v>
      </c>
      <c r="AQ194" s="15">
        <f t="shared" si="205"/>
        <v>5</v>
      </c>
    </row>
    <row r="195" customHeight="1" spans="1:43">
      <c r="A195" s="1" t="str">
        <f>IFERROR(_xlfn.XLOOKUP(B195,_曲线基线!$G$3:$G$107,_曲线基线!$J$3:$J$107,""),"")</f>
        <v/>
      </c>
      <c r="B195" s="1">
        <v>184</v>
      </c>
      <c r="C195" s="1">
        <f t="shared" si="243"/>
        <v>13</v>
      </c>
      <c r="D195" s="1">
        <f t="shared" si="244"/>
        <v>10</v>
      </c>
      <c r="E195" s="1">
        <f t="shared" si="180"/>
        <v>1</v>
      </c>
      <c r="F195" s="11">
        <f t="shared" si="203"/>
        <v>5</v>
      </c>
      <c r="G195" s="12">
        <f t="shared" ref="G195:L195" si="261">IF($B195&lt;G$8,0,G$3+(G$4-G$3)*(POWER(G$5,$B195-G$8)-1)/(POWER(G$5,$C$5-G$8)-1))</f>
        <v>0.856185168700301</v>
      </c>
      <c r="H195" s="12">
        <f t="shared" si="261"/>
        <v>0.680649870389985</v>
      </c>
      <c r="I195" s="12">
        <f t="shared" si="261"/>
        <v>0.600247546703683</v>
      </c>
      <c r="J195" s="12">
        <f t="shared" si="261"/>
        <v>0.577043361358563</v>
      </c>
      <c r="K195" s="12">
        <f t="shared" si="261"/>
        <v>0.545568377485395</v>
      </c>
      <c r="L195" s="12">
        <f t="shared" si="261"/>
        <v>0.680253054325074</v>
      </c>
      <c r="M195" s="2">
        <f>E195*模块规划!$F$10+G195*模块规划!$F$11+H195*模块规划!$F$13</f>
        <v>5109.68880976144</v>
      </c>
      <c r="N195" s="2">
        <f>I195*模块规划!$F$15+J195*模块规划!$F$17+K195*模块规划!$F$16+L195*模块规划!$F$18</f>
        <v>17247.0895237528</v>
      </c>
      <c r="O195" s="2">
        <f t="shared" si="182"/>
        <v>3.27189102108652</v>
      </c>
      <c r="P195" s="13">
        <f t="shared" si="183"/>
        <v>33965.4344609576</v>
      </c>
      <c r="Q195" s="7">
        <f>P195/(P195+_曲线基线!$L$2)</f>
        <v>0.585960146366795</v>
      </c>
      <c r="R195" s="2">
        <f>E195*模块规划!$E$10+G195*模块规划!$E$11+H195*模块规划!$E$13</f>
        <v>7664.53321464217</v>
      </c>
      <c r="S195" s="2">
        <f>I195*模块规划!$E$15+J195*模块规划!$E$17+K195*模块规划!$E$16+L195*模块规划!$E$18</f>
        <v>25870.6342856293</v>
      </c>
      <c r="T195" s="2">
        <f t="shared" si="184"/>
        <v>3.27189102108652</v>
      </c>
      <c r="U195" s="13">
        <f t="shared" si="185"/>
        <v>50948.1516914364</v>
      </c>
      <c r="V195" s="2">
        <f t="shared" si="186"/>
        <v>0.904194961116995</v>
      </c>
      <c r="W195" s="2">
        <f t="shared" si="187"/>
        <v>0.272259948155994</v>
      </c>
      <c r="X195" s="2">
        <f t="shared" si="188"/>
        <v>0.462178714357246</v>
      </c>
      <c r="Y195" s="2">
        <f t="shared" si="189"/>
        <v>1</v>
      </c>
      <c r="Z195" s="2">
        <f t="shared" si="190"/>
        <v>1</v>
      </c>
      <c r="AA195" s="2">
        <f t="shared" si="191"/>
        <v>1</v>
      </c>
      <c r="AB195" s="2">
        <f t="shared" si="192"/>
        <v>1</v>
      </c>
      <c r="AC195" s="2">
        <f t="shared" si="193"/>
        <v>1</v>
      </c>
      <c r="AD195" s="1">
        <f t="shared" si="194"/>
        <v>1.85746441782096</v>
      </c>
      <c r="AE195" s="2">
        <f t="shared" si="195"/>
        <v>1</v>
      </c>
      <c r="AF195" s="2">
        <f t="shared" si="196"/>
        <v>1.20051507797444</v>
      </c>
      <c r="AG195" s="2">
        <f t="shared" si="197"/>
        <v>1.35535727707692</v>
      </c>
      <c r="AH195" s="2">
        <f>MIN(1,_曲线基线!$L$3+AH$9*($H$10*H195+$I$10*I195+$J$10*J195+$K$10*K195+$L$10*L195))</f>
        <v>0.506171802391846</v>
      </c>
      <c r="AI195" s="2">
        <f>_曲线基线!$L$4+AI$9*($H$10*H195+$I$10*I195+$J$10*J195+$K$10*K195+$L$10*L195)</f>
        <v>3.270764306663</v>
      </c>
      <c r="AJ195" s="2">
        <f t="shared" si="198"/>
        <v>2.04267840546708</v>
      </c>
      <c r="AK195" s="1">
        <f t="shared" si="199"/>
        <v>4.39052655460365</v>
      </c>
      <c r="AL195" s="1">
        <f t="shared" si="200"/>
        <v>2077473.76814632</v>
      </c>
      <c r="AM195" s="14">
        <f t="shared" si="201"/>
        <v>41.9505815053227</v>
      </c>
      <c r="AN195" s="14">
        <f>(((E195*模块规划!$D$10+G195*模块规划!$D$11+H195*模块规划!$D$13)*(1+模块规划!$G$14*H195)+(I195*模块规划!$D$15+J195*模块规划!$D$17+K195*模块规划!$D$16+L195*模块规划!$D$18))*(1+模块规划!$J$17*J195))*F195/(1-Q195)</f>
        <v>2604540.9252916</v>
      </c>
      <c r="AO195" s="1">
        <f t="shared" si="202"/>
        <v>87151232.6357922</v>
      </c>
      <c r="AP195" s="1">
        <f>IF(AO195="","",_xlfn.XLOOKUP(AO195,_曲线基线!$E$3:$E$502,_曲线基线!$A$3:$A$502,500,1))</f>
        <v>277</v>
      </c>
      <c r="AQ195" s="15">
        <f t="shared" si="205"/>
        <v>5</v>
      </c>
    </row>
    <row r="196" customHeight="1" spans="1:43">
      <c r="A196" s="1" t="str">
        <f>IFERROR(_xlfn.XLOOKUP(B196,_曲线基线!$G$3:$G$107,_曲线基线!$J$3:$J$107,""),"")</f>
        <v/>
      </c>
      <c r="B196" s="1">
        <v>185</v>
      </c>
      <c r="C196" s="1">
        <f t="shared" si="243"/>
        <v>13</v>
      </c>
      <c r="D196" s="1">
        <f t="shared" si="244"/>
        <v>11</v>
      </c>
      <c r="E196" s="1">
        <f t="shared" si="180"/>
        <v>1</v>
      </c>
      <c r="F196" s="11">
        <f t="shared" si="203"/>
        <v>5</v>
      </c>
      <c r="G196" s="12">
        <f t="shared" ref="G196:L196" si="262">IF($B196&lt;G$8,0,G$3+(G$4-G$3)*(POWER(G$5,$B196-G$8)-1)/(POWER(G$5,$C$5-G$8)-1))</f>
        <v>0.857047581624292</v>
      </c>
      <c r="H196" s="12">
        <f t="shared" si="262"/>
        <v>0.681103415221697</v>
      </c>
      <c r="I196" s="12">
        <f t="shared" si="262"/>
        <v>0.601413687112678</v>
      </c>
      <c r="J196" s="12">
        <f t="shared" si="262"/>
        <v>0.577581438623115</v>
      </c>
      <c r="K196" s="12">
        <f t="shared" si="262"/>
        <v>0.548016134870661</v>
      </c>
      <c r="L196" s="12">
        <f t="shared" si="262"/>
        <v>0.680715900069958</v>
      </c>
      <c r="M196" s="2">
        <f>E196*模块规划!$F$10+G196*模块规划!$F$11+H196*模块规划!$F$13</f>
        <v>5113.8283917966</v>
      </c>
      <c r="N196" s="2">
        <f>I196*模块规划!$F$15+J196*模块规划!$F$17+K196*模块规划!$F$16+L196*模块规划!$F$18</f>
        <v>17278.8001927063</v>
      </c>
      <c r="O196" s="2">
        <f t="shared" si="182"/>
        <v>3.27539048017593</v>
      </c>
      <c r="P196" s="13">
        <f t="shared" si="183"/>
        <v>34028.5850244503</v>
      </c>
      <c r="Q196" s="7">
        <f>P196/(P196+_曲线基线!$L$2)</f>
        <v>0.586410732057526</v>
      </c>
      <c r="R196" s="2">
        <f>E196*模块规划!$E$10+G196*模块规划!$E$11+H196*模块规划!$E$13</f>
        <v>7670.7425876949</v>
      </c>
      <c r="S196" s="2">
        <f>I196*模块规划!$E$15+J196*模块规划!$E$17+K196*模块规划!$E$16+L196*模块规划!$E$18</f>
        <v>25918.2002890595</v>
      </c>
      <c r="T196" s="2">
        <f t="shared" si="184"/>
        <v>3.27539048017593</v>
      </c>
      <c r="U196" s="13">
        <f t="shared" si="185"/>
        <v>51042.8775366754</v>
      </c>
      <c r="V196" s="2">
        <f t="shared" si="186"/>
        <v>0.904331024566509</v>
      </c>
      <c r="W196" s="2">
        <f t="shared" si="187"/>
        <v>0.272441366088679</v>
      </c>
      <c r="X196" s="2">
        <f t="shared" si="188"/>
        <v>0.462303439185967</v>
      </c>
      <c r="Y196" s="2">
        <f t="shared" si="189"/>
        <v>1</v>
      </c>
      <c r="Z196" s="2">
        <f t="shared" si="190"/>
        <v>1</v>
      </c>
      <c r="AA196" s="2">
        <f t="shared" si="191"/>
        <v>1</v>
      </c>
      <c r="AB196" s="2">
        <f t="shared" si="192"/>
        <v>1</v>
      </c>
      <c r="AC196" s="2">
        <f t="shared" si="193"/>
        <v>1</v>
      </c>
      <c r="AD196" s="1">
        <f t="shared" si="194"/>
        <v>1.85832451860799</v>
      </c>
      <c r="AE196" s="2">
        <f t="shared" si="195"/>
        <v>1</v>
      </c>
      <c r="AF196" s="2">
        <f t="shared" si="196"/>
        <v>1.20082393711674</v>
      </c>
      <c r="AG196" s="2">
        <f t="shared" si="197"/>
        <v>1.35590464411245</v>
      </c>
      <c r="AH196" s="2">
        <f>MIN(1,_曲线基线!$L$3+AH$9*($H$10*H196+$I$10*I196+$J$10*J196+$K$10*K196+$L$10*L196))</f>
        <v>0.506874456940587</v>
      </c>
      <c r="AI196" s="2">
        <f>_曲线基线!$L$4+AI$9*($H$10*H196+$I$10*I196+$J$10*J196+$K$10*K196+$L$10*L196)</f>
        <v>3.27272170147735</v>
      </c>
      <c r="AJ196" s="2">
        <f t="shared" si="198"/>
        <v>2.04428447300706</v>
      </c>
      <c r="AK196" s="1">
        <f t="shared" si="199"/>
        <v>4.39926865939233</v>
      </c>
      <c r="AL196" s="1">
        <f t="shared" si="200"/>
        <v>2086446.22443353</v>
      </c>
      <c r="AM196" s="14">
        <f t="shared" si="201"/>
        <v>42.0335119602978</v>
      </c>
      <c r="AN196" s="14">
        <f>(((E196*模块规划!$D$10+G196*模块规划!$D$11+H196*模块规划!$D$13)*(1+模块规划!$G$14*H196)+(I196*模块规划!$D$15+J196*模块规划!$D$17+K196*模块规划!$D$16+L196*模块规划!$D$18))*(1+模块规划!$J$17*J196))*F196/(1-Q196)</f>
        <v>2612515.32642286</v>
      </c>
      <c r="AO196" s="1">
        <f t="shared" si="202"/>
        <v>87700662.3292451</v>
      </c>
      <c r="AP196" s="1">
        <f>IF(AO196="","",_xlfn.XLOOKUP(AO196,_曲线基线!$E$3:$E$502,_曲线基线!$A$3:$A$502,500,1))</f>
        <v>277</v>
      </c>
      <c r="AQ196" s="15">
        <f t="shared" si="205"/>
        <v>5</v>
      </c>
    </row>
    <row r="197" customHeight="1" spans="1:43">
      <c r="A197" s="1" t="str">
        <f>IFERROR(_xlfn.XLOOKUP(B197,_曲线基线!$G$3:$G$107,_曲线基线!$J$3:$J$107,""),"")</f>
        <v/>
      </c>
      <c r="B197" s="1">
        <v>186</v>
      </c>
      <c r="C197" s="1">
        <f t="shared" si="243"/>
        <v>13</v>
      </c>
      <c r="D197" s="1">
        <f t="shared" si="244"/>
        <v>12</v>
      </c>
      <c r="E197" s="1">
        <f t="shared" si="180"/>
        <v>1</v>
      </c>
      <c r="F197" s="11">
        <f t="shared" si="203"/>
        <v>5</v>
      </c>
      <c r="G197" s="12">
        <f t="shared" ref="G197:L197" si="263">IF($B197&lt;G$8,0,G$3+(G$4-G$3)*(POWER(G$5,$B197-G$8)-1)/(POWER(G$5,$C$5-G$8)-1))</f>
        <v>0.857897058354423</v>
      </c>
      <c r="H197" s="12">
        <f t="shared" si="263"/>
        <v>0.681547889156774</v>
      </c>
      <c r="I197" s="12">
        <f t="shared" si="263"/>
        <v>0.602556504713492</v>
      </c>
      <c r="J197" s="12">
        <f t="shared" si="263"/>
        <v>0.578108754342377</v>
      </c>
      <c r="K197" s="12">
        <f t="shared" si="263"/>
        <v>0.550414937108221</v>
      </c>
      <c r="L197" s="12">
        <f t="shared" si="263"/>
        <v>0.681169488899945</v>
      </c>
      <c r="M197" s="2">
        <f>E197*模块规划!$F$10+G197*模块规划!$F$11+H197*模块规划!$F$13</f>
        <v>5117.90588010123</v>
      </c>
      <c r="N197" s="2">
        <f>I197*模块规划!$F$15+J197*模块规划!$F$17+K197*模块规划!$F$16+L197*模块规划!$F$18</f>
        <v>17309.8766482808</v>
      </c>
      <c r="O197" s="2">
        <f t="shared" si="182"/>
        <v>3.27881995008354</v>
      </c>
      <c r="P197" s="13">
        <f t="shared" si="183"/>
        <v>34090.5685506065</v>
      </c>
      <c r="Q197" s="7">
        <f>P197/(P197+_曲线基线!$L$2)</f>
        <v>0.586852038139513</v>
      </c>
      <c r="R197" s="2">
        <f>E197*模块规划!$E$10+G197*模块规划!$E$11+H197*模块规划!$E$13</f>
        <v>7676.85882015185</v>
      </c>
      <c r="S197" s="2">
        <f>I197*模块规划!$E$15+J197*模块规划!$E$17+K197*模块规划!$E$16+L197*模块规划!$E$18</f>
        <v>25964.8149724211</v>
      </c>
      <c r="T197" s="2">
        <f t="shared" si="184"/>
        <v>3.27881995008354</v>
      </c>
      <c r="U197" s="13">
        <f t="shared" si="185"/>
        <v>51135.8528259098</v>
      </c>
      <c r="V197" s="2">
        <f t="shared" si="186"/>
        <v>0.904464366747032</v>
      </c>
      <c r="W197" s="2">
        <f t="shared" si="187"/>
        <v>0.27261915566271</v>
      </c>
      <c r="X197" s="2">
        <f t="shared" si="188"/>
        <v>0.462425669518113</v>
      </c>
      <c r="Y197" s="2">
        <f t="shared" si="189"/>
        <v>1</v>
      </c>
      <c r="Z197" s="2">
        <f t="shared" si="190"/>
        <v>1</v>
      </c>
      <c r="AA197" s="2">
        <f t="shared" si="191"/>
        <v>1</v>
      </c>
      <c r="AB197" s="2">
        <f t="shared" si="192"/>
        <v>1</v>
      </c>
      <c r="AC197" s="2">
        <f t="shared" si="193"/>
        <v>1</v>
      </c>
      <c r="AD197" s="1">
        <f t="shared" si="194"/>
        <v>1.85916765857653</v>
      </c>
      <c r="AE197" s="2">
        <f t="shared" si="195"/>
        <v>1</v>
      </c>
      <c r="AF197" s="2">
        <f t="shared" si="196"/>
        <v>1.2011266190762</v>
      </c>
      <c r="AG197" s="2">
        <f t="shared" si="197"/>
        <v>1.35644106380727</v>
      </c>
      <c r="AH197" s="2">
        <f>MIN(1,_曲线基线!$L$3+AH$9*($H$10*H197+$I$10*I197+$J$10*J197+$K$10*K197+$L$10*L197))</f>
        <v>0.507563058398353</v>
      </c>
      <c r="AI197" s="2">
        <f>_曲线基线!$L$4+AI$9*($H$10*H197+$I$10*I197+$J$10*J197+$K$10*K197+$L$10*L197)</f>
        <v>3.27463994839541</v>
      </c>
      <c r="AJ197" s="2">
        <f t="shared" si="198"/>
        <v>2.04585841919624</v>
      </c>
      <c r="AK197" s="1">
        <f t="shared" si="199"/>
        <v>4.40784944640993</v>
      </c>
      <c r="AL197" s="1">
        <f t="shared" si="200"/>
        <v>2095273.96209704</v>
      </c>
      <c r="AM197" s="14">
        <f t="shared" si="201"/>
        <v>42.1172717198226</v>
      </c>
      <c r="AN197" s="14">
        <f>(((E197*模块规划!$D$10+G197*模块规划!$D$11+H197*模块规划!$D$13)*(1+模块规划!$G$14*H197)+(I197*模块规划!$D$15+J197*模块规划!$D$17+K197*模块规划!$D$16+L197*模块规划!$D$18))*(1+模块规划!$J$17*J197))*F197/(1-Q197)</f>
        <v>2620352.24314901</v>
      </c>
      <c r="AO197" s="1">
        <f t="shared" si="202"/>
        <v>88247222.7891101</v>
      </c>
      <c r="AP197" s="1">
        <f>IF(AO197="","",_xlfn.XLOOKUP(AO197,_曲线基线!$E$3:$E$502,_曲线基线!$A$3:$A$502,500,1))</f>
        <v>278</v>
      </c>
      <c r="AQ197" s="15">
        <f t="shared" si="205"/>
        <v>5</v>
      </c>
    </row>
    <row r="198" customHeight="1" spans="1:43">
      <c r="A198" s="1" t="str">
        <f>IFERROR(_xlfn.XLOOKUP(B198,_曲线基线!$G$3:$G$107,_曲线基线!$J$3:$J$107,""),"")</f>
        <v/>
      </c>
      <c r="B198" s="1">
        <v>187</v>
      </c>
      <c r="C198" s="1">
        <f t="shared" si="243"/>
        <v>13</v>
      </c>
      <c r="D198" s="1">
        <f t="shared" si="244"/>
        <v>13</v>
      </c>
      <c r="E198" s="1">
        <f t="shared" si="180"/>
        <v>1</v>
      </c>
      <c r="F198" s="11">
        <f t="shared" si="203"/>
        <v>5</v>
      </c>
      <c r="G198" s="12">
        <f t="shared" ref="G198:L198" si="264">IF($B198&lt;G$8,0,G$3+(G$4-G$3)*(POWER(G$5,$B198-G$8)-1)/(POWER(G$5,$C$5-G$8)-1))</f>
        <v>0.858733792933603</v>
      </c>
      <c r="H198" s="12">
        <f t="shared" si="264"/>
        <v>0.68198347361315</v>
      </c>
      <c r="I198" s="12">
        <f t="shared" si="264"/>
        <v>0.603676465962291</v>
      </c>
      <c r="J198" s="12">
        <f t="shared" si="264"/>
        <v>0.578625523747253</v>
      </c>
      <c r="K198" s="12">
        <f t="shared" si="264"/>
        <v>0.55276576330103</v>
      </c>
      <c r="L198" s="12">
        <f t="shared" si="264"/>
        <v>0.681614005953332</v>
      </c>
      <c r="M198" s="2">
        <f>E198*模块规划!$F$10+G198*模块规划!$F$11+H198*模块规划!$F$13</f>
        <v>5121.92220608129</v>
      </c>
      <c r="N198" s="2">
        <f>I198*模块规划!$F$15+J198*模块规划!$F$17+K198*模块规划!$F$16+L198*模块规划!$F$18</f>
        <v>17340.3315747437</v>
      </c>
      <c r="O198" s="2">
        <f t="shared" si="182"/>
        <v>3.28218083059301</v>
      </c>
      <c r="P198" s="13">
        <f t="shared" si="183"/>
        <v>34151.4064553324</v>
      </c>
      <c r="Q198" s="7">
        <f>P198/(P198+_曲线基线!$L$2)</f>
        <v>0.587284272850133</v>
      </c>
      <c r="R198" s="2">
        <f>E198*模块规划!$E$10+G198*模块规划!$E$11+H198*模块规划!$E$13</f>
        <v>7682.88330912194</v>
      </c>
      <c r="S198" s="2">
        <f>I198*模块规划!$E$15+J198*模块规划!$E$17+K198*模块规划!$E$16+L198*模块规划!$E$18</f>
        <v>26010.4973621155</v>
      </c>
      <c r="T198" s="2">
        <f t="shared" si="184"/>
        <v>3.28218083059301</v>
      </c>
      <c r="U198" s="13">
        <f t="shared" si="185"/>
        <v>51227.1096829986</v>
      </c>
      <c r="V198" s="2">
        <f t="shared" si="186"/>
        <v>0.904595042083945</v>
      </c>
      <c r="W198" s="2">
        <f t="shared" si="187"/>
        <v>0.27279338944526</v>
      </c>
      <c r="X198" s="2">
        <f t="shared" si="188"/>
        <v>0.462545455243616</v>
      </c>
      <c r="Y198" s="2">
        <f t="shared" si="189"/>
        <v>1</v>
      </c>
      <c r="Z198" s="2">
        <f t="shared" si="190"/>
        <v>1</v>
      </c>
      <c r="AA198" s="2">
        <f t="shared" si="191"/>
        <v>1</v>
      </c>
      <c r="AB198" s="2">
        <f t="shared" si="192"/>
        <v>1</v>
      </c>
      <c r="AC198" s="2">
        <f t="shared" si="193"/>
        <v>1</v>
      </c>
      <c r="AD198" s="1">
        <f t="shared" si="194"/>
        <v>1.85999416739153</v>
      </c>
      <c r="AE198" s="2">
        <f t="shared" si="195"/>
        <v>1</v>
      </c>
      <c r="AF198" s="2">
        <f t="shared" si="196"/>
        <v>1.20142324739647</v>
      </c>
      <c r="AG198" s="2">
        <f t="shared" si="197"/>
        <v>1.35696675510819</v>
      </c>
      <c r="AH198" s="2">
        <f>MIN(1,_曲线基线!$L$3+AH$9*($H$10*H198+$I$10*I198+$J$10*J198+$K$10*K198+$L$10*L198))</f>
        <v>0.508237887826965</v>
      </c>
      <c r="AI198" s="2">
        <f>_曲线基线!$L$4+AI$9*($H$10*H198+$I$10*I198+$J$10*J198+$K$10*K198+$L$10*L198)</f>
        <v>3.27651983037512</v>
      </c>
      <c r="AJ198" s="2">
        <f t="shared" si="198"/>
        <v>2.04740088646163</v>
      </c>
      <c r="AK198" s="1">
        <f t="shared" si="199"/>
        <v>4.41627161855274</v>
      </c>
      <c r="AL198" s="1">
        <f t="shared" si="200"/>
        <v>2103958.72688207</v>
      </c>
      <c r="AM198" s="14">
        <f t="shared" si="201"/>
        <v>42.2018690769427</v>
      </c>
      <c r="AN198" s="14">
        <f>(((E198*模块规划!$D$10+G198*模块规划!$D$11+H198*模块规划!$D$13)*(1+模块规划!$G$14*H198)+(I198*模块规划!$D$15+J198*模块规划!$D$17+K198*模块规划!$D$16+L198*模块规划!$D$18))*(1+模块规划!$J$17*J198))*F198/(1-Q198)</f>
        <v>2628053.77443295</v>
      </c>
      <c r="AO198" s="1">
        <f t="shared" si="202"/>
        <v>88790990.7351681</v>
      </c>
      <c r="AP198" s="1">
        <f>IF(AO198="","",_xlfn.XLOOKUP(AO198,_曲线基线!$E$3:$E$502,_曲线基线!$A$3:$A$502,500,1))</f>
        <v>278</v>
      </c>
      <c r="AQ198" s="15">
        <f t="shared" si="205"/>
        <v>5</v>
      </c>
    </row>
    <row r="199" customHeight="1" spans="1:43">
      <c r="A199" s="1" t="str">
        <f>IFERROR(_xlfn.XLOOKUP(B199,_曲线基线!$G$3:$G$107,_曲线基线!$J$3:$J$107,""),"")</f>
        <v/>
      </c>
      <c r="B199" s="1">
        <v>188</v>
      </c>
      <c r="C199" s="1">
        <f t="shared" si="243"/>
        <v>13</v>
      </c>
      <c r="D199" s="1">
        <f t="shared" si="244"/>
        <v>14</v>
      </c>
      <c r="E199" s="1">
        <f t="shared" si="180"/>
        <v>1</v>
      </c>
      <c r="F199" s="11">
        <f t="shared" si="203"/>
        <v>5</v>
      </c>
      <c r="G199" s="12">
        <f t="shared" ref="G199:L199" si="265">IF($B199&lt;G$8,0,G$3+(G$4-G$3)*(POWER(G$5,$B199-G$8)-1)/(POWER(G$5,$C$5-G$8)-1))</f>
        <v>0.859557976494095</v>
      </c>
      <c r="H199" s="12">
        <f t="shared" si="265"/>
        <v>0.682410346380398</v>
      </c>
      <c r="I199" s="12">
        <f t="shared" si="265"/>
        <v>0.604774027986113</v>
      </c>
      <c r="J199" s="12">
        <f t="shared" si="265"/>
        <v>0.579131957764032</v>
      </c>
      <c r="K199" s="12">
        <f t="shared" si="265"/>
        <v>0.555069572969983</v>
      </c>
      <c r="L199" s="12">
        <f t="shared" si="265"/>
        <v>0.682049632665651</v>
      </c>
      <c r="M199" s="2">
        <f>E199*模块规划!$F$10+G199*模块规划!$F$11+H199*模块规划!$F$13</f>
        <v>5125.87828717165</v>
      </c>
      <c r="N199" s="2">
        <f>I199*模块规划!$F$15+J199*模块规划!$F$17+K199*模块规划!$F$16+L199*模块规划!$F$18</f>
        <v>17370.1774026774</v>
      </c>
      <c r="O199" s="2">
        <f t="shared" si="182"/>
        <v>3.28547449349228</v>
      </c>
      <c r="P199" s="13">
        <f t="shared" si="183"/>
        <v>34211.1197719257</v>
      </c>
      <c r="Q199" s="7">
        <f>P199/(P199+_曲线基线!$L$2)</f>
        <v>0.587707639124049</v>
      </c>
      <c r="R199" s="2">
        <f>E199*模块规划!$E$10+G199*模块规划!$E$11+H199*模块规划!$E$13</f>
        <v>7688.81743075748</v>
      </c>
      <c r="S199" s="2">
        <f>I199*模块规划!$E$15+J199*模块规划!$E$17+K199*模块规划!$E$16+L199*模块规划!$E$18</f>
        <v>26055.2661040161</v>
      </c>
      <c r="T199" s="2">
        <f t="shared" si="184"/>
        <v>3.28547449349228</v>
      </c>
      <c r="U199" s="13">
        <f t="shared" si="185"/>
        <v>51316.6796578886</v>
      </c>
      <c r="V199" s="2">
        <f t="shared" si="186"/>
        <v>0.904723103914119</v>
      </c>
      <c r="W199" s="2">
        <f t="shared" si="187"/>
        <v>0.272964138552159</v>
      </c>
      <c r="X199" s="2">
        <f t="shared" si="188"/>
        <v>0.46266284525461</v>
      </c>
      <c r="Y199" s="2">
        <f t="shared" si="189"/>
        <v>1</v>
      </c>
      <c r="Z199" s="2">
        <f t="shared" si="190"/>
        <v>1</v>
      </c>
      <c r="AA199" s="2">
        <f t="shared" si="191"/>
        <v>1</v>
      </c>
      <c r="AB199" s="2">
        <f t="shared" si="192"/>
        <v>1</v>
      </c>
      <c r="AC199" s="2">
        <f t="shared" si="193"/>
        <v>1</v>
      </c>
      <c r="AD199" s="1">
        <f t="shared" si="194"/>
        <v>1.86080436850289</v>
      </c>
      <c r="AE199" s="2">
        <f t="shared" si="195"/>
        <v>1</v>
      </c>
      <c r="AF199" s="2">
        <f t="shared" si="196"/>
        <v>1.20171394315033</v>
      </c>
      <c r="AG199" s="2">
        <f t="shared" si="197"/>
        <v>1.35748193258309</v>
      </c>
      <c r="AH199" s="2">
        <f>MIN(1,_曲线基线!$L$3+AH$9*($H$10*H199+$I$10*I199+$J$10*J199+$K$10*K199+$L$10*L199))</f>
        <v>0.508899220667003</v>
      </c>
      <c r="AI199" s="2">
        <f>_曲线基线!$L$4+AI$9*($H$10*H199+$I$10*I199+$J$10*J199+$K$10*K199+$L$10*L199)</f>
        <v>3.27836211471522</v>
      </c>
      <c r="AJ199" s="2">
        <f t="shared" si="198"/>
        <v>2.04891250438172</v>
      </c>
      <c r="AK199" s="1">
        <f t="shared" si="199"/>
        <v>4.42453784467631</v>
      </c>
      <c r="AL199" s="1">
        <f t="shared" si="200"/>
        <v>2112502.26801231</v>
      </c>
      <c r="AM199" s="14">
        <f t="shared" si="201"/>
        <v>42.287312407634</v>
      </c>
      <c r="AN199" s="14">
        <f>(((E199*模块规划!$D$10+G199*模块规划!$D$11+H199*模块规划!$D$13)*(1+模块规划!$G$14*H199)+(I199*模块规划!$D$15+J199*模块规划!$D$17+K199*模块规划!$D$16+L199*模块规划!$D$18))*(1+模块规划!$J$17*J199))*F199/(1-Q199)</f>
        <v>2635621.99859631</v>
      </c>
      <c r="AO199" s="1">
        <f t="shared" si="202"/>
        <v>89332043.369272</v>
      </c>
      <c r="AP199" s="1">
        <f>IF(AO199="","",_xlfn.XLOOKUP(AO199,_曲线基线!$E$3:$E$502,_曲线基线!$A$3:$A$502,500,1))</f>
        <v>279</v>
      </c>
      <c r="AQ199" s="15">
        <f t="shared" si="205"/>
        <v>5</v>
      </c>
    </row>
    <row r="200" customHeight="1" spans="1:43">
      <c r="A200" s="1" t="str">
        <f>IFERROR(_xlfn.XLOOKUP(B200,_曲线基线!$G$3:$G$107,_曲线基线!$J$3:$J$107,""),"")</f>
        <v/>
      </c>
      <c r="B200" s="1">
        <v>189</v>
      </c>
      <c r="C200" s="1">
        <f t="shared" si="243"/>
        <v>13</v>
      </c>
      <c r="D200" s="1">
        <f t="shared" si="244"/>
        <v>15</v>
      </c>
      <c r="E200" s="1">
        <f t="shared" si="180"/>
        <v>1</v>
      </c>
      <c r="F200" s="11">
        <f t="shared" si="203"/>
        <v>5</v>
      </c>
      <c r="G200" s="12">
        <f t="shared" ref="G200:L200" si="266">IF($B200&lt;G$8,0,G$3+(G$4-G$3)*(POWER(G$5,$B200-G$8)-1)/(POWER(G$5,$C$5-G$8)-1))</f>
        <v>0.860369797301179</v>
      </c>
      <c r="H200" s="12">
        <f t="shared" si="266"/>
        <v>0.682828681692302</v>
      </c>
      <c r="I200" s="12">
        <f t="shared" si="266"/>
        <v>0.605849638769459</v>
      </c>
      <c r="J200" s="12">
        <f t="shared" si="266"/>
        <v>0.579628263100475</v>
      </c>
      <c r="K200" s="12">
        <f t="shared" si="266"/>
        <v>0.557327306445557</v>
      </c>
      <c r="L200" s="12">
        <f t="shared" si="266"/>
        <v>0.682476546843723</v>
      </c>
      <c r="M200" s="2">
        <f>E200*模块规划!$F$10+G200*模块规划!$F$11+H200*模块规划!$F$13</f>
        <v>5129.77502704566</v>
      </c>
      <c r="N200" s="2">
        <f>I200*模块规划!$F$15+J200*模块规划!$F$17+K200*模块规划!$F$16+L200*模块规划!$F$18</f>
        <v>17399.4263140524</v>
      </c>
      <c r="O200" s="2">
        <f t="shared" si="182"/>
        <v>3.28870228313357</v>
      </c>
      <c r="P200" s="13">
        <f t="shared" si="183"/>
        <v>34269.729157459</v>
      </c>
      <c r="Q200" s="7">
        <f>P200/(P200+_曲线基线!$L$2)</f>
        <v>0.588122334752129</v>
      </c>
      <c r="R200" s="2">
        <f>E200*模块规划!$E$10+G200*模块规划!$E$11+H200*模块规划!$E$13</f>
        <v>7694.66254056849</v>
      </c>
      <c r="S200" s="2">
        <f>I200*模块规划!$E$15+J200*模块规划!$E$17+K200*模块规划!$E$16+L200*模块规划!$E$18</f>
        <v>26099.1394710786</v>
      </c>
      <c r="T200" s="2">
        <f t="shared" si="184"/>
        <v>3.28870228313357</v>
      </c>
      <c r="U200" s="13">
        <f t="shared" si="185"/>
        <v>51404.5937361885</v>
      </c>
      <c r="V200" s="2">
        <f t="shared" si="186"/>
        <v>0.904848604507691</v>
      </c>
      <c r="W200" s="2">
        <f t="shared" si="187"/>
        <v>0.273131472676921</v>
      </c>
      <c r="X200" s="2">
        <f t="shared" si="188"/>
        <v>0.462777887465383</v>
      </c>
      <c r="Y200" s="2">
        <f t="shared" si="189"/>
        <v>1</v>
      </c>
      <c r="Z200" s="2">
        <f t="shared" si="190"/>
        <v>1</v>
      </c>
      <c r="AA200" s="2">
        <f t="shared" si="191"/>
        <v>1</v>
      </c>
      <c r="AB200" s="2">
        <f t="shared" si="192"/>
        <v>1</v>
      </c>
      <c r="AC200" s="2">
        <f t="shared" si="193"/>
        <v>1</v>
      </c>
      <c r="AD200" s="1">
        <f t="shared" si="194"/>
        <v>1.86159857925476</v>
      </c>
      <c r="AE200" s="2">
        <f t="shared" si="195"/>
        <v>1</v>
      </c>
      <c r="AF200" s="2">
        <f t="shared" si="196"/>
        <v>1.20199882498912</v>
      </c>
      <c r="AG200" s="2">
        <f t="shared" si="197"/>
        <v>1.35798680650849</v>
      </c>
      <c r="AH200" s="2">
        <f>MIN(1,_曲线基线!$L$3+AH$9*($H$10*H200+$I$10*I200+$J$10*J200+$K$10*K200+$L$10*L200))</f>
        <v>0.509547326850242</v>
      </c>
      <c r="AI200" s="2">
        <f>_曲线基线!$L$4+AI$9*($H$10*H200+$I$10*I200+$J$10*J200+$K$10*K200+$L$10*L200)</f>
        <v>3.28016755336853</v>
      </c>
      <c r="AJ200" s="2">
        <f t="shared" si="198"/>
        <v>2.05039388994341</v>
      </c>
      <c r="AK200" s="1">
        <f t="shared" si="199"/>
        <v>4.4326507595254</v>
      </c>
      <c r="AL200" s="1">
        <f t="shared" si="200"/>
        <v>2120906.33689719</v>
      </c>
      <c r="AM200" s="14">
        <f t="shared" si="201"/>
        <v>42.3736101716322</v>
      </c>
      <c r="AN200" s="14">
        <f>(((E200*模块规划!$D$10+G200*模块规划!$D$11+H200*模块规划!$D$13)*(1+模块规划!$G$14*H200)+(I200*模块规划!$D$15+J200*模块规划!$D$17+K200*模块规划!$D$16+L200*模块规划!$D$18))*(1+模块规划!$J$17*J200))*F200/(1-Q200)</f>
        <v>2643058.97300479</v>
      </c>
      <c r="AO200" s="1">
        <f t="shared" si="202"/>
        <v>89870458.3302261</v>
      </c>
      <c r="AP200" s="1">
        <f>IF(AO200="","",_xlfn.XLOOKUP(AO200,_曲线基线!$E$3:$E$502,_曲线基线!$A$3:$A$502,500,1))</f>
        <v>279</v>
      </c>
      <c r="AQ200" s="15">
        <f t="shared" si="205"/>
        <v>5</v>
      </c>
    </row>
    <row r="201" customHeight="1" spans="1:43">
      <c r="A201" s="1" t="str">
        <f>IFERROR(_xlfn.XLOOKUP(B201,_曲线基线!$G$3:$G$107,_曲线基线!$J$3:$J$107,""),"")</f>
        <v/>
      </c>
      <c r="B201" s="1">
        <v>190</v>
      </c>
      <c r="C201" s="1">
        <f t="shared" si="243"/>
        <v>14</v>
      </c>
      <c r="D201" s="1">
        <f t="shared" si="244"/>
        <v>1</v>
      </c>
      <c r="E201" s="1">
        <f t="shared" si="180"/>
        <v>1</v>
      </c>
      <c r="F201" s="11">
        <f t="shared" si="203"/>
        <v>5</v>
      </c>
      <c r="G201" s="12">
        <f t="shared" ref="G201:L201" si="267">IF($B201&lt;G$8,0,G$3+(G$4-G$3)*(POWER(G$5,$B201-G$8)-1)/(POWER(G$5,$C$5-G$8)-1))</f>
        <v>0.861169440796157</v>
      </c>
      <c r="H201" s="12">
        <f t="shared" si="267"/>
        <v>0.683238650297967</v>
      </c>
      <c r="I201" s="12">
        <f t="shared" si="267"/>
        <v>0.606903737337138</v>
      </c>
      <c r="J201" s="12">
        <f t="shared" si="267"/>
        <v>0.58011464233019</v>
      </c>
      <c r="K201" s="12">
        <f t="shared" si="267"/>
        <v>0.55953988525162</v>
      </c>
      <c r="L201" s="12">
        <f t="shared" si="267"/>
        <v>0.682894922738235</v>
      </c>
      <c r="M201" s="2">
        <f>E201*模块规划!$F$10+G201*模块规划!$F$11+H201*模块规划!$F$13</f>
        <v>5133.61331582156</v>
      </c>
      <c r="N201" s="2">
        <f>I201*模块规划!$F$15+J201*模块规划!$F$17+K201*模块规划!$F$16+L201*模块规划!$F$18</f>
        <v>17428.0902471999</v>
      </c>
      <c r="O201" s="2">
        <f t="shared" si="182"/>
        <v>3.29186551698204</v>
      </c>
      <c r="P201" s="13">
        <f t="shared" si="183"/>
        <v>34327.2548990727</v>
      </c>
      <c r="Q201" s="7">
        <f>P201/(P201+_曲线基线!$L$2)</f>
        <v>0.588528552534682</v>
      </c>
      <c r="R201" s="2">
        <f>E201*模块规划!$E$10+G201*模块规划!$E$11+H201*模块规划!$E$13</f>
        <v>7700.41997373233</v>
      </c>
      <c r="S201" s="2">
        <f>I201*模块规划!$E$15+J201*模块规划!$E$17+K201*模块规划!$E$16+L201*模块规划!$E$18</f>
        <v>26142.1353707998</v>
      </c>
      <c r="T201" s="2">
        <f t="shared" si="184"/>
        <v>3.29186551698204</v>
      </c>
      <c r="U201" s="13">
        <f t="shared" si="185"/>
        <v>51490.8823486091</v>
      </c>
      <c r="V201" s="2">
        <f t="shared" si="186"/>
        <v>0.90497159508939</v>
      </c>
      <c r="W201" s="2">
        <f t="shared" si="187"/>
        <v>0.273295460119187</v>
      </c>
      <c r="X201" s="2">
        <f t="shared" si="188"/>
        <v>0.462890628831941</v>
      </c>
      <c r="Y201" s="2">
        <f t="shared" si="189"/>
        <v>1</v>
      </c>
      <c r="Z201" s="2">
        <f t="shared" si="190"/>
        <v>1</v>
      </c>
      <c r="AA201" s="2">
        <f t="shared" si="191"/>
        <v>1</v>
      </c>
      <c r="AB201" s="2">
        <f t="shared" si="192"/>
        <v>1</v>
      </c>
      <c r="AC201" s="2">
        <f t="shared" si="193"/>
        <v>1</v>
      </c>
      <c r="AD201" s="1">
        <f t="shared" si="194"/>
        <v>1.86237711099329</v>
      </c>
      <c r="AE201" s="2">
        <f t="shared" si="195"/>
        <v>1</v>
      </c>
      <c r="AF201" s="2">
        <f t="shared" si="196"/>
        <v>1.20227800919113</v>
      </c>
      <c r="AG201" s="2">
        <f t="shared" si="197"/>
        <v>1.35848158295539</v>
      </c>
      <c r="AH201" s="2">
        <f>MIN(1,_曲线基线!$L$3+AH$9*($H$10*H201+$I$10*I201+$J$10*J201+$K$10*K201+$L$10*L201))</f>
        <v>0.510182470909815</v>
      </c>
      <c r="AI201" s="2">
        <f>_曲线基线!$L$4+AI$9*($H$10*H201+$I$10*I201+$J$10*J201+$K$10*K201+$L$10*L201)</f>
        <v>3.28193688324877</v>
      </c>
      <c r="AJ201" s="2">
        <f t="shared" si="198"/>
        <v>2.05184564779386</v>
      </c>
      <c r="AK201" s="1">
        <f t="shared" si="199"/>
        <v>4.44061296369269</v>
      </c>
      <c r="AL201" s="1">
        <f t="shared" si="200"/>
        <v>2129172.68589919</v>
      </c>
      <c r="AM201" s="14">
        <f t="shared" si="201"/>
        <v>42.4607709132704</v>
      </c>
      <c r="AN201" s="14">
        <f>(((E201*模块规划!$D$10+G201*模块规划!$D$11+H201*模块规划!$D$13)*(1+模块规划!$G$14*H201)+(I201*模块规划!$D$15+J201*模块规划!$D$17+K201*模块规划!$D$16+L201*模块规划!$D$18))*(1+模块规划!$J$17*J201))*F201/(1-Q201)</f>
        <v>2650366.7337846</v>
      </c>
      <c r="AO201" s="1">
        <f t="shared" si="202"/>
        <v>90406313.650758</v>
      </c>
      <c r="AP201" s="1">
        <f>IF(AO201="","",_xlfn.XLOOKUP(AO201,_曲线基线!$E$3:$E$502,_曲线基线!$A$3:$A$502,500,1))</f>
        <v>280</v>
      </c>
      <c r="AQ201" s="15">
        <f t="shared" si="205"/>
        <v>5</v>
      </c>
    </row>
    <row r="202" customHeight="1" spans="1:43">
      <c r="A202" s="1" t="str">
        <f>IFERROR(_xlfn.XLOOKUP(B202,_曲线基线!$G$3:$G$107,_曲线基线!$J$3:$J$107,""),"")</f>
        <v/>
      </c>
      <c r="B202" s="1">
        <v>191</v>
      </c>
      <c r="C202" s="1">
        <f t="shared" si="243"/>
        <v>14</v>
      </c>
      <c r="D202" s="1">
        <f t="shared" si="244"/>
        <v>2</v>
      </c>
      <c r="E202" s="1">
        <f t="shared" si="180"/>
        <v>1</v>
      </c>
      <c r="F202" s="11">
        <f t="shared" si="203"/>
        <v>5</v>
      </c>
      <c r="G202" s="12">
        <f t="shared" ref="G202:L202" si="268">IF($B202&lt;G$8,0,G$3+(G$4-G$3)*(POWER(G$5,$B202-G$8)-1)/(POWER(G$5,$C$5-G$8)-1))</f>
        <v>0.861957089638711</v>
      </c>
      <c r="H202" s="12">
        <f t="shared" si="268"/>
        <v>0.683640419531519</v>
      </c>
      <c r="I202" s="12">
        <f t="shared" si="268"/>
        <v>0.607936753933463</v>
      </c>
      <c r="J202" s="12">
        <f t="shared" si="268"/>
        <v>0.58059129397531</v>
      </c>
      <c r="K202" s="12">
        <f t="shared" si="268"/>
        <v>0.561708212481561</v>
      </c>
      <c r="L202" s="12">
        <f t="shared" si="268"/>
        <v>0.683304931114856</v>
      </c>
      <c r="M202" s="2">
        <f>E202*模块规划!$F$10+G202*模块规划!$F$11+H202*模块规划!$F$13</f>
        <v>5137.39403026581</v>
      </c>
      <c r="N202" s="2">
        <f>I202*模块规划!$F$15+J202*模块规划!$F$17+K202*模块规划!$F$16+L202*模块规划!$F$18</f>
        <v>17456.1809016844</v>
      </c>
      <c r="O202" s="2">
        <f t="shared" si="182"/>
        <v>3.29496548615353</v>
      </c>
      <c r="P202" s="13">
        <f t="shared" si="183"/>
        <v>34383.7169201815</v>
      </c>
      <c r="Q202" s="7">
        <f>P202/(P202+_曲线基线!$L$2)</f>
        <v>0.588926480429273</v>
      </c>
      <c r="R202" s="2">
        <f>E202*模块规划!$E$10+G202*模块规划!$E$11+H202*模块规划!$E$13</f>
        <v>7706.09104539872</v>
      </c>
      <c r="S202" s="2">
        <f>I202*模块规划!$E$15+J202*模块规划!$E$17+K202*模块规划!$E$16+L202*模块规划!$E$18</f>
        <v>26184.2713525267</v>
      </c>
      <c r="T202" s="2">
        <f t="shared" si="184"/>
        <v>3.29496548615353</v>
      </c>
      <c r="U202" s="13">
        <f t="shared" si="185"/>
        <v>51575.5753802722</v>
      </c>
      <c r="V202" s="2">
        <f t="shared" si="186"/>
        <v>0.905092125859456</v>
      </c>
      <c r="W202" s="2">
        <f t="shared" si="187"/>
        <v>0.273456167812608</v>
      </c>
      <c r="X202" s="2">
        <f t="shared" si="188"/>
        <v>0.463001115371168</v>
      </c>
      <c r="Y202" s="2">
        <f t="shared" si="189"/>
        <v>1</v>
      </c>
      <c r="Z202" s="2">
        <f t="shared" si="190"/>
        <v>1</v>
      </c>
      <c r="AA202" s="2">
        <f t="shared" si="191"/>
        <v>1</v>
      </c>
      <c r="AB202" s="2">
        <f t="shared" si="192"/>
        <v>1</v>
      </c>
      <c r="AC202" s="2">
        <f t="shared" si="193"/>
        <v>1</v>
      </c>
      <c r="AD202" s="1">
        <f t="shared" si="194"/>
        <v>1.86314026917276</v>
      </c>
      <c r="AE202" s="2">
        <f t="shared" si="195"/>
        <v>1</v>
      </c>
      <c r="AF202" s="2">
        <f t="shared" si="196"/>
        <v>1.2025516097091</v>
      </c>
      <c r="AG202" s="2">
        <f t="shared" si="197"/>
        <v>1.35896646387335</v>
      </c>
      <c r="AH202" s="2">
        <f>MIN(1,_曲线基线!$L$3+AH$9*($H$10*H202+$I$10*I202+$J$10*J202+$K$10*K202+$L$10*L202))</f>
        <v>0.510804912088197</v>
      </c>
      <c r="AI202" s="2">
        <f>_曲线基线!$L$4+AI$9*($H$10*H202+$I$10*I202+$J$10*J202+$K$10*K202+$L$10*L202)</f>
        <v>3.2836708265314</v>
      </c>
      <c r="AJ202" s="2">
        <f t="shared" si="198"/>
        <v>2.05326837048731</v>
      </c>
      <c r="AK202" s="1">
        <f t="shared" si="199"/>
        <v>4.44842702360457</v>
      </c>
      <c r="AL202" s="1">
        <f t="shared" si="200"/>
        <v>2137303.06715915</v>
      </c>
      <c r="AM202" s="14">
        <f t="shared" si="201"/>
        <v>42.548803262325</v>
      </c>
      <c r="AN202" s="14">
        <f>(((E202*模块规划!$D$10+G202*模块规划!$D$11+H202*模块规划!$D$13)*(1+模块规划!$G$14*H202)+(I202*模块规划!$D$15+J202*模块规划!$D$17+K202*模块规划!$D$16+L202*模块规划!$D$18))*(1+模块规划!$J$17*J202))*F202/(1-Q202)</f>
        <v>2657547.29556812</v>
      </c>
      <c r="AO202" s="1">
        <f t="shared" si="202"/>
        <v>90939687.7165186</v>
      </c>
      <c r="AP202" s="1">
        <f>IF(AO202="","",_xlfn.XLOOKUP(AO202,_曲线基线!$E$3:$E$502,_曲线基线!$A$3:$A$502,500,1))</f>
        <v>280</v>
      </c>
      <c r="AQ202" s="15">
        <f t="shared" si="205"/>
        <v>5</v>
      </c>
    </row>
    <row r="203" customHeight="1" spans="1:43">
      <c r="A203" s="1" t="str">
        <f>IFERROR(_xlfn.XLOOKUP(B203,_曲线基线!$G$3:$G$107,_曲线基线!$J$3:$J$107,""),"")</f>
        <v/>
      </c>
      <c r="B203" s="1">
        <v>192</v>
      </c>
      <c r="C203" s="1">
        <f t="shared" si="243"/>
        <v>14</v>
      </c>
      <c r="D203" s="1">
        <f t="shared" si="244"/>
        <v>3</v>
      </c>
      <c r="E203" s="1">
        <f t="shared" si="180"/>
        <v>1</v>
      </c>
      <c r="F203" s="11">
        <f t="shared" si="203"/>
        <v>5</v>
      </c>
      <c r="G203" s="12">
        <f t="shared" ref="G203:L203" si="269">IF($B203&lt;G$8,0,G$3+(G$4-G$3)*(POWER(G$5,$B203-G$8)-1)/(POWER(G$5,$C$5-G$8)-1))</f>
        <v>0.862732923748626</v>
      </c>
      <c r="H203" s="12">
        <f t="shared" si="269"/>
        <v>0.6840341533804</v>
      </c>
      <c r="I203" s="12">
        <f t="shared" si="269"/>
        <v>0.608949110197862</v>
      </c>
      <c r="J203" s="12">
        <f t="shared" si="269"/>
        <v>0.581058412587528</v>
      </c>
      <c r="K203" s="12">
        <f t="shared" si="269"/>
        <v>0.563833173166903</v>
      </c>
      <c r="L203" s="12">
        <f t="shared" si="269"/>
        <v>0.683706739323944</v>
      </c>
      <c r="M203" s="2">
        <f>E203*模块规划!$F$10+G203*模块规划!$F$11+H203*模块规划!$F$13</f>
        <v>5141.11803399341</v>
      </c>
      <c r="N203" s="2">
        <f>I203*模块规划!$F$15+J203*模块规划!$F$17+K203*模块规划!$F$16+L203*模块规划!$F$18</f>
        <v>17483.7097430793</v>
      </c>
      <c r="O203" s="2">
        <f t="shared" si="182"/>
        <v>3.2980034559416</v>
      </c>
      <c r="P203" s="13">
        <f t="shared" si="183"/>
        <v>34439.1347865933</v>
      </c>
      <c r="Q203" s="7">
        <f>P203/(P203+_曲线基线!$L$2)</f>
        <v>0.589316301693332</v>
      </c>
      <c r="R203" s="2">
        <f>E203*模块规划!$E$10+G203*模块规划!$E$11+H203*模块规划!$E$13</f>
        <v>7711.67705099011</v>
      </c>
      <c r="S203" s="2">
        <f>I203*模块规划!$E$15+J203*模块规划!$E$17+K203*模块规划!$E$16+L203*模块规划!$E$18</f>
        <v>26225.564614619</v>
      </c>
      <c r="T203" s="2">
        <f t="shared" si="184"/>
        <v>3.2980034559416</v>
      </c>
      <c r="U203" s="13">
        <f t="shared" si="185"/>
        <v>51658.7021798899</v>
      </c>
      <c r="V203" s="2">
        <f t="shared" si="186"/>
        <v>0.90521024601412</v>
      </c>
      <c r="W203" s="2">
        <f t="shared" si="187"/>
        <v>0.27361366135216</v>
      </c>
      <c r="X203" s="2">
        <f t="shared" si="188"/>
        <v>0.46310939217961</v>
      </c>
      <c r="Y203" s="2">
        <f t="shared" si="189"/>
        <v>1</v>
      </c>
      <c r="Z203" s="2">
        <f t="shared" si="190"/>
        <v>1</v>
      </c>
      <c r="AA203" s="2">
        <f t="shared" si="191"/>
        <v>1</v>
      </c>
      <c r="AB203" s="2">
        <f t="shared" si="192"/>
        <v>1</v>
      </c>
      <c r="AC203" s="2">
        <f t="shared" si="193"/>
        <v>1</v>
      </c>
      <c r="AD203" s="1">
        <f t="shared" si="194"/>
        <v>1.86388835346015</v>
      </c>
      <c r="AE203" s="2">
        <f t="shared" si="195"/>
        <v>1</v>
      </c>
      <c r="AF203" s="2">
        <f t="shared" si="196"/>
        <v>1.20281973821671</v>
      </c>
      <c r="AG203" s="2">
        <f t="shared" si="197"/>
        <v>1.35944164717295</v>
      </c>
      <c r="AH203" s="2">
        <f>MIN(1,_曲线基线!$L$3+AH$9*($H$10*H203+$I$10*I203+$J$10*J203+$K$10*K203+$L$10*L203))</f>
        <v>0.511414904443011</v>
      </c>
      <c r="AI203" s="2">
        <f>_曲线基线!$L$4+AI$9*($H$10*H203+$I$10*I203+$J$10*J203+$K$10*K203+$L$10*L203)</f>
        <v>3.28537009094839</v>
      </c>
      <c r="AJ203" s="2">
        <f t="shared" si="198"/>
        <v>2.05466263872688</v>
      </c>
      <c r="AK203" s="1">
        <f t="shared" si="199"/>
        <v>4.4560954715327</v>
      </c>
      <c r="AL203" s="1">
        <f t="shared" si="200"/>
        <v>2145299.23147807</v>
      </c>
      <c r="AM203" s="14">
        <f t="shared" si="201"/>
        <v>42.6377159348701</v>
      </c>
      <c r="AN203" s="14">
        <f>(((E203*模块规划!$D$10+G203*模块规划!$D$11+H203*模块规划!$D$13)*(1+模块规划!$G$14*H203)+(I203*模块规划!$D$15+J203*模块规划!$D$17+K203*模块规划!$D$16+L203*模块规划!$D$18))*(1+模块规划!$J$17*J203))*F203/(1-Q203)</f>
        <v>2664602.6512679</v>
      </c>
      <c r="AO203" s="1">
        <f t="shared" si="202"/>
        <v>91470659.2270573</v>
      </c>
      <c r="AP203" s="1">
        <f>IF(AO203="","",_xlfn.XLOOKUP(AO203,_曲线基线!$E$3:$E$502,_曲线基线!$A$3:$A$502,500,1))</f>
        <v>281</v>
      </c>
      <c r="AQ203" s="15">
        <f t="shared" si="205"/>
        <v>5</v>
      </c>
    </row>
    <row r="204" customHeight="1" spans="1:43">
      <c r="A204" s="1" t="str">
        <f>IFERROR(_xlfn.XLOOKUP(B204,_曲线基线!$G$3:$G$107,_曲线基线!$J$3:$J$107,""),"")</f>
        <v/>
      </c>
      <c r="B204" s="1">
        <v>193</v>
      </c>
      <c r="C204" s="1">
        <f t="shared" si="243"/>
        <v>14</v>
      </c>
      <c r="D204" s="1">
        <f t="shared" si="244"/>
        <v>4</v>
      </c>
      <c r="E204" s="1">
        <f t="shared" ref="E204:E267" si="270">IF($B204&lt;E$8,0,E$3+(E$4-E$3)*(POWER(E$5,$B204-E$8)-1)/(POWER(E$5,$C$5-E$8)-1))</f>
        <v>1</v>
      </c>
      <c r="F204" s="11">
        <f t="shared" si="203"/>
        <v>5</v>
      </c>
      <c r="G204" s="12">
        <f t="shared" ref="G204:L204" si="271">IF($B204&lt;G$8,0,G$3+(G$4-G$3)*(POWER(G$5,$B204-G$8)-1)/(POWER(G$5,$C$5-G$8)-1))</f>
        <v>0.863497120346893</v>
      </c>
      <c r="H204" s="12">
        <f t="shared" si="271"/>
        <v>0.684420012552304</v>
      </c>
      <c r="I204" s="12">
        <f t="shared" si="271"/>
        <v>0.609941219336973</v>
      </c>
      <c r="J204" s="12">
        <f t="shared" si="271"/>
        <v>0.581516188827501</v>
      </c>
      <c r="K204" s="12">
        <f t="shared" si="271"/>
        <v>0.565915634638539</v>
      </c>
      <c r="L204" s="12">
        <f t="shared" si="271"/>
        <v>0.684100511368851</v>
      </c>
      <c r="M204" s="2">
        <f>E204*模块规划!$F$10+G204*模块规划!$F$11+H204*模块规划!$F$13</f>
        <v>5144.78617766508</v>
      </c>
      <c r="N204" s="2">
        <f>I204*模块规划!$F$15+J204*模块规划!$F$17+K204*模块规划!$F$16+L204*模块规划!$F$18</f>
        <v>17510.6880076463</v>
      </c>
      <c r="O204" s="2">
        <f t="shared" ref="O204:O267" si="272">1+O$9*SUMPRODUCT($H$10:$L$10,H204:L204)/SUM($H$10:$L$10)</f>
        <v>3.3009806663339</v>
      </c>
      <c r="P204" s="13">
        <f t="shared" ref="P204:P267" si="273">M204*O204+N204</f>
        <v>34493.5277125406</v>
      </c>
      <c r="Q204" s="7">
        <f>P204/(P204+_曲线基线!$L$2)</f>
        <v>0.589698195021762</v>
      </c>
      <c r="R204" s="2">
        <f>E204*模块规划!$E$10+G204*模块规划!$E$11+H204*模块规划!$E$13</f>
        <v>7717.17926649763</v>
      </c>
      <c r="S204" s="2">
        <f>I204*模块规划!$E$15+J204*模块规划!$E$17+K204*模块规划!$E$16+L204*模块规划!$E$18</f>
        <v>26266.0320114694</v>
      </c>
      <c r="T204" s="2">
        <f t="shared" ref="T204:T267" si="274">1+T$9*SUMPRODUCT($H$10:$L$10,H204:L204)/SUM($H$10:$L$10)</f>
        <v>3.3009806663339</v>
      </c>
      <c r="U204" s="13">
        <f t="shared" ref="U204:U267" si="275">R204*T204+S204</f>
        <v>51740.2915688109</v>
      </c>
      <c r="V204" s="2">
        <f t="shared" ref="V204:V267" si="276">V$8+(V$9-V$8)*H204</f>
        <v>0.905326003765691</v>
      </c>
      <c r="W204" s="2">
        <f t="shared" ref="W204:W267" si="277">IF(B204&lt;$H$8,0,W$8+(W$9-W$8)*H204)</f>
        <v>0.273768005020921</v>
      </c>
      <c r="X204" s="2">
        <f t="shared" ref="X204:X267" si="278">X$8+(X$9-X$8)*H204</f>
        <v>0.463215503451884</v>
      </c>
      <c r="Y204" s="2">
        <f t="shared" ref="Y204:Y267" si="279">Y$8+(Y$9-Y$8)*G204</f>
        <v>1</v>
      </c>
      <c r="Z204" s="2">
        <f t="shared" ref="Z204:Z267" si="280">Z$8+(Z$9-Z$8)*H204</f>
        <v>1</v>
      </c>
      <c r="AA204" s="2">
        <f t="shared" ref="AA204:AA267" si="281">AA$8+(AA$9-AA$8)*I204</f>
        <v>1</v>
      </c>
      <c r="AB204" s="2">
        <f t="shared" ref="AB204:AB267" si="282">AB$8+(AB$9-AB$8)*J204</f>
        <v>1</v>
      </c>
      <c r="AC204" s="2">
        <f t="shared" ref="AC204:AC267" si="283">AC$8+(AC$9-AC$8)*MAX(K204,L204)</f>
        <v>1</v>
      </c>
      <c r="AD204" s="1">
        <f t="shared" ref="AD204:AD267" si="284">(V204*AE204+W204*AF204+X204*AG204)*PRODUCT(Y204:AC204)</f>
        <v>1.86462165783815</v>
      </c>
      <c r="AE204" s="2">
        <f t="shared" ref="AE204:AE267" si="285">1+AE$9*($H$10*H204+$I$10*I204+$J$10*J204+$K$10*K204+$L$10*L204)</f>
        <v>1</v>
      </c>
      <c r="AF204" s="2">
        <f t="shared" ref="AF204:AF267" si="286">1+AF$9*($H$10*H204+$I$10*I204+$J$10*J204+$K$10*K204+$L$10*L204)</f>
        <v>1.20308250415417</v>
      </c>
      <c r="AG204" s="2">
        <f t="shared" ref="AG204:AG267" si="287">1+AG$9*($H$10*H204+$I$10*I204+$J$10*J204+$K$10*K204+$L$10*L204)</f>
        <v>1.35990732680655</v>
      </c>
      <c r="AH204" s="2">
        <f>MIN(1,_曲线基线!$L$3+AH$9*($H$10*H204+$I$10*I204+$J$10*J204+$K$10*K204+$L$10*L204))</f>
        <v>0.512012696950729</v>
      </c>
      <c r="AI204" s="2">
        <f>_曲线基线!$L$4+AI$9*($H$10*H204+$I$10*I204+$J$10*J204+$K$10*K204+$L$10*L204)</f>
        <v>3.28703537007703</v>
      </c>
      <c r="AJ204" s="2">
        <f t="shared" ref="AJ204:AJ267" si="288">1+AJ$9*($H$10*H204+$I$10*I204+$J$10*J204+$K$10*K204+$L$10*L204)</f>
        <v>2.05602902160167</v>
      </c>
      <c r="AK204" s="1">
        <f t="shared" ref="AK204:AK267" si="289">(1+AH204*(AI204-1))*AJ204</f>
        <v>4.46362080562988</v>
      </c>
      <c r="AL204" s="1">
        <f t="shared" ref="AL204:AL267" si="290">U204*AD204*AK204*F204</f>
        <v>2153162.92725326</v>
      </c>
      <c r="AM204" s="14">
        <f t="shared" ref="AM204:AM267" si="291">IF($B204&lt;AM$8,0,AM$3+(AM$4-AM$3)*(POWER(AM$5,$B204-AM$8)-1)/(POWER(AM$5,$C$5-AM$8)-1))</f>
        <v>42.7275177341407</v>
      </c>
      <c r="AN204" s="14">
        <f>(((E204*模块规划!$D$10+G204*模块规划!$D$11+H204*模块规划!$D$13)*(1+模块规划!$G$14*H204)+(I204*模块规划!$D$15+J204*模块规划!$D$17+K204*模块规划!$D$16+L204*模块规划!$D$18))*(1+模块规划!$J$17*J204))*F204/(1-Q204)</f>
        <v>2671534.77187738</v>
      </c>
      <c r="AO204" s="1">
        <f t="shared" ref="AO204:AO267" si="292">AL204*AM204</f>
        <v>91999307.1587079</v>
      </c>
      <c r="AP204" s="1">
        <f>IF(AO204="","",_xlfn.XLOOKUP(AO204,_曲线基线!$E$3:$E$502,_曲线基线!$A$3:$A$502,500,1))</f>
        <v>281</v>
      </c>
      <c r="AQ204" s="15">
        <f t="shared" si="205"/>
        <v>5</v>
      </c>
    </row>
    <row r="205" customHeight="1" spans="1:43">
      <c r="A205" s="1" t="str">
        <f>IFERROR(_xlfn.XLOOKUP(B205,_曲线基线!$G$3:$G$107,_曲线基线!$J$3:$J$107,""),"")</f>
        <v/>
      </c>
      <c r="B205" s="1">
        <v>194</v>
      </c>
      <c r="C205" s="1">
        <f t="shared" si="243"/>
        <v>14</v>
      </c>
      <c r="D205" s="1">
        <f t="shared" si="244"/>
        <v>5</v>
      </c>
      <c r="E205" s="1">
        <f t="shared" si="270"/>
        <v>1</v>
      </c>
      <c r="F205" s="11">
        <f t="shared" ref="F205:F268" si="293">1+IF(B205&lt;3,0,MIN(1,(B205-2)/4))+IF(B205&lt;7,0,MIN(1,(B205-6)/3))+IF(B205&lt;10,0,MIN(1,(B205-9)/5))+IF(B205&lt;20,0,MIN(1,(B205-19)/10))</f>
        <v>5</v>
      </c>
      <c r="G205" s="12">
        <f t="shared" ref="G205:L205" si="294">IF($B205&lt;G$8,0,G$3+(G$4-G$3)*(POWER(G$5,$B205-G$8)-1)/(POWER(G$5,$C$5-G$8)-1))</f>
        <v>0.864249853996185</v>
      </c>
      <c r="H205" s="12">
        <f t="shared" si="294"/>
        <v>0.684798154540769</v>
      </c>
      <c r="I205" s="12">
        <f t="shared" si="294"/>
        <v>0.610913486293302</v>
      </c>
      <c r="J205" s="12">
        <f t="shared" si="294"/>
        <v>0.581964809542675</v>
      </c>
      <c r="K205" s="12">
        <f t="shared" si="294"/>
        <v>0.567956446880741</v>
      </c>
      <c r="L205" s="12">
        <f t="shared" si="294"/>
        <v>0.68448640797286</v>
      </c>
      <c r="M205" s="2">
        <f>E205*模块规划!$F$10+G205*模块规划!$F$11+H205*模块规划!$F$13</f>
        <v>5148.39929918169</v>
      </c>
      <c r="N205" s="2">
        <f>I205*模块规划!$F$15+J205*模块规划!$F$17+K205*模块规划!$F$16+L205*模块规划!$F$18</f>
        <v>17537.1267069219</v>
      </c>
      <c r="O205" s="2">
        <f t="shared" si="272"/>
        <v>3.30389833251836</v>
      </c>
      <c r="P205" s="13">
        <f t="shared" si="273"/>
        <v>34546.914566627</v>
      </c>
      <c r="Q205" s="7">
        <f>P205/(P205+_曲线基线!$L$2)</f>
        <v>0.590072334679776</v>
      </c>
      <c r="R205" s="2">
        <f>E205*模块规划!$E$10+G205*模块规划!$E$11+H205*模块规划!$E$13</f>
        <v>7722.59894877253</v>
      </c>
      <c r="S205" s="2">
        <f>I205*模块规划!$E$15+J205*模块规划!$E$17+K205*模块规划!$E$16+L205*模块规划!$E$18</f>
        <v>26305.6900603829</v>
      </c>
      <c r="T205" s="2">
        <f t="shared" si="274"/>
        <v>3.30389833251836</v>
      </c>
      <c r="U205" s="13">
        <f t="shared" si="275"/>
        <v>51820.3718499405</v>
      </c>
      <c r="V205" s="2">
        <f t="shared" si="276"/>
        <v>0.905439446362231</v>
      </c>
      <c r="W205" s="2">
        <f t="shared" si="277"/>
        <v>0.273919261816307</v>
      </c>
      <c r="X205" s="2">
        <f t="shared" si="278"/>
        <v>0.463319492498711</v>
      </c>
      <c r="Y205" s="2">
        <f t="shared" si="279"/>
        <v>1</v>
      </c>
      <c r="Z205" s="2">
        <f t="shared" si="280"/>
        <v>1</v>
      </c>
      <c r="AA205" s="2">
        <f t="shared" si="281"/>
        <v>1</v>
      </c>
      <c r="AB205" s="2">
        <f t="shared" si="282"/>
        <v>1</v>
      </c>
      <c r="AC205" s="2">
        <f t="shared" si="283"/>
        <v>1</v>
      </c>
      <c r="AD205" s="1">
        <f t="shared" si="284"/>
        <v>1.86534047070661</v>
      </c>
      <c r="AE205" s="2">
        <f t="shared" si="285"/>
        <v>1</v>
      </c>
      <c r="AF205" s="2">
        <f t="shared" si="286"/>
        <v>1.20334001477288</v>
      </c>
      <c r="AG205" s="2">
        <f t="shared" si="287"/>
        <v>1.36036369284749</v>
      </c>
      <c r="AH205" s="2">
        <f>MIN(1,_曲线基线!$L$3+AH$9*($H$10*H205+$I$10*I205+$J$10*J205+$K$10*K205+$L$10*L205))</f>
        <v>0.512598533608292</v>
      </c>
      <c r="AI205" s="2">
        <f>_曲线基线!$L$4+AI$9*($H$10*H205+$I$10*I205+$J$10*J205+$K$10*K205+$L$10*L205)</f>
        <v>3.2886673436231</v>
      </c>
      <c r="AJ205" s="2">
        <f t="shared" si="288"/>
        <v>2.05736807681895</v>
      </c>
      <c r="AK205" s="1">
        <f t="shared" si="289"/>
        <v>4.47100548998888</v>
      </c>
      <c r="AL205" s="1">
        <f t="shared" si="290"/>
        <v>2160895.89946738</v>
      </c>
      <c r="AM205" s="14">
        <f t="shared" si="291"/>
        <v>42.818217551404</v>
      </c>
      <c r="AN205" s="14">
        <f>(((E205*模块规划!$D$10+G205*模块规划!$D$11+H205*模块规划!$D$13)*(1+模块规划!$G$14*H205)+(I205*模块规划!$D$15+J205*模块规划!$D$17+K205*模块规划!$D$16+L205*模块规划!$D$18))*(1+模块规划!$J$17*J205))*F205/(1-Q205)</f>
        <v>2678345.60629714</v>
      </c>
      <c r="AO205" s="1">
        <f t="shared" si="292"/>
        <v>92525710.7293309</v>
      </c>
      <c r="AP205" s="1">
        <f>IF(AO205="","",_xlfn.XLOOKUP(AO205,_曲线基线!$E$3:$E$502,_曲线基线!$A$3:$A$502,500,1))</f>
        <v>281</v>
      </c>
      <c r="AQ205" s="15">
        <f t="shared" ref="AQ205:AQ268" si="295">IF(B205&lt;=2,1,IF(B205&lt;=6,2,IF(B205&lt;=9,3,IF(B205&lt;=19,4,5))))</f>
        <v>5</v>
      </c>
    </row>
    <row r="206" customHeight="1" spans="1:43">
      <c r="A206" s="1" t="str">
        <f>IFERROR(_xlfn.XLOOKUP(B206,_曲线基线!$G$3:$G$107,_曲线基线!$J$3:$J$107,""),"")</f>
        <v/>
      </c>
      <c r="B206" s="1">
        <v>195</v>
      </c>
      <c r="C206" s="1">
        <f t="shared" si="243"/>
        <v>14</v>
      </c>
      <c r="D206" s="1">
        <f t="shared" si="244"/>
        <v>6</v>
      </c>
      <c r="E206" s="1">
        <f t="shared" si="270"/>
        <v>1</v>
      </c>
      <c r="F206" s="11">
        <f t="shared" si="293"/>
        <v>5</v>
      </c>
      <c r="G206" s="12">
        <f t="shared" ref="G206:L206" si="296">IF($B206&lt;G$8,0,G$3+(G$4-G$3)*(POWER(G$5,$B206-G$8)-1)/(POWER(G$5,$C$5-G$8)-1))</f>
        <v>0.864991296640738</v>
      </c>
      <c r="H206" s="12">
        <f t="shared" si="296"/>
        <v>0.685168733689465</v>
      </c>
      <c r="I206" s="12">
        <f t="shared" si="296"/>
        <v>0.611866307910504</v>
      </c>
      <c r="J206" s="12">
        <f t="shared" si="296"/>
        <v>0.582404457843545</v>
      </c>
      <c r="K206" s="12">
        <f t="shared" si="296"/>
        <v>0.5699564428781</v>
      </c>
      <c r="L206" s="12">
        <f t="shared" si="296"/>
        <v>0.684864586644788</v>
      </c>
      <c r="M206" s="2">
        <f>E206*模块规划!$F$10+G206*模块规划!$F$11+H206*模块规划!$F$13</f>
        <v>5151.95822387554</v>
      </c>
      <c r="N206" s="2">
        <f>I206*模块规划!$F$15+J206*模块规划!$F$17+K206*模块规划!$F$16+L206*模块规划!$F$18</f>
        <v>17563.036632212</v>
      </c>
      <c r="O206" s="2">
        <f t="shared" si="272"/>
        <v>3.30675764537913</v>
      </c>
      <c r="P206" s="13">
        <f t="shared" si="273"/>
        <v>34599.3138776863</v>
      </c>
      <c r="Q206" s="7">
        <f>P206/(P206+_曲线基线!$L$2)</f>
        <v>0.590438890631127</v>
      </c>
      <c r="R206" s="2">
        <f>E206*模块规划!$E$10+G206*模块规划!$E$11+H206*模块规划!$E$13</f>
        <v>7727.93733581331</v>
      </c>
      <c r="S206" s="2">
        <f>I206*模块规划!$E$15+J206*模块规划!$E$17+K206*模块规划!$E$16+L206*模块规划!$E$18</f>
        <v>26344.554948318</v>
      </c>
      <c r="T206" s="2">
        <f t="shared" si="274"/>
        <v>3.30675764537913</v>
      </c>
      <c r="U206" s="13">
        <f t="shared" si="275"/>
        <v>51898.9708165295</v>
      </c>
      <c r="V206" s="2">
        <f t="shared" si="276"/>
        <v>0.905550620106839</v>
      </c>
      <c r="W206" s="2">
        <f t="shared" si="277"/>
        <v>0.274067493475786</v>
      </c>
      <c r="X206" s="2">
        <f t="shared" si="278"/>
        <v>0.463421401764603</v>
      </c>
      <c r="Y206" s="2">
        <f t="shared" si="279"/>
        <v>1</v>
      </c>
      <c r="Z206" s="2">
        <f t="shared" si="280"/>
        <v>1</v>
      </c>
      <c r="AA206" s="2">
        <f t="shared" si="281"/>
        <v>1</v>
      </c>
      <c r="AB206" s="2">
        <f t="shared" si="282"/>
        <v>1</v>
      </c>
      <c r="AC206" s="2">
        <f t="shared" si="283"/>
        <v>1</v>
      </c>
      <c r="AD206" s="1">
        <f t="shared" si="284"/>
        <v>1.86604507498243</v>
      </c>
      <c r="AE206" s="2">
        <f t="shared" si="285"/>
        <v>1</v>
      </c>
      <c r="AF206" s="2">
        <f t="shared" si="286"/>
        <v>1.20359237517921</v>
      </c>
      <c r="AG206" s="2">
        <f t="shared" si="287"/>
        <v>1.3608109315676</v>
      </c>
      <c r="AH206" s="2">
        <f>MIN(1,_曲线基线!$L$3+AH$9*($H$10*H206+$I$10*I206+$J$10*J206+$K$10*K206+$L$10*L206))</f>
        <v>0.513172653532705</v>
      </c>
      <c r="AI206" s="2">
        <f>_曲线基线!$L$4+AI$9*($H$10*H206+$I$10*I206+$J$10*J206+$K$10*K206+$L$10*L206)</f>
        <v>3.29026667769825</v>
      </c>
      <c r="AJ206" s="2">
        <f t="shared" si="288"/>
        <v>2.0586803509319</v>
      </c>
      <c r="AK206" s="1">
        <f t="shared" si="289"/>
        <v>4.47825195472299</v>
      </c>
      <c r="AL206" s="1">
        <f t="shared" si="290"/>
        <v>2168499.88872852</v>
      </c>
      <c r="AM206" s="14">
        <f t="shared" si="291"/>
        <v>42.9098243668399</v>
      </c>
      <c r="AN206" s="14">
        <f>(((E206*模块规划!$D$10+G206*模块规划!$D$11+H206*模块规划!$D$13)*(1+模块规划!$G$14*H206)+(I206*模块规划!$D$15+J206*模块规划!$D$17+K206*模块规划!$D$16+L206*模块规划!$D$18))*(1+模块规划!$J$17*J206))*F206/(1-Q206)</f>
        <v>2685037.08118555</v>
      </c>
      <c r="AO206" s="1">
        <f t="shared" si="292"/>
        <v>93049949.3648527</v>
      </c>
      <c r="AP206" s="1">
        <f>IF(AO206="","",_xlfn.XLOOKUP(AO206,_曲线基线!$E$3:$E$502,_曲线基线!$A$3:$A$502,500,1))</f>
        <v>282</v>
      </c>
      <c r="AQ206" s="15">
        <f t="shared" si="295"/>
        <v>5</v>
      </c>
    </row>
    <row r="207" customHeight="1" spans="1:43">
      <c r="A207" s="1" t="str">
        <f>IFERROR(_xlfn.XLOOKUP(B207,_曲线基线!$G$3:$G$107,_曲线基线!$J$3:$J$107,""),"")</f>
        <v/>
      </c>
      <c r="B207" s="1">
        <v>196</v>
      </c>
      <c r="C207" s="1">
        <f t="shared" si="243"/>
        <v>14</v>
      </c>
      <c r="D207" s="1">
        <f t="shared" si="244"/>
        <v>7</v>
      </c>
      <c r="E207" s="1">
        <f t="shared" si="270"/>
        <v>1</v>
      </c>
      <c r="F207" s="11">
        <f t="shared" si="293"/>
        <v>5</v>
      </c>
      <c r="G207" s="12">
        <f t="shared" ref="G207:L207" si="297">IF($B207&lt;G$8,0,G$3+(G$4-G$3)*(POWER(G$5,$B207-G$8)-1)/(POWER(G$5,$C$5-G$8)-1))</f>
        <v>0.865721617645623</v>
      </c>
      <c r="H207" s="12">
        <f t="shared" si="297"/>
        <v>0.685531901255187</v>
      </c>
      <c r="I207" s="12">
        <f t="shared" si="297"/>
        <v>0.612800073095362</v>
      </c>
      <c r="J207" s="12">
        <f t="shared" si="297"/>
        <v>0.582835313178398</v>
      </c>
      <c r="K207" s="12">
        <f t="shared" si="297"/>
        <v>0.571916438955512</v>
      </c>
      <c r="L207" s="12">
        <f t="shared" si="297"/>
        <v>0.685235201743278</v>
      </c>
      <c r="M207" s="2">
        <f>E207*模块规划!$F$10+G207*模块规划!$F$11+H207*模块规划!$F$13</f>
        <v>5155.46376469899</v>
      </c>
      <c r="N207" s="2">
        <f>I207*模块规划!$F$15+J207*模块规划!$F$17+K207*模块规划!$F$16+L207*模块规划!$F$18</f>
        <v>17588.4283589963</v>
      </c>
      <c r="O207" s="2">
        <f t="shared" si="272"/>
        <v>3.30955977198269</v>
      </c>
      <c r="P207" s="13">
        <f t="shared" si="273"/>
        <v>34650.7438405585</v>
      </c>
      <c r="Q207" s="7">
        <f>P207/(P207+_曲线基线!$L$2)</f>
        <v>0.590798028661942</v>
      </c>
      <c r="R207" s="2">
        <f>E207*模块规划!$E$10+G207*模块规划!$E$11+H207*模块规划!$E$13</f>
        <v>7733.19564704848</v>
      </c>
      <c r="S207" s="2">
        <f>I207*模块规划!$E$15+J207*模块规划!$E$17+K207*模块规划!$E$16+L207*模块规划!$E$18</f>
        <v>26382.6425384945</v>
      </c>
      <c r="T207" s="2">
        <f t="shared" si="274"/>
        <v>3.30955977198269</v>
      </c>
      <c r="U207" s="13">
        <f t="shared" si="275"/>
        <v>51976.1157608378</v>
      </c>
      <c r="V207" s="2">
        <f t="shared" si="276"/>
        <v>0.905659570376556</v>
      </c>
      <c r="W207" s="2">
        <f t="shared" si="277"/>
        <v>0.274212760502075</v>
      </c>
      <c r="X207" s="2">
        <f t="shared" si="278"/>
        <v>0.463521272845176</v>
      </c>
      <c r="Y207" s="2">
        <f t="shared" si="279"/>
        <v>1</v>
      </c>
      <c r="Z207" s="2">
        <f t="shared" si="280"/>
        <v>1</v>
      </c>
      <c r="AA207" s="2">
        <f t="shared" si="281"/>
        <v>1</v>
      </c>
      <c r="AB207" s="2">
        <f t="shared" si="282"/>
        <v>1</v>
      </c>
      <c r="AC207" s="2">
        <f t="shared" si="283"/>
        <v>1</v>
      </c>
      <c r="AD207" s="1">
        <f t="shared" si="284"/>
        <v>1.86673574819793</v>
      </c>
      <c r="AE207" s="2">
        <f t="shared" si="285"/>
        <v>1</v>
      </c>
      <c r="AF207" s="2">
        <f t="shared" si="286"/>
        <v>1.20383968837742</v>
      </c>
      <c r="AG207" s="2">
        <f t="shared" si="287"/>
        <v>1.36124922551332</v>
      </c>
      <c r="AH207" s="2">
        <f>MIN(1,_曲线基线!$L$3+AH$9*($H$10*H207+$I$10*I207+$J$10*J207+$K$10*K207+$L$10*L207))</f>
        <v>0.513735291058629</v>
      </c>
      <c r="AI207" s="2">
        <f>_曲线基线!$L$4+AI$9*($H$10*H207+$I$10*I207+$J$10*J207+$K$10*K207+$L$10*L207)</f>
        <v>3.29183402509189</v>
      </c>
      <c r="AJ207" s="2">
        <f t="shared" si="288"/>
        <v>2.05996637956258</v>
      </c>
      <c r="AK207" s="1">
        <f t="shared" si="289"/>
        <v>4.485362596067</v>
      </c>
      <c r="AL207" s="1">
        <f t="shared" si="290"/>
        <v>2175976.63035969</v>
      </c>
      <c r="AM207" s="14">
        <f t="shared" si="291"/>
        <v>43.0023472504301</v>
      </c>
      <c r="AN207" s="14">
        <f>(((E207*模块规划!$D$10+G207*模块规划!$D$11+H207*模块规划!$D$13)*(1+模块规划!$G$14*H207)+(I207*模块规划!$D$15+J207*模块规划!$D$17+K207*模块规划!$D$16+L207*模块规划!$D$18))*(1+模块规划!$J$17*J207))*F207/(1-Q207)</f>
        <v>2691611.10083258</v>
      </c>
      <c r="AO207" s="1">
        <f t="shared" si="292"/>
        <v>93572102.6675481</v>
      </c>
      <c r="AP207" s="1">
        <f>IF(AO207="","",_xlfn.XLOOKUP(AO207,_曲线基线!$E$3:$E$502,_曲线基线!$A$3:$A$502,500,1))</f>
        <v>282</v>
      </c>
      <c r="AQ207" s="15">
        <f t="shared" si="295"/>
        <v>5</v>
      </c>
    </row>
    <row r="208" customHeight="1" spans="1:43">
      <c r="A208" s="1" t="str">
        <f>IFERROR(_xlfn.XLOOKUP(B208,_曲线基线!$G$3:$G$107,_曲线基线!$J$3:$J$107,""),"")</f>
        <v/>
      </c>
      <c r="B208" s="1">
        <v>197</v>
      </c>
      <c r="C208" s="1">
        <f t="shared" si="243"/>
        <v>14</v>
      </c>
      <c r="D208" s="1">
        <f t="shared" si="244"/>
        <v>8</v>
      </c>
      <c r="E208" s="1">
        <f t="shared" si="270"/>
        <v>1</v>
      </c>
      <c r="F208" s="11">
        <f t="shared" si="293"/>
        <v>5</v>
      </c>
      <c r="G208" s="12">
        <f t="shared" ref="G208:L208" si="298">IF($B208&lt;G$8,0,G$3+(G$4-G$3)*(POWER(G$5,$B208-G$8)-1)/(POWER(G$5,$C$5-G$8)-1))</f>
        <v>0.866440983835434</v>
      </c>
      <c r="H208" s="12">
        <f t="shared" si="298"/>
        <v>0.685887805469594</v>
      </c>
      <c r="I208" s="12">
        <f t="shared" si="298"/>
        <v>0.613715162976523</v>
      </c>
      <c r="J208" s="12">
        <f t="shared" si="298"/>
        <v>0.583257551406554</v>
      </c>
      <c r="K208" s="12">
        <f t="shared" si="298"/>
        <v>0.573837235111375</v>
      </c>
      <c r="L208" s="12">
        <f t="shared" si="298"/>
        <v>0.685598404539798</v>
      </c>
      <c r="M208" s="2">
        <f>E208*模块规划!$F$10+G208*模块规划!$F$11+H208*模块规划!$F$13</f>
        <v>5158.91672241008</v>
      </c>
      <c r="N208" s="2">
        <f>I208*模块规划!$F$15+J208*模块规划!$F$17+K208*模块规划!$F$16+L208*模块规划!$F$18</f>
        <v>17613.312251245</v>
      </c>
      <c r="O208" s="2">
        <f t="shared" si="272"/>
        <v>3.31230585605417</v>
      </c>
      <c r="P208" s="13">
        <f t="shared" si="273"/>
        <v>34701.2223217797</v>
      </c>
      <c r="Q208" s="7">
        <f>P208/(P208+_曲线基线!$L$2)</f>
        <v>0.591149910500324</v>
      </c>
      <c r="R208" s="2">
        <f>E208*模块规划!$E$10+G208*模块规划!$E$11+H208*模块规划!$E$13</f>
        <v>7738.37508361513</v>
      </c>
      <c r="S208" s="2">
        <f>I208*模块规划!$E$15+J208*模块规划!$E$17+K208*模块规划!$E$16+L208*模块规划!$E$18</f>
        <v>26419.9683768674</v>
      </c>
      <c r="T208" s="2">
        <f t="shared" si="274"/>
        <v>3.31230585605417</v>
      </c>
      <c r="U208" s="13">
        <f t="shared" si="275"/>
        <v>52051.8334826695</v>
      </c>
      <c r="V208" s="2">
        <f t="shared" si="276"/>
        <v>0.905766341640878</v>
      </c>
      <c r="W208" s="2">
        <f t="shared" si="277"/>
        <v>0.274355122187838</v>
      </c>
      <c r="X208" s="2">
        <f t="shared" si="278"/>
        <v>0.463619146504138</v>
      </c>
      <c r="Y208" s="2">
        <f t="shared" si="279"/>
        <v>1</v>
      </c>
      <c r="Z208" s="2">
        <f t="shared" si="280"/>
        <v>1</v>
      </c>
      <c r="AA208" s="2">
        <f t="shared" si="281"/>
        <v>1</v>
      </c>
      <c r="AB208" s="2">
        <f t="shared" si="282"/>
        <v>1</v>
      </c>
      <c r="AC208" s="2">
        <f t="shared" si="283"/>
        <v>1</v>
      </c>
      <c r="AD208" s="1">
        <f t="shared" si="284"/>
        <v>1.86741276259773</v>
      </c>
      <c r="AE208" s="2">
        <f t="shared" si="285"/>
        <v>1</v>
      </c>
      <c r="AF208" s="2">
        <f t="shared" si="286"/>
        <v>1.20408205531166</v>
      </c>
      <c r="AG208" s="2">
        <f t="shared" si="287"/>
        <v>1.36167875358012</v>
      </c>
      <c r="AH208" s="2">
        <f>MIN(1,_曲线基线!$L$3+AH$9*($H$10*H208+$I$10*I208+$J$10*J208+$K$10*K208+$L$10*L208))</f>
        <v>0.514286675834034</v>
      </c>
      <c r="AI208" s="2">
        <f>_曲线基线!$L$4+AI$9*($H$10*H208+$I$10*I208+$J$10*J208+$K$10*K208+$L$10*L208)</f>
        <v>3.29337002553767</v>
      </c>
      <c r="AJ208" s="2">
        <f t="shared" si="288"/>
        <v>2.06122668762065</v>
      </c>
      <c r="AK208" s="1">
        <f t="shared" si="289"/>
        <v>4.4923397764975</v>
      </c>
      <c r="AL208" s="1">
        <f t="shared" si="290"/>
        <v>2183327.853536</v>
      </c>
      <c r="AM208" s="14">
        <f t="shared" si="291"/>
        <v>43.0957953628563</v>
      </c>
      <c r="AN208" s="14">
        <f>(((E208*模块规划!$D$10+G208*模块规划!$D$11+H208*模块规划!$D$13)*(1+模块规划!$G$14*H208)+(I208*模块规划!$D$15+J208*模块规划!$D$17+K208*模块规划!$D$16+L208*模块规划!$D$18))*(1+模块规划!$J$17*J208))*F208/(1-Q208)</f>
        <v>2698069.54705561</v>
      </c>
      <c r="AO208" s="1">
        <f t="shared" si="292"/>
        <v>94092250.3860118</v>
      </c>
      <c r="AP208" s="1">
        <f>IF(AO208="","",_xlfn.XLOOKUP(AO208,_曲线基线!$E$3:$E$502,_曲线基线!$A$3:$A$502,500,1))</f>
        <v>283</v>
      </c>
      <c r="AQ208" s="15">
        <f t="shared" si="295"/>
        <v>5</v>
      </c>
    </row>
    <row r="209" customHeight="1" spans="1:43">
      <c r="A209" s="1" t="str">
        <f>IFERROR(_xlfn.XLOOKUP(B209,_曲线基线!$G$3:$G$107,_曲线基线!$J$3:$J$107,""),"")</f>
        <v/>
      </c>
      <c r="B209" s="1">
        <v>198</v>
      </c>
      <c r="C209" s="1">
        <f t="shared" si="243"/>
        <v>14</v>
      </c>
      <c r="D209" s="1">
        <f t="shared" si="244"/>
        <v>9</v>
      </c>
      <c r="E209" s="1">
        <f t="shared" si="270"/>
        <v>1</v>
      </c>
      <c r="F209" s="11">
        <f t="shared" si="293"/>
        <v>5</v>
      </c>
      <c r="G209" s="12">
        <f t="shared" ref="G209:L209" si="299">IF($B209&lt;G$8,0,G$3+(G$4-G$3)*(POWER(G$5,$B209-G$8)-1)/(POWER(G$5,$C$5-G$8)-1))</f>
        <v>0.867149559532398</v>
      </c>
      <c r="H209" s="12">
        <f t="shared" si="299"/>
        <v>0.686236591599714</v>
      </c>
      <c r="I209" s="12">
        <f t="shared" si="299"/>
        <v>0.614611951060061</v>
      </c>
      <c r="J209" s="12">
        <f t="shared" si="299"/>
        <v>0.583671344870147</v>
      </c>
      <c r="K209" s="12">
        <f t="shared" si="299"/>
        <v>0.575719615344121</v>
      </c>
      <c r="L209" s="12">
        <f t="shared" si="299"/>
        <v>0.685954343280388</v>
      </c>
      <c r="M209" s="2">
        <f>E209*模块规划!$F$10+G209*模块规划!$F$11+H209*模块规划!$F$13</f>
        <v>5162.31788575551</v>
      </c>
      <c r="N209" s="2">
        <f>I209*模块规划!$F$15+J209*模块规划!$F$17+K209*模块规划!$F$16+L209*模块规划!$F$18</f>
        <v>17637.6984656486</v>
      </c>
      <c r="O209" s="2">
        <f t="shared" si="272"/>
        <v>3.31499701844422</v>
      </c>
      <c r="P209" s="13">
        <f t="shared" si="273"/>
        <v>34750.7668651894</v>
      </c>
      <c r="Q209" s="7">
        <f>P209/(P209+_曲线基线!$L$2)</f>
        <v>0.591494693931896</v>
      </c>
      <c r="R209" s="2">
        <f>E209*模块规划!$E$10+G209*模块规划!$E$11+H209*模块规划!$E$13</f>
        <v>7743.47682863327</v>
      </c>
      <c r="S209" s="2">
        <f>I209*模块规划!$E$15+J209*模块规划!$E$17+K209*模块规划!$E$16+L209*模块规划!$E$18</f>
        <v>26456.5476984729</v>
      </c>
      <c r="T209" s="2">
        <f t="shared" si="274"/>
        <v>3.31499701844422</v>
      </c>
      <c r="U209" s="13">
        <f t="shared" si="275"/>
        <v>52126.1502977841</v>
      </c>
      <c r="V209" s="2">
        <f t="shared" si="276"/>
        <v>0.905870977479914</v>
      </c>
      <c r="W209" s="2">
        <f t="shared" si="277"/>
        <v>0.274494636639886</v>
      </c>
      <c r="X209" s="2">
        <f t="shared" si="278"/>
        <v>0.463715062689921</v>
      </c>
      <c r="Y209" s="2">
        <f t="shared" si="279"/>
        <v>1</v>
      </c>
      <c r="Z209" s="2">
        <f t="shared" si="280"/>
        <v>1</v>
      </c>
      <c r="AA209" s="2">
        <f t="shared" si="281"/>
        <v>1</v>
      </c>
      <c r="AB209" s="2">
        <f t="shared" si="282"/>
        <v>1</v>
      </c>
      <c r="AC209" s="2">
        <f t="shared" si="283"/>
        <v>1</v>
      </c>
      <c r="AD209" s="1">
        <f t="shared" si="284"/>
        <v>1.86807638523405</v>
      </c>
      <c r="AE209" s="2">
        <f t="shared" si="285"/>
        <v>1</v>
      </c>
      <c r="AF209" s="2">
        <f t="shared" si="286"/>
        <v>1.20431957490722</v>
      </c>
      <c r="AG209" s="2">
        <f t="shared" si="287"/>
        <v>1.36209969108558</v>
      </c>
      <c r="AH209" s="2">
        <f>MIN(1,_曲线基线!$L$3+AH$9*($H$10*H209+$I$10*I209+$J$10*J209+$K$10*K209+$L$10*L209))</f>
        <v>0.514827032913932</v>
      </c>
      <c r="AI209" s="2">
        <f>_曲线基线!$L$4+AI$9*($H$10*H209+$I$10*I209+$J$10*J209+$K$10*K209+$L$10*L209)</f>
        <v>3.29487530597452</v>
      </c>
      <c r="AJ209" s="2">
        <f t="shared" si="288"/>
        <v>2.06246178951756</v>
      </c>
      <c r="AK209" s="1">
        <f t="shared" si="289"/>
        <v>4.49918582487134</v>
      </c>
      <c r="AL209" s="1">
        <f t="shared" si="290"/>
        <v>2190555.28046801</v>
      </c>
      <c r="AM209" s="14">
        <f t="shared" si="291"/>
        <v>43.1901779564067</v>
      </c>
      <c r="AN209" s="14">
        <f>(((E209*模块规划!$D$10+G209*模块规划!$D$11+H209*模块规划!$D$13)*(1+模块规划!$G$14*H209)+(I209*模块规划!$D$15+J209*模块规划!$D$17+K209*模块规划!$D$16+L209*模块规划!$D$18))*(1+模块规划!$J$17*J209))*F209/(1-Q209)</f>
        <v>2704414.2791163</v>
      </c>
      <c r="AO209" s="1">
        <f t="shared" si="292"/>
        <v>94610472.3867597</v>
      </c>
      <c r="AP209" s="1">
        <f>IF(AO209="","",_xlfn.XLOOKUP(AO209,_曲线基线!$E$3:$E$502,_曲线基线!$A$3:$A$502,500,1))</f>
        <v>283</v>
      </c>
      <c r="AQ209" s="15">
        <f t="shared" si="295"/>
        <v>5</v>
      </c>
    </row>
    <row r="210" customHeight="1" spans="1:43">
      <c r="A210" s="1" t="str">
        <f>IFERROR(_xlfn.XLOOKUP(B210,_曲线基线!$G$3:$G$107,_曲线基线!$J$3:$J$107,""),"")</f>
        <v/>
      </c>
      <c r="B210" s="1">
        <v>199</v>
      </c>
      <c r="C210" s="1">
        <f t="shared" si="243"/>
        <v>14</v>
      </c>
      <c r="D210" s="1">
        <f t="shared" si="244"/>
        <v>10</v>
      </c>
      <c r="E210" s="1">
        <f t="shared" si="270"/>
        <v>1</v>
      </c>
      <c r="F210" s="11">
        <f t="shared" si="293"/>
        <v>5</v>
      </c>
      <c r="G210" s="12">
        <f t="shared" ref="G210:L210" si="300">IF($B210&lt;G$8,0,G$3+(G$4-G$3)*(POWER(G$5,$B210-G$8)-1)/(POWER(G$5,$C$5-G$8)-1))</f>
        <v>0.867847506593908</v>
      </c>
      <c r="H210" s="12">
        <f t="shared" si="300"/>
        <v>0.686578402007231</v>
      </c>
      <c r="I210" s="12">
        <f t="shared" si="300"/>
        <v>0.615490803381928</v>
      </c>
      <c r="J210" s="12">
        <f t="shared" si="300"/>
        <v>0.584076862464468</v>
      </c>
      <c r="K210" s="12">
        <f t="shared" si="300"/>
        <v>0.577564347972212</v>
      </c>
      <c r="L210" s="12">
        <f t="shared" si="300"/>
        <v>0.686303163246166</v>
      </c>
      <c r="M210" s="2">
        <f>E210*模块规划!$F$10+G210*模块规划!$F$11+H210*模块规划!$F$13</f>
        <v>5165.66803165076</v>
      </c>
      <c r="N210" s="2">
        <f>I210*模块规划!$F$15+J210*模块规划!$F$17+K210*模块规划!$F$16+L210*模块规划!$F$18</f>
        <v>17661.5969557642</v>
      </c>
      <c r="O210" s="2">
        <f t="shared" si="272"/>
        <v>3.31763435758647</v>
      </c>
      <c r="P210" s="13">
        <f t="shared" si="273"/>
        <v>34799.3946974548</v>
      </c>
      <c r="Q210" s="7">
        <f>P210/(P210+_曲线基线!$L$2)</f>
        <v>0.591832532911451</v>
      </c>
      <c r="R210" s="2">
        <f>E210*模块规划!$E$10+G210*模块规划!$E$11+H210*模块规划!$E$13</f>
        <v>7748.50204747614</v>
      </c>
      <c r="S210" s="2">
        <f>I210*模块规划!$E$15+J210*模块规划!$E$17+K210*模块规划!$E$16+L210*模块规划!$E$18</f>
        <v>26492.3954336463</v>
      </c>
      <c r="T210" s="2">
        <f t="shared" si="274"/>
        <v>3.31763435758647</v>
      </c>
      <c r="U210" s="13">
        <f t="shared" si="275"/>
        <v>52199.0920461823</v>
      </c>
      <c r="V210" s="2">
        <f t="shared" si="276"/>
        <v>0.905973520602169</v>
      </c>
      <c r="W210" s="2">
        <f t="shared" si="277"/>
        <v>0.274631360802892</v>
      </c>
      <c r="X210" s="2">
        <f t="shared" si="278"/>
        <v>0.463809060551989</v>
      </c>
      <c r="Y210" s="2">
        <f t="shared" si="279"/>
        <v>1</v>
      </c>
      <c r="Z210" s="2">
        <f t="shared" si="280"/>
        <v>1</v>
      </c>
      <c r="AA210" s="2">
        <f t="shared" si="281"/>
        <v>1</v>
      </c>
      <c r="AB210" s="2">
        <f t="shared" si="282"/>
        <v>1</v>
      </c>
      <c r="AC210" s="2">
        <f t="shared" si="283"/>
        <v>1</v>
      </c>
      <c r="AD210" s="1">
        <f t="shared" si="284"/>
        <v>1.86872687806059</v>
      </c>
      <c r="AE210" s="2">
        <f t="shared" si="285"/>
        <v>1</v>
      </c>
      <c r="AF210" s="2">
        <f t="shared" si="286"/>
        <v>1.20455234411087</v>
      </c>
      <c r="AG210" s="2">
        <f t="shared" si="287"/>
        <v>1.36251220984094</v>
      </c>
      <c r="AH210" s="2">
        <f>MIN(1,_曲线基线!$L$3+AH$9*($H$10*H210+$I$10*I210+$J$10*J210+$K$10*K210+$L$10*L210))</f>
        <v>0.515356582852231</v>
      </c>
      <c r="AI210" s="2">
        <f>_曲线基线!$L$4+AI$9*($H$10*H210+$I$10*I210+$J$10*J210+$K$10*K210+$L$10*L210)</f>
        <v>3.29635048080264</v>
      </c>
      <c r="AJ210" s="2">
        <f t="shared" si="288"/>
        <v>2.06367218937653</v>
      </c>
      <c r="AK210" s="1">
        <f t="shared" si="289"/>
        <v>4.50590303658106</v>
      </c>
      <c r="AL210" s="1">
        <f t="shared" si="290"/>
        <v>2197660.62562954</v>
      </c>
      <c r="AM210" s="14">
        <f t="shared" si="291"/>
        <v>43.2855043758927</v>
      </c>
      <c r="AN210" s="14">
        <f>(((E210*模块规划!$D$10+G210*模块规划!$D$11+H210*模块规划!$D$13)*(1+模块规划!$G$14*H210)+(I210*模块规划!$D$15+J210*模块规划!$D$17+K210*模块规划!$D$16+L210*模块规划!$D$18))*(1+模块规划!$J$17*J210))*F210/(1-Q210)</f>
        <v>2710647.13365726</v>
      </c>
      <c r="AO210" s="1">
        <f t="shared" si="292"/>
        <v>95126848.6274146</v>
      </c>
      <c r="AP210" s="1">
        <f>IF(AO210="","",_xlfn.XLOOKUP(AO210,_曲线基线!$E$3:$E$502,_曲线基线!$A$3:$A$502,500,1))</f>
        <v>284</v>
      </c>
      <c r="AQ210" s="15">
        <f t="shared" si="295"/>
        <v>5</v>
      </c>
    </row>
    <row r="211" customHeight="1" spans="1:43">
      <c r="A211" s="1" t="str">
        <f>IFERROR(_xlfn.XLOOKUP(B211,_曲线基线!$G$3:$G$107,_曲线基线!$J$3:$J$107,""),"")</f>
        <v/>
      </c>
      <c r="B211" s="1">
        <v>200</v>
      </c>
      <c r="C211" s="1">
        <f t="shared" si="243"/>
        <v>14</v>
      </c>
      <c r="D211" s="1">
        <f t="shared" si="244"/>
        <v>11</v>
      </c>
      <c r="E211" s="1">
        <f t="shared" si="270"/>
        <v>1</v>
      </c>
      <c r="F211" s="11">
        <f t="shared" si="293"/>
        <v>5</v>
      </c>
      <c r="G211" s="12">
        <f t="shared" ref="G211:L211" si="301">IF($B211&lt;G$8,0,G$3+(G$4-G$3)*(POWER(G$5,$B211-G$8)-1)/(POWER(G$5,$C$5-G$8)-1))</f>
        <v>0.868534984449496</v>
      </c>
      <c r="H211" s="12">
        <f t="shared" si="301"/>
        <v>0.686913376206598</v>
      </c>
      <c r="I211" s="12">
        <f t="shared" si="301"/>
        <v>0.616352078657357</v>
      </c>
      <c r="J211" s="12">
        <f t="shared" si="301"/>
        <v>0.584474269706902</v>
      </c>
      <c r="K211" s="12">
        <f t="shared" si="301"/>
        <v>0.579372185947741</v>
      </c>
      <c r="L211" s="12">
        <f t="shared" si="301"/>
        <v>0.686645006812628</v>
      </c>
      <c r="M211" s="2">
        <f>E211*模块规划!$F$10+G211*模块规划!$F$11+H211*模块规划!$F$13</f>
        <v>5168.96792535758</v>
      </c>
      <c r="N211" s="2">
        <f>I211*模块规划!$F$15+J211*模块规划!$F$17+K211*模块规划!$F$16+L211*模块规划!$F$18</f>
        <v>17685.0174760775</v>
      </c>
      <c r="O211" s="2">
        <f t="shared" si="272"/>
        <v>3.32021894994588</v>
      </c>
      <c r="P211" s="13">
        <f t="shared" si="273"/>
        <v>34847.1227335121</v>
      </c>
      <c r="Q211" s="7">
        <f>P211/(P211+_曲线基线!$L$2)</f>
        <v>0.59216357767085</v>
      </c>
      <c r="R211" s="2">
        <f>E211*模块规划!$E$10+G211*模块规划!$E$11+H211*模块规划!$E$13</f>
        <v>7753.45188803637</v>
      </c>
      <c r="S211" s="2">
        <f>I211*模块规划!$E$15+J211*模块规划!$E$17+K211*模块规划!$E$16+L211*模块规划!$E$18</f>
        <v>26527.5262141162</v>
      </c>
      <c r="T211" s="2">
        <f t="shared" si="274"/>
        <v>3.32021894994588</v>
      </c>
      <c r="U211" s="13">
        <f t="shared" si="275"/>
        <v>52270.6841002682</v>
      </c>
      <c r="V211" s="2">
        <f t="shared" si="276"/>
        <v>0.906074012861979</v>
      </c>
      <c r="W211" s="2">
        <f t="shared" si="277"/>
        <v>0.274765350482639</v>
      </c>
      <c r="X211" s="2">
        <f t="shared" si="278"/>
        <v>0.463901178456814</v>
      </c>
      <c r="Y211" s="2">
        <f t="shared" si="279"/>
        <v>1</v>
      </c>
      <c r="Z211" s="2">
        <f t="shared" si="280"/>
        <v>1</v>
      </c>
      <c r="AA211" s="2">
        <f t="shared" si="281"/>
        <v>1</v>
      </c>
      <c r="AB211" s="2">
        <f t="shared" si="282"/>
        <v>1</v>
      </c>
      <c r="AC211" s="2">
        <f t="shared" si="283"/>
        <v>1</v>
      </c>
      <c r="AD211" s="1">
        <f t="shared" si="284"/>
        <v>1.86936449802489</v>
      </c>
      <c r="AE211" s="2">
        <f t="shared" si="285"/>
        <v>1</v>
      </c>
      <c r="AF211" s="2">
        <f t="shared" si="286"/>
        <v>1.20478045793045</v>
      </c>
      <c r="AG211" s="2">
        <f t="shared" si="287"/>
        <v>1.36291647822118</v>
      </c>
      <c r="AH211" s="2">
        <f>MIN(1,_曲线基线!$L$3+AH$9*($H$10*H211+$I$10*I211+$J$10*J211+$K$10*K211+$L$10*L211))</f>
        <v>0.515875541791765</v>
      </c>
      <c r="AI211" s="2">
        <f>_曲线基线!$L$4+AI$9*($H$10*H211+$I$10*I211+$J$10*J211+$K$10*K211+$L$10*L211)</f>
        <v>3.2977961521342</v>
      </c>
      <c r="AJ211" s="2">
        <f t="shared" si="288"/>
        <v>2.06485838123832</v>
      </c>
      <c r="AK211" s="1">
        <f t="shared" si="289"/>
        <v>4.51249367372646</v>
      </c>
      <c r="AL211" s="1">
        <f t="shared" si="290"/>
        <v>2204645.59502853</v>
      </c>
      <c r="AM211" s="14">
        <f t="shared" si="291"/>
        <v>43.3817840595735</v>
      </c>
      <c r="AN211" s="14">
        <f>(((E211*模块规划!$D$10+G211*模块规划!$D$11+H211*模块规划!$D$13)*(1+模块规划!$G$14*H211)+(I211*模块规划!$D$15+J211*模块规划!$D$17+K211*模块规划!$D$16+L211*模块规划!$D$18))*(1+模块规划!$J$17*J211))*F211/(1-Q211)</f>
        <v>2716769.92465772</v>
      </c>
      <c r="AO211" s="1">
        <f t="shared" si="292"/>
        <v>95641459.1314175</v>
      </c>
      <c r="AP211" s="1">
        <f>IF(AO211="","",_xlfn.XLOOKUP(AO211,_曲线基线!$E$3:$E$502,_曲线基线!$A$3:$A$502,500,1))</f>
        <v>284</v>
      </c>
      <c r="AQ211" s="15">
        <f t="shared" si="295"/>
        <v>5</v>
      </c>
    </row>
    <row r="212" customHeight="1" spans="1:43">
      <c r="A212" s="1" t="str">
        <f>IFERROR(_xlfn.XLOOKUP(B212,_曲线基线!$G$3:$G$107,_曲线基线!$J$3:$J$107,""),"")</f>
        <v/>
      </c>
      <c r="B212" s="1">
        <v>201</v>
      </c>
      <c r="C212" s="1">
        <f t="shared" si="243"/>
        <v>14</v>
      </c>
      <c r="D212" s="1">
        <f t="shared" si="244"/>
        <v>12</v>
      </c>
      <c r="E212" s="1">
        <f t="shared" si="270"/>
        <v>1</v>
      </c>
      <c r="F212" s="11">
        <f t="shared" si="293"/>
        <v>5</v>
      </c>
      <c r="G212" s="12">
        <f t="shared" ref="G212:L212" si="302">IF($B212&lt;G$8,0,G$3+(G$4-G$3)*(POWER(G$5,$B212-G$8)-1)/(POWER(G$5,$C$5-G$8)-1))</f>
        <v>0.869212150137249</v>
      </c>
      <c r="H212" s="12">
        <f t="shared" si="302"/>
        <v>0.687241650921977</v>
      </c>
      <c r="I212" s="12">
        <f t="shared" si="302"/>
        <v>0.617196128427278</v>
      </c>
      <c r="J212" s="12">
        <f t="shared" si="302"/>
        <v>0.584863728804488</v>
      </c>
      <c r="K212" s="12">
        <f t="shared" si="302"/>
        <v>0.58114386716376</v>
      </c>
      <c r="L212" s="12">
        <f t="shared" si="302"/>
        <v>0.686980013507761</v>
      </c>
      <c r="M212" s="2">
        <f>E212*模块规划!$F$10+G212*模块规划!$F$11+H212*模块规划!$F$13</f>
        <v>5172.2183206588</v>
      </c>
      <c r="N212" s="2">
        <f>I212*模块规划!$F$15+J212*模块规划!$F$17+K212*模块规划!$F$16+L212*模块规划!$F$18</f>
        <v>17707.9695859845</v>
      </c>
      <c r="O212" s="2">
        <f t="shared" si="272"/>
        <v>3.3227518504581</v>
      </c>
      <c r="P212" s="13">
        <f t="shared" si="273"/>
        <v>34893.9675819268</v>
      </c>
      <c r="Q212" s="7">
        <f>P212/(P212+_曲线基线!$L$2)</f>
        <v>0.592487974823332</v>
      </c>
      <c r="R212" s="2">
        <f>E212*模块规划!$E$10+G212*模块规划!$E$11+H212*模块规划!$E$13</f>
        <v>7758.32748098819</v>
      </c>
      <c r="S212" s="2">
        <f>I212*模块规划!$E$15+J212*模块规划!$E$17+K212*模块规划!$E$16+L212*模块规划!$E$18</f>
        <v>26561.9543789767</v>
      </c>
      <c r="T212" s="2">
        <f t="shared" si="274"/>
        <v>3.3227518504581</v>
      </c>
      <c r="U212" s="13">
        <f t="shared" si="275"/>
        <v>52340.9513728901</v>
      </c>
      <c r="V212" s="2">
        <f t="shared" si="276"/>
        <v>0.906172495276593</v>
      </c>
      <c r="W212" s="2">
        <f t="shared" si="277"/>
        <v>0.274896660368791</v>
      </c>
      <c r="X212" s="2">
        <f t="shared" si="278"/>
        <v>0.463991454003544</v>
      </c>
      <c r="Y212" s="2">
        <f t="shared" si="279"/>
        <v>1</v>
      </c>
      <c r="Z212" s="2">
        <f t="shared" si="280"/>
        <v>1</v>
      </c>
      <c r="AA212" s="2">
        <f t="shared" si="281"/>
        <v>1</v>
      </c>
      <c r="AB212" s="2">
        <f t="shared" si="282"/>
        <v>1</v>
      </c>
      <c r="AC212" s="2">
        <f t="shared" si="283"/>
        <v>1</v>
      </c>
      <c r="AD212" s="1">
        <f t="shared" si="284"/>
        <v>1.86998949715922</v>
      </c>
      <c r="AE212" s="2">
        <f t="shared" si="285"/>
        <v>1</v>
      </c>
      <c r="AF212" s="2">
        <f t="shared" si="286"/>
        <v>1.20500400947363</v>
      </c>
      <c r="AG212" s="2">
        <f t="shared" si="287"/>
        <v>1.36331266123382</v>
      </c>
      <c r="AH212" s="2">
        <f>MIN(1,_曲线基线!$L$3+AH$9*($H$10*H212+$I$10*I212+$J$10*J212+$K$10*K212+$L$10*L212))</f>
        <v>0.516384121552507</v>
      </c>
      <c r="AI212" s="2">
        <f>_曲线基线!$L$4+AI$9*($H$10*H212+$I$10*I212+$J$10*J212+$K$10*K212+$L$10*L212)</f>
        <v>3.29921291003913</v>
      </c>
      <c r="AJ212" s="2">
        <f t="shared" si="288"/>
        <v>2.06602084926287</v>
      </c>
      <c r="AK212" s="1">
        <f t="shared" si="289"/>
        <v>4.51895996530108</v>
      </c>
      <c r="AL212" s="1">
        <f t="shared" si="290"/>
        <v>2211511.88551925</v>
      </c>
      <c r="AM212" s="14">
        <f t="shared" si="291"/>
        <v>43.4790265400911</v>
      </c>
      <c r="AN212" s="14">
        <f>(((E212*模块规划!$D$10+G212*模块规划!$D$11+H212*模块规划!$D$13)*(1+模块规划!$G$14*H212)+(I212*模块规划!$D$15+J212*模块规划!$D$17+K212*模块规划!$D$16+L212*模块规划!$D$18))*(1+模块规划!$J$17*J212))*F212/(1-Q212)</f>
        <v>2722784.44340719</v>
      </c>
      <c r="AO212" s="1">
        <f t="shared" si="292"/>
        <v>96154383.9642184</v>
      </c>
      <c r="AP212" s="1">
        <f>IF(AO212="","",_xlfn.XLOOKUP(AO212,_曲线基线!$E$3:$E$502,_曲线基线!$A$3:$A$502,500,1))</f>
        <v>284</v>
      </c>
      <c r="AQ212" s="15">
        <f t="shared" si="295"/>
        <v>5</v>
      </c>
    </row>
    <row r="213" customHeight="1" spans="1:43">
      <c r="A213" s="1" t="str">
        <f>IFERROR(_xlfn.XLOOKUP(B213,_曲线基线!$G$3:$G$107,_曲线基线!$J$3:$J$107,""),"")</f>
        <v/>
      </c>
      <c r="B213" s="1">
        <v>202</v>
      </c>
      <c r="C213" s="1">
        <f t="shared" si="243"/>
        <v>14</v>
      </c>
      <c r="D213" s="1">
        <f t="shared" si="244"/>
        <v>13</v>
      </c>
      <c r="E213" s="1">
        <f t="shared" si="270"/>
        <v>1</v>
      </c>
      <c r="F213" s="11">
        <f t="shared" si="293"/>
        <v>5</v>
      </c>
      <c r="G213" s="12">
        <f t="shared" ref="G213:L213" si="303">IF($B213&lt;G$8,0,G$3+(G$4-G$3)*(POWER(G$5,$B213-G$8)-1)/(POWER(G$5,$C$5-G$8)-1))</f>
        <v>0.869879158339686</v>
      </c>
      <c r="H213" s="12">
        <f t="shared" si="303"/>
        <v>0.687563360143049</v>
      </c>
      <c r="I213" s="12">
        <f t="shared" si="303"/>
        <v>0.618023297201801</v>
      </c>
      <c r="J213" s="12">
        <f t="shared" si="303"/>
        <v>0.585245398720122</v>
      </c>
      <c r="K213" s="12">
        <f t="shared" si="303"/>
        <v>0.582880114755459</v>
      </c>
      <c r="L213" s="12">
        <f t="shared" si="303"/>
        <v>0.687308320068992</v>
      </c>
      <c r="M213" s="2">
        <f>E213*模块规划!$F$10+G213*模块规划!$F$11+H213*模块规划!$F$13</f>
        <v>5175.41996003049</v>
      </c>
      <c r="N213" s="2">
        <f>I213*模块规划!$F$15+J213*模块规划!$F$17+K213*模块规划!$F$16+L213*模块规划!$F$18</f>
        <v>17730.4626536933</v>
      </c>
      <c r="O213" s="2">
        <f t="shared" si="272"/>
        <v>3.32523409296007</v>
      </c>
      <c r="P213" s="13">
        <f t="shared" si="273"/>
        <v>34939.9455501728</v>
      </c>
      <c r="Q213" s="7">
        <f>P213/(P213+_曲线基线!$L$2)</f>
        <v>0.592805867464368</v>
      </c>
      <c r="R213" s="2">
        <f>E213*模块规划!$E$10+G213*模块规划!$E$11+H213*模块规划!$E$13</f>
        <v>7763.12994004574</v>
      </c>
      <c r="S213" s="2">
        <f>I213*模块规划!$E$15+J213*模块规划!$E$17+K213*模块规划!$E$16+L213*模块规划!$E$18</f>
        <v>26595.69398054</v>
      </c>
      <c r="T213" s="2">
        <f t="shared" si="274"/>
        <v>3.32523409296007</v>
      </c>
      <c r="U213" s="13">
        <f t="shared" si="275"/>
        <v>52409.9183252592</v>
      </c>
      <c r="V213" s="2">
        <f t="shared" si="276"/>
        <v>0.906269008042915</v>
      </c>
      <c r="W213" s="2">
        <f t="shared" si="277"/>
        <v>0.27502534405722</v>
      </c>
      <c r="X213" s="2">
        <f t="shared" si="278"/>
        <v>0.464079924039339</v>
      </c>
      <c r="Y213" s="2">
        <f t="shared" si="279"/>
        <v>1</v>
      </c>
      <c r="Z213" s="2">
        <f t="shared" si="280"/>
        <v>1</v>
      </c>
      <c r="AA213" s="2">
        <f t="shared" si="281"/>
        <v>1</v>
      </c>
      <c r="AB213" s="2">
        <f t="shared" si="282"/>
        <v>1</v>
      </c>
      <c r="AC213" s="2">
        <f t="shared" si="283"/>
        <v>1</v>
      </c>
      <c r="AD213" s="1">
        <f t="shared" si="284"/>
        <v>1.87060212267003</v>
      </c>
      <c r="AE213" s="2">
        <f t="shared" si="285"/>
        <v>1</v>
      </c>
      <c r="AF213" s="2">
        <f t="shared" si="286"/>
        <v>1.20522308998595</v>
      </c>
      <c r="AG213" s="2">
        <f t="shared" si="287"/>
        <v>1.36370092058621</v>
      </c>
      <c r="AH213" s="2">
        <f>MIN(1,_曲线基线!$L$3+AH$9*($H$10*H213+$I$10*I213+$J$10*J213+$K$10*K213+$L$10*L213))</f>
        <v>0.516882529718035</v>
      </c>
      <c r="AI213" s="2">
        <f>_曲线基线!$L$4+AI$9*($H$10*H213+$I$10*I213+$J$10*J213+$K$10*K213+$L$10*L213)</f>
        <v>3.30060133278596</v>
      </c>
      <c r="AJ213" s="2">
        <f t="shared" si="288"/>
        <v>2.06716006792694</v>
      </c>
      <c r="AK213" s="1">
        <f t="shared" si="289"/>
        <v>4.52530410739281</v>
      </c>
      <c r="AL213" s="1">
        <f t="shared" si="290"/>
        <v>2218261.18415459</v>
      </c>
      <c r="AM213" s="14">
        <f t="shared" si="291"/>
        <v>43.5772414454138</v>
      </c>
      <c r="AN213" s="14">
        <f>(((E213*模块规划!$D$10+G213*模块规划!$D$11+H213*模块规划!$D$13)*(1+模块规划!$G$14*H213)+(I213*模块规划!$D$15+J213*模块规划!$D$17+K213*模块规划!$D$16+L213*模块规划!$D$18))*(1+模块规划!$J$17*J213))*F213/(1-Q213)</f>
        <v>2728692.45849598</v>
      </c>
      <c r="AO213" s="1">
        <f t="shared" si="292"/>
        <v>96665703.2108941</v>
      </c>
      <c r="AP213" s="1">
        <f>IF(AO213="","",_xlfn.XLOOKUP(AO213,_曲线基线!$E$3:$E$502,_曲线基线!$A$3:$A$502,500,1))</f>
        <v>285</v>
      </c>
      <c r="AQ213" s="15">
        <f t="shared" si="295"/>
        <v>5</v>
      </c>
    </row>
    <row r="214" customHeight="1" spans="1:43">
      <c r="A214" s="1" t="str">
        <f>IFERROR(_xlfn.XLOOKUP(B214,_曲线基线!$G$3:$G$107,_曲线基线!$J$3:$J$107,""),"")</f>
        <v/>
      </c>
      <c r="B214" s="1">
        <v>203</v>
      </c>
      <c r="C214" s="1">
        <f t="shared" si="243"/>
        <v>14</v>
      </c>
      <c r="D214" s="1">
        <f t="shared" si="244"/>
        <v>14</v>
      </c>
      <c r="E214" s="1">
        <f t="shared" si="270"/>
        <v>1</v>
      </c>
      <c r="F214" s="11">
        <f t="shared" si="293"/>
        <v>5</v>
      </c>
      <c r="G214" s="12">
        <f t="shared" ref="G214:L214" si="304">IF($B214&lt;G$8,0,G$3+(G$4-G$3)*(POWER(G$5,$B214-G$8)-1)/(POWER(G$5,$C$5-G$8)-1))</f>
        <v>0.870536161419087</v>
      </c>
      <c r="H214" s="12">
        <f t="shared" si="304"/>
        <v>0.687878635179699</v>
      </c>
      <c r="I214" s="12">
        <f t="shared" si="304"/>
        <v>0.618833922600833</v>
      </c>
      <c r="J214" s="12">
        <f t="shared" si="304"/>
        <v>0.585619435237444</v>
      </c>
      <c r="K214" s="12">
        <f t="shared" si="304"/>
        <v>0.584581637395323</v>
      </c>
      <c r="L214" s="12">
        <f t="shared" si="304"/>
        <v>0.687630060498998</v>
      </c>
      <c r="M214" s="2">
        <f>E214*模块规划!$F$10+G214*模块规划!$F$11+H214*模块规划!$F$13</f>
        <v>5178.57357481162</v>
      </c>
      <c r="N214" s="2">
        <f>I214*模块规划!$F$15+J214*模块规划!$F$17+K214*模块规划!$F$16+L214*模块规划!$F$18</f>
        <v>17752.505860048</v>
      </c>
      <c r="O214" s="2">
        <f t="shared" si="272"/>
        <v>3.32766669061201</v>
      </c>
      <c r="P214" s="13">
        <f t="shared" si="273"/>
        <v>34985.0726498322</v>
      </c>
      <c r="Q214" s="7">
        <f>P214/(P214+_曲线基线!$L$2)</f>
        <v>0.593117395269187</v>
      </c>
      <c r="R214" s="2">
        <f>E214*模块规划!$E$10+G214*模块规划!$E$11+H214*模块规划!$E$13</f>
        <v>7767.86036221742</v>
      </c>
      <c r="S214" s="2">
        <f>I214*模块规划!$E$15+J214*模块规划!$E$17+K214*模块规划!$E$16+L214*模块规划!$E$18</f>
        <v>26628.7587900721</v>
      </c>
      <c r="T214" s="2">
        <f t="shared" si="274"/>
        <v>3.32766669061201</v>
      </c>
      <c r="U214" s="13">
        <f t="shared" si="275"/>
        <v>52477.6089747483</v>
      </c>
      <c r="V214" s="2">
        <f t="shared" si="276"/>
        <v>0.90636359055391</v>
      </c>
      <c r="W214" s="2">
        <f t="shared" si="277"/>
        <v>0.27515145407188</v>
      </c>
      <c r="X214" s="2">
        <f t="shared" si="278"/>
        <v>0.464166624674417</v>
      </c>
      <c r="Y214" s="2">
        <f t="shared" si="279"/>
        <v>1</v>
      </c>
      <c r="Z214" s="2">
        <f t="shared" si="280"/>
        <v>1</v>
      </c>
      <c r="AA214" s="2">
        <f t="shared" si="281"/>
        <v>1</v>
      </c>
      <c r="AB214" s="2">
        <f t="shared" si="282"/>
        <v>1</v>
      </c>
      <c r="AC214" s="2">
        <f t="shared" si="283"/>
        <v>1</v>
      </c>
      <c r="AD214" s="1">
        <f t="shared" si="284"/>
        <v>1.87120261702597</v>
      </c>
      <c r="AE214" s="2">
        <f t="shared" si="285"/>
        <v>1</v>
      </c>
      <c r="AF214" s="2">
        <f t="shared" si="286"/>
        <v>1.20543778888802</v>
      </c>
      <c r="AG214" s="2">
        <f t="shared" si="287"/>
        <v>1.36408141475156</v>
      </c>
      <c r="AH214" s="2">
        <f>MIN(1,_曲线基线!$L$3+AH$9*($H$10*H214+$I$10*I214+$J$10*J214+$K$10*K214+$L$10*L214))</f>
        <v>0.517370969720253</v>
      </c>
      <c r="AI214" s="2">
        <f>_曲线基线!$L$4+AI$9*($H$10*H214+$I$10*I214+$J$10*J214+$K$10*K214+$L$10*L214)</f>
        <v>3.30196198707785</v>
      </c>
      <c r="AJ214" s="2">
        <f t="shared" si="288"/>
        <v>2.06827650221772</v>
      </c>
      <c r="AK214" s="1">
        <f t="shared" si="289"/>
        <v>4.53152826339761</v>
      </c>
      <c r="AL214" s="1">
        <f t="shared" si="290"/>
        <v>2224895.16757678</v>
      </c>
      <c r="AM214" s="14">
        <f t="shared" si="291"/>
        <v>43.6764384997899</v>
      </c>
      <c r="AN214" s="14">
        <f>(((E214*模块规划!$D$10+G214*模块规划!$D$11+H214*模块规划!$D$13)*(1+模块规划!$G$14*H214)+(I214*模块规划!$D$15+J214*模块规划!$D$17+K214*模块规划!$D$16+L214*模块规划!$D$18))*(1+模块规划!$J$17*J214))*F214/(1-Q214)</f>
        <v>2734495.7158221</v>
      </c>
      <c r="AO214" s="1">
        <f t="shared" si="292"/>
        <v>97175496.9551472</v>
      </c>
      <c r="AP214" s="1">
        <f>IF(AO214="","",_xlfn.XLOOKUP(AO214,_曲线基线!$E$3:$E$502,_曲线基线!$A$3:$A$502,500,1))</f>
        <v>285</v>
      </c>
      <c r="AQ214" s="15">
        <f t="shared" si="295"/>
        <v>5</v>
      </c>
    </row>
    <row r="215" customHeight="1" spans="1:43">
      <c r="A215" s="1" t="str">
        <f>IFERROR(_xlfn.XLOOKUP(B215,_曲线基线!$G$3:$G$107,_曲线基线!$J$3:$J$107,""),"")</f>
        <v/>
      </c>
      <c r="B215" s="1">
        <v>204</v>
      </c>
      <c r="C215" s="1">
        <f t="shared" si="243"/>
        <v>14</v>
      </c>
      <c r="D215" s="1">
        <f t="shared" si="244"/>
        <v>15</v>
      </c>
      <c r="E215" s="1">
        <f t="shared" si="270"/>
        <v>1</v>
      </c>
      <c r="F215" s="11">
        <f t="shared" si="293"/>
        <v>5</v>
      </c>
      <c r="G215" s="12">
        <f t="shared" ref="G215:L215" si="305">IF($B215&lt;G$8,0,G$3+(G$4-G$3)*(POWER(G$5,$B215-G$8)-1)/(POWER(G$5,$C$5-G$8)-1))</f>
        <v>0.871183309452296</v>
      </c>
      <c r="H215" s="12">
        <f t="shared" si="305"/>
        <v>0.688187604715617</v>
      </c>
      <c r="I215" s="12">
        <f t="shared" si="305"/>
        <v>0.619628335491885</v>
      </c>
      <c r="J215" s="12">
        <f t="shared" si="305"/>
        <v>0.585985991024419</v>
      </c>
      <c r="K215" s="12">
        <f t="shared" si="305"/>
        <v>0.58624912958239</v>
      </c>
      <c r="L215" s="12">
        <f t="shared" si="305"/>
        <v>0.687945366120403</v>
      </c>
      <c r="M215" s="2">
        <f>E215*模块规划!$F$10+G215*模块规划!$F$11+H215*模块规划!$F$13</f>
        <v>5181.67988537102</v>
      </c>
      <c r="N215" s="2">
        <f>I215*模块规划!$F$15+J215*模块规划!$F$17+K215*模块规划!$F$16+L215*模块规划!$F$18</f>
        <v>17774.1082022756</v>
      </c>
      <c r="O215" s="2">
        <f t="shared" si="272"/>
        <v>3.3300506363109</v>
      </c>
      <c r="P215" s="13">
        <f t="shared" si="273"/>
        <v>35029.3646017148</v>
      </c>
      <c r="Q215" s="7">
        <f>P215/(P215+_曲线基线!$L$2)</f>
        <v>0.593422694587114</v>
      </c>
      <c r="R215" s="2">
        <f>E215*模块规划!$E$10+G215*模块规划!$E$11+H215*模块规划!$E$13</f>
        <v>7772.51982805653</v>
      </c>
      <c r="S215" s="2">
        <f>I215*模块规划!$E$15+J215*模块规划!$E$17+K215*模块规划!$E$16+L215*模块规划!$E$18</f>
        <v>26661.1623034134</v>
      </c>
      <c r="T215" s="2">
        <f t="shared" si="274"/>
        <v>3.3300506363109</v>
      </c>
      <c r="U215" s="13">
        <f t="shared" si="275"/>
        <v>52544.0469025722</v>
      </c>
      <c r="V215" s="2">
        <f t="shared" si="276"/>
        <v>0.906456281414685</v>
      </c>
      <c r="W215" s="2">
        <f t="shared" si="277"/>
        <v>0.275275041886247</v>
      </c>
      <c r="X215" s="2">
        <f t="shared" si="278"/>
        <v>0.464251591296795</v>
      </c>
      <c r="Y215" s="2">
        <f t="shared" si="279"/>
        <v>1</v>
      </c>
      <c r="Z215" s="2">
        <f t="shared" si="280"/>
        <v>1</v>
      </c>
      <c r="AA215" s="2">
        <f t="shared" si="281"/>
        <v>1</v>
      </c>
      <c r="AB215" s="2">
        <f t="shared" si="282"/>
        <v>1</v>
      </c>
      <c r="AC215" s="2">
        <f t="shared" si="283"/>
        <v>1</v>
      </c>
      <c r="AD215" s="1">
        <f t="shared" si="284"/>
        <v>1.87179121804447</v>
      </c>
      <c r="AE215" s="2">
        <f t="shared" si="285"/>
        <v>1</v>
      </c>
      <c r="AF215" s="2">
        <f t="shared" si="286"/>
        <v>1.20564819381206</v>
      </c>
      <c r="AG215" s="2">
        <f t="shared" si="287"/>
        <v>1.36445429903359</v>
      </c>
      <c r="AH215" s="2">
        <f>MIN(1,_曲线基线!$L$3+AH$9*($H$10*H215+$I$10*I215+$J$10*J215+$K$10*K215+$L$10*L215))</f>
        <v>0.517849640922426</v>
      </c>
      <c r="AI215" s="2">
        <f>_曲线基线!$L$4+AI$9*($H$10*H215+$I$10*I215+$J$10*J215+$K$10*K215+$L$10*L215)</f>
        <v>3.3032954282839</v>
      </c>
      <c r="AJ215" s="2">
        <f t="shared" si="288"/>
        <v>2.06937060782269</v>
      </c>
      <c r="AK215" s="1">
        <f t="shared" si="289"/>
        <v>4.53763456424553</v>
      </c>
      <c r="AL215" s="1">
        <f t="shared" si="290"/>
        <v>2231415.5014453</v>
      </c>
      <c r="AM215" s="14">
        <f t="shared" si="291"/>
        <v>43.7766275247096</v>
      </c>
      <c r="AN215" s="14">
        <f>(((E215*模块规划!$D$10+G215*模块规划!$D$11+H215*模块规划!$D$13)*(1+模块规划!$G$14*H215)+(I215*模块规划!$D$15+J215*模块规划!$D$17+K215*模块规划!$D$16+L215*模块规划!$D$18))*(1+模块规划!$J$17*J215))*F215/(1-Q215)</f>
        <v>2740195.93861316</v>
      </c>
      <c r="AO215" s="1">
        <f t="shared" si="292"/>
        <v>97683845.2596339</v>
      </c>
      <c r="AP215" s="1">
        <f>IF(AO215="","",_xlfn.XLOOKUP(AO215,_曲线基线!$E$3:$E$502,_曲线基线!$A$3:$A$502,500,1))</f>
        <v>286</v>
      </c>
      <c r="AQ215" s="15">
        <f t="shared" si="295"/>
        <v>5</v>
      </c>
    </row>
    <row r="216" customHeight="1" spans="1:43">
      <c r="A216" s="1" t="str">
        <f>IFERROR(_xlfn.XLOOKUP(B216,_曲线基线!$G$3:$G$107,_曲线基线!$J$3:$J$107,""),"")</f>
        <v/>
      </c>
      <c r="B216" s="1">
        <v>205</v>
      </c>
      <c r="C216" s="1">
        <f t="shared" si="243"/>
        <v>15</v>
      </c>
      <c r="D216" s="1">
        <f t="shared" si="244"/>
        <v>1</v>
      </c>
      <c r="E216" s="1">
        <f t="shared" si="270"/>
        <v>1</v>
      </c>
      <c r="F216" s="11">
        <f t="shared" si="293"/>
        <v>5</v>
      </c>
      <c r="G216" s="12">
        <f t="shared" ref="G216:L216" si="306">IF($B216&lt;G$8,0,G$3+(G$4-G$3)*(POWER(G$5,$B216-G$8)-1)/(POWER(G$5,$C$5-G$8)-1))</f>
        <v>0.871820750265008</v>
      </c>
      <c r="H216" s="12">
        <f t="shared" si="306"/>
        <v>0.688490394860816</v>
      </c>
      <c r="I216" s="12">
        <f t="shared" si="306"/>
        <v>0.620406860125115</v>
      </c>
      <c r="J216" s="12">
        <f t="shared" si="306"/>
        <v>0.586345215695654</v>
      </c>
      <c r="K216" s="12">
        <f t="shared" si="306"/>
        <v>0.587883271925716</v>
      </c>
      <c r="L216" s="12">
        <f t="shared" si="306"/>
        <v>0.688254365629381</v>
      </c>
      <c r="M216" s="2">
        <f>E216*模块规划!$F$10+G216*模块规划!$F$11+H216*模块规划!$F$13</f>
        <v>5184.73960127204</v>
      </c>
      <c r="N216" s="2">
        <f>I216*模块规划!$F$15+J216*模块规划!$F$17+K216*模块规划!$F$16+L216*模块规划!$F$18</f>
        <v>17795.2784976587</v>
      </c>
      <c r="O216" s="2">
        <f t="shared" si="272"/>
        <v>3.33238690309582</v>
      </c>
      <c r="P216" s="13">
        <f t="shared" si="273"/>
        <v>35072.8368408999</v>
      </c>
      <c r="Q216" s="7">
        <f>P216/(P216+_曲线基线!$L$2)</f>
        <v>0.593721898532842</v>
      </c>
      <c r="R216" s="2">
        <f>E216*模块规划!$E$10+G216*模块规划!$E$11+H216*模块规划!$E$13</f>
        <v>7777.10940190805</v>
      </c>
      <c r="S216" s="2">
        <f>I216*模块规划!$E$15+J216*模块规划!$E$17+K216*模块规划!$E$16+L216*模块规划!$E$18</f>
        <v>26692.917746488</v>
      </c>
      <c r="T216" s="2">
        <f t="shared" si="274"/>
        <v>3.33238690309582</v>
      </c>
      <c r="U216" s="13">
        <f t="shared" si="275"/>
        <v>52609.2552613497</v>
      </c>
      <c r="V216" s="2">
        <f t="shared" si="276"/>
        <v>0.906547118458245</v>
      </c>
      <c r="W216" s="2">
        <f t="shared" si="277"/>
        <v>0.275396157944326</v>
      </c>
      <c r="X216" s="2">
        <f t="shared" si="278"/>
        <v>0.464334858586724</v>
      </c>
      <c r="Y216" s="2">
        <f t="shared" si="279"/>
        <v>1</v>
      </c>
      <c r="Z216" s="2">
        <f t="shared" si="280"/>
        <v>1</v>
      </c>
      <c r="AA216" s="2">
        <f t="shared" si="281"/>
        <v>1</v>
      </c>
      <c r="AB216" s="2">
        <f t="shared" si="282"/>
        <v>1</v>
      </c>
      <c r="AC216" s="2">
        <f t="shared" si="283"/>
        <v>1</v>
      </c>
      <c r="AD216" s="1">
        <f t="shared" si="284"/>
        <v>1.87236815897691</v>
      </c>
      <c r="AE216" s="2">
        <f t="shared" si="285"/>
        <v>1</v>
      </c>
      <c r="AF216" s="2">
        <f t="shared" si="286"/>
        <v>1.20585439063761</v>
      </c>
      <c r="AG216" s="2">
        <f t="shared" si="287"/>
        <v>1.36481972562998</v>
      </c>
      <c r="AH216" s="2">
        <f>MIN(1,_曲线基线!$L$3+AH$9*($H$10*H216+$I$10*I216+$J$10*J216+$K$10*K216+$L$10*L216))</f>
        <v>0.518318738700555</v>
      </c>
      <c r="AI216" s="2">
        <f>_曲线基线!$L$4+AI$9*($H$10*H216+$I$10*I216+$J$10*J216+$K$10*K216+$L$10*L216)</f>
        <v>3.30460220066583</v>
      </c>
      <c r="AJ216" s="2">
        <f t="shared" si="288"/>
        <v>2.07044283131556</v>
      </c>
      <c r="AK216" s="1">
        <f t="shared" si="289"/>
        <v>4.54362510863813</v>
      </c>
      <c r="AL216" s="1">
        <f t="shared" si="290"/>
        <v>2237823.8399004</v>
      </c>
      <c r="AM216" s="14">
        <f t="shared" si="291"/>
        <v>43.8778184398786</v>
      </c>
      <c r="AN216" s="14">
        <f>(((E216*模块规划!$D$10+G216*模块规划!$D$11+H216*模块规划!$D$13)*(1+模块规划!$G$14*H216)+(I216*模块规划!$D$15+J216*模块规划!$D$17+K216*模块规划!$D$16+L216*模块规划!$D$18))*(1+模块规划!$J$17*J216))*F216/(1-Q216)</f>
        <v>2745794.82746303</v>
      </c>
      <c r="AO216" s="1">
        <f t="shared" si="292"/>
        <v>98190828.1475816</v>
      </c>
      <c r="AP216" s="1">
        <f>IF(AO216="","",_xlfn.XLOOKUP(AO216,_曲线基线!$E$3:$E$502,_曲线基线!$A$3:$A$502,500,1))</f>
        <v>286</v>
      </c>
      <c r="AQ216" s="15">
        <f t="shared" si="295"/>
        <v>5</v>
      </c>
    </row>
    <row r="217" customHeight="1" spans="1:43">
      <c r="A217" s="1" t="str">
        <f>IFERROR(_xlfn.XLOOKUP(B217,_曲线基线!$G$3:$G$107,_曲线基线!$J$3:$J$107,""),"")</f>
        <v/>
      </c>
      <c r="B217" s="1">
        <v>206</v>
      </c>
      <c r="C217" s="1">
        <f t="shared" si="243"/>
        <v>15</v>
      </c>
      <c r="D217" s="1">
        <f t="shared" si="244"/>
        <v>2</v>
      </c>
      <c r="E217" s="1">
        <f t="shared" si="270"/>
        <v>1</v>
      </c>
      <c r="F217" s="11">
        <f t="shared" si="293"/>
        <v>5</v>
      </c>
      <c r="G217" s="12">
        <f t="shared" ref="G217:L217" si="307">IF($B217&lt;G$8,0,G$3+(G$4-G$3)*(POWER(G$5,$B217-G$8)-1)/(POWER(G$5,$C$5-G$8)-1))</f>
        <v>0.872448629465528</v>
      </c>
      <c r="H217" s="12">
        <f t="shared" si="307"/>
        <v>0.688787129203111</v>
      </c>
      <c r="I217" s="12">
        <f t="shared" si="307"/>
        <v>0.621169814265681</v>
      </c>
      <c r="J217" s="12">
        <f t="shared" si="307"/>
        <v>0.586697255873465</v>
      </c>
      <c r="K217" s="12">
        <f t="shared" si="307"/>
        <v>0.589484731422175</v>
      </c>
      <c r="L217" s="12">
        <f t="shared" si="307"/>
        <v>0.688557185148179</v>
      </c>
      <c r="M217" s="2">
        <f>E217*模块规划!$F$10+G217*模块规划!$F$11+H217*模块规划!$F$13</f>
        <v>5187.75342143454</v>
      </c>
      <c r="N217" s="2">
        <f>I217*模块规划!$F$15+J217*模块规划!$F$17+K217*模块规划!$F$16+L217*模块规划!$F$18</f>
        <v>17816.025387134</v>
      </c>
      <c r="O217" s="2">
        <f t="shared" si="272"/>
        <v>3.33467644454504</v>
      </c>
      <c r="P217" s="13">
        <f t="shared" si="273"/>
        <v>35115.5045216997</v>
      </c>
      <c r="Q217" s="7">
        <f>P217/(P217+_曲线基线!$L$2)</f>
        <v>0.594015137074738</v>
      </c>
      <c r="R217" s="2">
        <f>E217*模块规划!$E$10+G217*模块规划!$E$11+H217*模块规划!$E$13</f>
        <v>7781.6301321518</v>
      </c>
      <c r="S217" s="2">
        <f>I217*模块规划!$E$15+J217*模块规划!$E$17+K217*模块规划!$E$16+L217*模块规划!$E$18</f>
        <v>26724.0380807011</v>
      </c>
      <c r="T217" s="2">
        <f t="shared" si="274"/>
        <v>3.33467644454504</v>
      </c>
      <c r="U217" s="13">
        <f t="shared" si="275"/>
        <v>52673.2567825496</v>
      </c>
      <c r="V217" s="2">
        <f t="shared" si="276"/>
        <v>0.906636138760933</v>
      </c>
      <c r="W217" s="2">
        <f t="shared" si="277"/>
        <v>0.275514851681244</v>
      </c>
      <c r="X217" s="2">
        <f t="shared" si="278"/>
        <v>0.464416460530856</v>
      </c>
      <c r="Y217" s="2">
        <f t="shared" si="279"/>
        <v>1</v>
      </c>
      <c r="Z217" s="2">
        <f t="shared" si="280"/>
        <v>1</v>
      </c>
      <c r="AA217" s="2">
        <f t="shared" si="281"/>
        <v>1</v>
      </c>
      <c r="AB217" s="2">
        <f t="shared" si="282"/>
        <v>1</v>
      </c>
      <c r="AC217" s="2">
        <f t="shared" si="283"/>
        <v>1</v>
      </c>
      <c r="AD217" s="1">
        <f t="shared" si="284"/>
        <v>1.87293366859241</v>
      </c>
      <c r="AE217" s="2">
        <f t="shared" si="285"/>
        <v>1</v>
      </c>
      <c r="AF217" s="2">
        <f t="shared" si="286"/>
        <v>1.20605646352665</v>
      </c>
      <c r="AG217" s="2">
        <f t="shared" si="287"/>
        <v>1.36517784369445</v>
      </c>
      <c r="AH217" s="2">
        <f>MIN(1,_曲线基线!$L$3+AH$9*($H$10*H217+$I$10*I217+$J$10*J217+$K$10*K217+$L$10*L217))</f>
        <v>0.518778454523122</v>
      </c>
      <c r="AI217" s="2">
        <f>_曲线基线!$L$4+AI$9*($H$10*H217+$I$10*I217+$J$10*J217+$K$10*K217+$L$10*L217)</f>
        <v>3.30588283760013</v>
      </c>
      <c r="AJ217" s="2">
        <f t="shared" si="288"/>
        <v>2.07149361033857</v>
      </c>
      <c r="AK217" s="1">
        <f t="shared" si="289"/>
        <v>4.54950196329654</v>
      </c>
      <c r="AL217" s="1">
        <f t="shared" si="290"/>
        <v>2244121.82506113</v>
      </c>
      <c r="AM217" s="14">
        <f t="shared" si="291"/>
        <v>43.9800212641992</v>
      </c>
      <c r="AN217" s="14">
        <f>(((E217*模块规划!$D$10+G217*模块规划!$D$11+H217*模块规划!$D$13)*(1+模块规划!$G$14*H217)+(I217*模块规划!$D$15+J217*模块规划!$D$17+K217*模块规划!$D$16+L217*模块规划!$D$18))*(1+模块规划!$J$17*J217))*F217/(1-Q217)</f>
        <v>2751294.06038187</v>
      </c>
      <c r="AO217" s="1">
        <f t="shared" si="292"/>
        <v>98696525.585642</v>
      </c>
      <c r="AP217" s="1">
        <f>IF(AO217="","",_xlfn.XLOOKUP(AO217,_曲线基线!$E$3:$E$502,_曲线基线!$A$3:$A$502,500,1))</f>
        <v>286</v>
      </c>
      <c r="AQ217" s="15">
        <f t="shared" si="295"/>
        <v>5</v>
      </c>
    </row>
    <row r="218" customHeight="1" spans="1:43">
      <c r="A218" s="1" t="str">
        <f>IFERROR(_xlfn.XLOOKUP(B218,_曲线基线!$G$3:$G$107,_曲线基线!$J$3:$J$107,""),"")</f>
        <v/>
      </c>
      <c r="B218" s="1">
        <v>207</v>
      </c>
      <c r="C218" s="1">
        <f t="shared" si="243"/>
        <v>15</v>
      </c>
      <c r="D218" s="1">
        <f t="shared" si="244"/>
        <v>3</v>
      </c>
      <c r="E218" s="1">
        <f t="shared" si="270"/>
        <v>1</v>
      </c>
      <c r="F218" s="11">
        <f t="shared" si="293"/>
        <v>5</v>
      </c>
      <c r="G218" s="12">
        <f t="shared" ref="G218:L218" si="308">IF($B218&lt;G$8,0,G$3+(G$4-G$3)*(POWER(G$5,$B218-G$8)-1)/(POWER(G$5,$C$5-G$8)-1))</f>
        <v>0.873067090478041</v>
      </c>
      <c r="H218" s="12">
        <f t="shared" si="308"/>
        <v>0.68907792885856</v>
      </c>
      <c r="I218" s="12">
        <f t="shared" si="308"/>
        <v>0.621917509323436</v>
      </c>
      <c r="J218" s="12">
        <f t="shared" si="308"/>
        <v>0.58704225524772</v>
      </c>
      <c r="K218" s="12">
        <f t="shared" si="308"/>
        <v>0.591054161728705</v>
      </c>
      <c r="L218" s="12">
        <f t="shared" si="308"/>
        <v>0.688853948276601</v>
      </c>
      <c r="M218" s="2">
        <f>E218*模块规划!$F$10+G218*模块规划!$F$11+H218*模块规划!$F$13</f>
        <v>5190.7220342946</v>
      </c>
      <c r="N218" s="2">
        <f>I218*模块规划!$F$15+J218*模块规划!$F$17+K218*模块规划!$F$16+L218*模块规划!$F$18</f>
        <v>17836.3573388199</v>
      </c>
      <c r="O218" s="2">
        <f t="shared" si="272"/>
        <v>3.33692019516528</v>
      </c>
      <c r="P218" s="13">
        <f t="shared" si="273"/>
        <v>35157.382522547</v>
      </c>
      <c r="Q218" s="7">
        <f>P218/(P218+_曲线基线!$L$2)</f>
        <v>0.594302537120321</v>
      </c>
      <c r="R218" s="2">
        <f>E218*模块规划!$E$10+G218*模块规划!$E$11+H218*模块规划!$E$13</f>
        <v>7786.0830514419</v>
      </c>
      <c r="S218" s="2">
        <f>I218*模块规划!$E$15+J218*模块规划!$E$17+K218*模块规划!$E$16+L218*模块规划!$E$18</f>
        <v>26754.5360082299</v>
      </c>
      <c r="T218" s="2">
        <f t="shared" si="274"/>
        <v>3.33692019516528</v>
      </c>
      <c r="U218" s="13">
        <f t="shared" si="275"/>
        <v>52736.0737838205</v>
      </c>
      <c r="V218" s="2">
        <f t="shared" si="276"/>
        <v>0.906723378657568</v>
      </c>
      <c r="W218" s="2">
        <f t="shared" si="277"/>
        <v>0.275631171543424</v>
      </c>
      <c r="X218" s="2">
        <f t="shared" si="278"/>
        <v>0.464496430436104</v>
      </c>
      <c r="Y218" s="2">
        <f t="shared" si="279"/>
        <v>1</v>
      </c>
      <c r="Z218" s="2">
        <f t="shared" si="280"/>
        <v>1</v>
      </c>
      <c r="AA218" s="2">
        <f t="shared" si="281"/>
        <v>1</v>
      </c>
      <c r="AB218" s="2">
        <f t="shared" si="282"/>
        <v>1</v>
      </c>
      <c r="AC218" s="2">
        <f t="shared" si="283"/>
        <v>1</v>
      </c>
      <c r="AD218" s="1">
        <f t="shared" si="284"/>
        <v>1.87348797126023</v>
      </c>
      <c r="AE218" s="2">
        <f t="shared" si="285"/>
        <v>1</v>
      </c>
      <c r="AF218" s="2">
        <f t="shared" si="286"/>
        <v>1.20625449495791</v>
      </c>
      <c r="AG218" s="2">
        <f t="shared" si="287"/>
        <v>1.36552879939763</v>
      </c>
      <c r="AH218" s="2">
        <f>MIN(1,_曲线基线!$L$3+AH$9*($H$10*H218+$I$10*I218+$J$10*J218+$K$10*K218+$L$10*L218))</f>
        <v>0.519228976029238</v>
      </c>
      <c r="AI218" s="2">
        <f>_曲线基线!$L$4+AI$9*($H$10*H218+$I$10*I218+$J$10*J218+$K$10*K218+$L$10*L218)</f>
        <v>3.30713786179574</v>
      </c>
      <c r="AJ218" s="2">
        <f t="shared" si="288"/>
        <v>2.07252337378112</v>
      </c>
      <c r="AK218" s="1">
        <f t="shared" si="289"/>
        <v>4.55526716321938</v>
      </c>
      <c r="AL218" s="1">
        <f t="shared" si="290"/>
        <v>2250311.08655635</v>
      </c>
      <c r="AM218" s="14">
        <f t="shared" si="291"/>
        <v>44.0832461167631</v>
      </c>
      <c r="AN218" s="14">
        <f>(((E218*模块规划!$D$10+G218*模块规划!$D$11+H218*模块规划!$D$13)*(1+模块规划!$G$14*H218)+(I218*模块规划!$D$15+J218*模块规划!$D$17+K218*模块规划!$D$16+L218*模块规划!$D$18))*(1+模块规划!$J$17*J218))*F218/(1-Q218)</f>
        <v>2756695.29285928</v>
      </c>
      <c r="AO218" s="1">
        <f t="shared" si="292"/>
        <v>99201017.467944</v>
      </c>
      <c r="AP218" s="1">
        <f>IF(AO218="","",_xlfn.XLOOKUP(AO218,_曲线基线!$E$3:$E$502,_曲线基线!$A$3:$A$502,500,1))</f>
        <v>287</v>
      </c>
      <c r="AQ218" s="15">
        <f t="shared" si="295"/>
        <v>5</v>
      </c>
    </row>
    <row r="219" customHeight="1" spans="1:43">
      <c r="A219" s="1" t="str">
        <f>IFERROR(_xlfn.XLOOKUP(B219,_曲线基线!$G$3:$G$107,_曲线基线!$J$3:$J$107,""),"")</f>
        <v/>
      </c>
      <c r="B219" s="1">
        <v>208</v>
      </c>
      <c r="C219" s="1">
        <f t="shared" si="243"/>
        <v>15</v>
      </c>
      <c r="D219" s="1">
        <f t="shared" si="244"/>
        <v>4</v>
      </c>
      <c r="E219" s="1">
        <f t="shared" si="270"/>
        <v>1</v>
      </c>
      <c r="F219" s="11">
        <f t="shared" si="293"/>
        <v>5</v>
      </c>
      <c r="G219" s="12">
        <f t="shared" ref="G219:L219" si="309">IF($B219&lt;G$8,0,G$3+(G$4-G$3)*(POWER(G$5,$B219-G$8)-1)/(POWER(G$5,$C$5-G$8)-1))</f>
        <v>0.873676274575367</v>
      </c>
      <c r="H219" s="12">
        <f t="shared" si="309"/>
        <v>0.6893629125209</v>
      </c>
      <c r="I219" s="12">
        <f t="shared" si="309"/>
        <v>0.622650250480035</v>
      </c>
      <c r="J219" s="12">
        <f t="shared" si="309"/>
        <v>0.587380354634489</v>
      </c>
      <c r="K219" s="12">
        <f t="shared" si="309"/>
        <v>0.592592203429104</v>
      </c>
      <c r="L219" s="12">
        <f t="shared" si="309"/>
        <v>0.689144776142455</v>
      </c>
      <c r="M219" s="2">
        <f>E219*模块规划!$F$10+G219*模块规划!$F$11+H219*模块规划!$F$13</f>
        <v>5193.64611796176</v>
      </c>
      <c r="N219" s="2">
        <f>I219*模块规划!$F$15+J219*模块规划!$F$17+K219*模块规划!$F$16+L219*模块规划!$F$18</f>
        <v>17856.2826514721</v>
      </c>
      <c r="O219" s="2">
        <f t="shared" si="272"/>
        <v>3.33911907077311</v>
      </c>
      <c r="P219" s="13">
        <f t="shared" si="273"/>
        <v>35198.4854508049</v>
      </c>
      <c r="Q219" s="7">
        <f>P219/(P219+_曲线基线!$L$2)</f>
        <v>0.594584222598998</v>
      </c>
      <c r="R219" s="2">
        <f>E219*模块规划!$E$10+G219*模块规划!$E$11+H219*模块规划!$E$13</f>
        <v>7790.46917694264</v>
      </c>
      <c r="S219" s="2">
        <f>I219*模块规划!$E$15+J219*模块规划!$E$17+K219*模块规划!$E$16+L219*模块规划!$E$18</f>
        <v>26784.4239772081</v>
      </c>
      <c r="T219" s="2">
        <f t="shared" si="274"/>
        <v>3.33911907077311</v>
      </c>
      <c r="U219" s="13">
        <f t="shared" si="275"/>
        <v>52797.7281762074</v>
      </c>
      <c r="V219" s="2">
        <f t="shared" si="276"/>
        <v>0.90680887375627</v>
      </c>
      <c r="W219" s="2">
        <f t="shared" si="277"/>
        <v>0.27574516500836</v>
      </c>
      <c r="X219" s="2">
        <f t="shared" si="278"/>
        <v>0.464574800943248</v>
      </c>
      <c r="Y219" s="2">
        <f t="shared" si="279"/>
        <v>1</v>
      </c>
      <c r="Z219" s="2">
        <f t="shared" si="280"/>
        <v>1</v>
      </c>
      <c r="AA219" s="2">
        <f t="shared" si="281"/>
        <v>1</v>
      </c>
      <c r="AB219" s="2">
        <f t="shared" si="282"/>
        <v>1</v>
      </c>
      <c r="AC219" s="2">
        <f t="shared" si="283"/>
        <v>1</v>
      </c>
      <c r="AD219" s="1">
        <f t="shared" si="284"/>
        <v>1.87403128703086</v>
      </c>
      <c r="AE219" s="2">
        <f t="shared" si="285"/>
        <v>1</v>
      </c>
      <c r="AF219" s="2">
        <f t="shared" si="286"/>
        <v>1.20644856576054</v>
      </c>
      <c r="AG219" s="2">
        <f t="shared" si="287"/>
        <v>1.36587273598674</v>
      </c>
      <c r="AH219" s="2">
        <f>MIN(1,_曲线基线!$L$3+AH$9*($H$10*H219+$I$10*I219+$J$10*J219+$K$10*K219+$L$10*L219))</f>
        <v>0.519670487105232</v>
      </c>
      <c r="AI219" s="2">
        <f>_曲线基线!$L$4+AI$9*($H$10*H219+$I$10*I219+$J$10*J219+$K$10*K219+$L$10*L219)</f>
        <v>3.30836778550743</v>
      </c>
      <c r="AJ219" s="2">
        <f t="shared" si="288"/>
        <v>2.07353254195482</v>
      </c>
      <c r="AK219" s="1">
        <f t="shared" si="289"/>
        <v>4.56092271194982</v>
      </c>
      <c r="AL219" s="1">
        <f t="shared" si="290"/>
        <v>2256393.2410876</v>
      </c>
      <c r="AM219" s="14">
        <f t="shared" si="291"/>
        <v>44.1875032178526</v>
      </c>
      <c r="AN219" s="14">
        <f>(((E219*模块规划!$D$10+G219*模块规划!$D$11+H219*模块规划!$D$13)*(1+模块规划!$G$14*H219)+(I219*模块规划!$D$15+J219*模块规划!$D$17+K219*模块规划!$D$16+L219*模块规划!$D$18))*(1+模块规划!$J$17*J219))*F219/(1-Q219)</f>
        <v>2762000.15793953</v>
      </c>
      <c r="AO219" s="1">
        <f t="shared" si="292"/>
        <v>99704383.6012991</v>
      </c>
      <c r="AP219" s="1">
        <f>IF(AO219="","",_xlfn.XLOOKUP(AO219,_曲线基线!$E$3:$E$502,_曲线基线!$A$3:$A$502,500,1))</f>
        <v>287</v>
      </c>
      <c r="AQ219" s="15">
        <f t="shared" si="295"/>
        <v>5</v>
      </c>
    </row>
    <row r="220" customHeight="1" spans="1:43">
      <c r="A220" s="1" t="str">
        <f>IFERROR(_xlfn.XLOOKUP(B220,_曲线基线!$G$3:$G$107,_曲线基线!$J$3:$J$107,""),"")</f>
        <v/>
      </c>
      <c r="B220" s="1">
        <v>209</v>
      </c>
      <c r="C220" s="1">
        <f t="shared" si="243"/>
        <v>15</v>
      </c>
      <c r="D220" s="1">
        <f t="shared" si="244"/>
        <v>5</v>
      </c>
      <c r="E220" s="1">
        <f t="shared" si="270"/>
        <v>1</v>
      </c>
      <c r="F220" s="11">
        <f t="shared" si="293"/>
        <v>5</v>
      </c>
      <c r="G220" s="12">
        <f t="shared" ref="G220:L220" si="310">IF($B220&lt;G$8,0,G$3+(G$4-G$3)*(POWER(G$5,$B220-G$8)-1)/(POWER(G$5,$C$5-G$8)-1))</f>
        <v>0.874276320911232</v>
      </c>
      <c r="H220" s="12">
        <f t="shared" si="310"/>
        <v>0.689642196509993</v>
      </c>
      <c r="I220" s="12">
        <f t="shared" si="310"/>
        <v>0.623368336813503</v>
      </c>
      <c r="J220" s="12">
        <f t="shared" si="310"/>
        <v>0.587711692033523</v>
      </c>
      <c r="K220" s="12">
        <f t="shared" si="310"/>
        <v>0.594099484295496</v>
      </c>
      <c r="L220" s="12">
        <f t="shared" si="310"/>
        <v>0.689429787450992</v>
      </c>
      <c r="M220" s="2">
        <f>E220*模块规划!$F$10+G220*模块规划!$F$11+H220*模块规划!$F$13</f>
        <v>5196.52634037391</v>
      </c>
      <c r="N220" s="2">
        <f>I220*模块规划!$F$15+J220*模块规划!$F$17+K220*模块规划!$F$16+L220*模块规划!$F$18</f>
        <v>17875.8094578712</v>
      </c>
      <c r="O220" s="2">
        <f t="shared" si="272"/>
        <v>3.34127396886878</v>
      </c>
      <c r="P220" s="13">
        <f t="shared" si="273"/>
        <v>35238.8276475035</v>
      </c>
      <c r="Q220" s="7">
        <f>P220/(P220+_曲线基线!$L$2)</f>
        <v>0.594860314542173</v>
      </c>
      <c r="R220" s="2">
        <f>E220*模块规划!$E$10+G220*模块规划!$E$11+H220*模块规划!$E$13</f>
        <v>7794.78951056087</v>
      </c>
      <c r="S220" s="2">
        <f>I220*模块规划!$E$15+J220*模块规划!$E$17+K220*模块规划!$E$16+L220*模块规划!$E$18</f>
        <v>26813.7141868068</v>
      </c>
      <c r="T220" s="2">
        <f t="shared" si="274"/>
        <v>3.34127396886878</v>
      </c>
      <c r="U220" s="13">
        <f t="shared" si="275"/>
        <v>52858.2414712552</v>
      </c>
      <c r="V220" s="2">
        <f t="shared" si="276"/>
        <v>0.906892658952998</v>
      </c>
      <c r="W220" s="2">
        <f t="shared" si="277"/>
        <v>0.275856878603997</v>
      </c>
      <c r="X220" s="2">
        <f t="shared" si="278"/>
        <v>0.464651604040248</v>
      </c>
      <c r="Y220" s="2">
        <f t="shared" si="279"/>
        <v>1</v>
      </c>
      <c r="Z220" s="2">
        <f t="shared" si="280"/>
        <v>1</v>
      </c>
      <c r="AA220" s="2">
        <f t="shared" si="281"/>
        <v>1</v>
      </c>
      <c r="AB220" s="2">
        <f t="shared" si="282"/>
        <v>1</v>
      </c>
      <c r="AC220" s="2">
        <f t="shared" si="283"/>
        <v>1</v>
      </c>
      <c r="AD220" s="1">
        <f t="shared" si="284"/>
        <v>1.87456383171564</v>
      </c>
      <c r="AE220" s="2">
        <f t="shared" si="285"/>
        <v>1</v>
      </c>
      <c r="AF220" s="2">
        <f t="shared" si="286"/>
        <v>1.20663875514712</v>
      </c>
      <c r="AG220" s="2">
        <f t="shared" si="287"/>
        <v>1.36620979384407</v>
      </c>
      <c r="AH220" s="2">
        <f>MIN(1,_曲线基线!$L$3+AH$9*($H$10*H220+$I$10*I220+$J$10*J220+$K$10*K220+$L$10*L220))</f>
        <v>0.520103167959705</v>
      </c>
      <c r="AI220" s="2">
        <f>_曲线基线!$L$4+AI$9*($H$10*H220+$I$10*I220+$J$10*J220+$K$10*K220+$L$10*L220)</f>
        <v>3.30957311074489</v>
      </c>
      <c r="AJ220" s="2">
        <f t="shared" si="288"/>
        <v>2.07452152676504</v>
      </c>
      <c r="AK220" s="1">
        <f t="shared" si="289"/>
        <v>4.56647058185106</v>
      </c>
      <c r="AL220" s="1">
        <f t="shared" si="290"/>
        <v>2262369.89202246</v>
      </c>
      <c r="AM220" s="14">
        <f t="shared" si="291"/>
        <v>44.292802889953</v>
      </c>
      <c r="AN220" s="14">
        <f>(((E220*模块规划!$D$10+G220*模块规划!$D$11+H220*模块规划!$D$13)*(1+模块规划!$G$14*H220)+(I220*模块规划!$D$15+J220*模块规划!$D$17+K220*模块规划!$D$16+L220*模块规划!$D$18))*(1+模块规划!$J$17*J220))*F220/(1-Q220)</f>
        <v>2767210.26630832</v>
      </c>
      <c r="AO220" s="1">
        <f t="shared" si="292"/>
        <v>100206703.691515</v>
      </c>
      <c r="AP220" s="1">
        <f>IF(AO220="","",_xlfn.XLOOKUP(AO220,_曲线基线!$E$3:$E$502,_曲线基线!$A$3:$A$502,500,1))</f>
        <v>288</v>
      </c>
      <c r="AQ220" s="15">
        <f t="shared" si="295"/>
        <v>5</v>
      </c>
    </row>
    <row r="221" customHeight="1" spans="1:43">
      <c r="A221" s="1" t="str">
        <f>IFERROR(_xlfn.XLOOKUP(B221,_曲线基线!$G$3:$G$107,_曲线基线!$J$3:$J$107,""),"")</f>
        <v/>
      </c>
      <c r="B221" s="1">
        <v>210</v>
      </c>
      <c r="C221" s="1">
        <f t="shared" si="243"/>
        <v>15</v>
      </c>
      <c r="D221" s="1">
        <f t="shared" si="244"/>
        <v>6</v>
      </c>
      <c r="E221" s="1">
        <f t="shared" si="270"/>
        <v>1</v>
      </c>
      <c r="F221" s="11">
        <f t="shared" si="293"/>
        <v>5</v>
      </c>
      <c r="G221" s="12">
        <f t="shared" ref="G221:L221" si="311">IF($B221&lt;G$8,0,G$3+(G$4-G$3)*(POWER(G$5,$B221-G$8)-1)/(POWER(G$5,$C$5-G$8)-1))</f>
        <v>0.874867366552059</v>
      </c>
      <c r="H221" s="12">
        <f t="shared" si="311"/>
        <v>0.689915894819305</v>
      </c>
      <c r="I221" s="12">
        <f t="shared" si="311"/>
        <v>0.624072061420301</v>
      </c>
      <c r="J221" s="12">
        <f t="shared" si="311"/>
        <v>0.588036402684577</v>
      </c>
      <c r="K221" s="12">
        <f t="shared" si="311"/>
        <v>0.595576619544559</v>
      </c>
      <c r="L221" s="12">
        <f t="shared" si="311"/>
        <v>0.689709098533357</v>
      </c>
      <c r="M221" s="2">
        <f>E221*模块规划!$F$10+G221*模块规划!$F$11+H221*模块规划!$F$13</f>
        <v>5199.36335944988</v>
      </c>
      <c r="N221" s="2">
        <f>I221*模块规划!$F$15+J221*模块规划!$F$17+K221*模块规划!$F$16+L221*模块规划!$F$18</f>
        <v>17894.9457281423</v>
      </c>
      <c r="O221" s="2">
        <f t="shared" si="272"/>
        <v>3.34338576900254</v>
      </c>
      <c r="P221" s="13">
        <f t="shared" si="273"/>
        <v>35278.4231920003</v>
      </c>
      <c r="Q221" s="7">
        <f>P221/(P221+_曲线基线!$L$2)</f>
        <v>0.59513093116082</v>
      </c>
      <c r="R221" s="2">
        <f>E221*模块规划!$E$10+G221*模块规划!$E$11+H221*模块规划!$E$13</f>
        <v>7799.04503917483</v>
      </c>
      <c r="S221" s="2">
        <f>I221*模块规划!$E$15+J221*模块规划!$E$17+K221*模块规划!$E$16+L221*模块规划!$E$18</f>
        <v>26842.4185922135</v>
      </c>
      <c r="T221" s="2">
        <f t="shared" si="274"/>
        <v>3.34338576900254</v>
      </c>
      <c r="U221" s="13">
        <f t="shared" si="275"/>
        <v>52917.6347880005</v>
      </c>
      <c r="V221" s="2">
        <f t="shared" si="276"/>
        <v>0.906974768445792</v>
      </c>
      <c r="W221" s="2">
        <f t="shared" si="277"/>
        <v>0.275966357927722</v>
      </c>
      <c r="X221" s="2">
        <f t="shared" si="278"/>
        <v>0.464726871075309</v>
      </c>
      <c r="Y221" s="2">
        <f t="shared" si="279"/>
        <v>1</v>
      </c>
      <c r="Z221" s="2">
        <f t="shared" si="280"/>
        <v>1</v>
      </c>
      <c r="AA221" s="2">
        <f t="shared" si="281"/>
        <v>1</v>
      </c>
      <c r="AB221" s="2">
        <f t="shared" si="282"/>
        <v>1</v>
      </c>
      <c r="AC221" s="2">
        <f t="shared" si="283"/>
        <v>1</v>
      </c>
      <c r="AD221" s="1">
        <f t="shared" si="284"/>
        <v>1.87508581696521</v>
      </c>
      <c r="AE221" s="2">
        <f t="shared" si="285"/>
        <v>1</v>
      </c>
      <c r="AF221" s="2">
        <f t="shared" si="286"/>
        <v>1.20682514074597</v>
      </c>
      <c r="AG221" s="2">
        <f t="shared" si="287"/>
        <v>1.36654011054426</v>
      </c>
      <c r="AH221" s="2">
        <f>MIN(1,_曲线基线!$L$3+AH$9*($H$10*H221+$I$10*I221+$J$10*J221+$K$10*K221+$L$10*L221))</f>
        <v>0.520527195197089</v>
      </c>
      <c r="AI221" s="2">
        <f>_曲线基线!$L$4+AI$9*($H$10*H221+$I$10*I221+$J$10*J221+$K$10*K221+$L$10*L221)</f>
        <v>3.31075432947761</v>
      </c>
      <c r="AJ221" s="2">
        <f t="shared" si="288"/>
        <v>2.07549073187906</v>
      </c>
      <c r="AK221" s="1">
        <f t="shared" si="289"/>
        <v>4.57191271438957</v>
      </c>
      <c r="AL221" s="1">
        <f t="shared" si="290"/>
        <v>2268242.62901736</v>
      </c>
      <c r="AM221" s="14">
        <f t="shared" si="291"/>
        <v>44.3991555587744</v>
      </c>
      <c r="AN221" s="14">
        <f>(((E221*模块规划!$D$10+G221*模块规划!$D$11+H221*模块规划!$D$13)*(1+模块规划!$G$14*H221)+(I221*模块规划!$D$15+J221*模块规划!$D$17+K221*模块规划!$D$16+L221*模块规划!$D$18))*(1+模块规划!$J$17*J221))*F221/(1-Q221)</f>
        <v>2772327.20639026</v>
      </c>
      <c r="AO221" s="1">
        <f t="shared" si="292"/>
        <v>100708057.330785</v>
      </c>
      <c r="AP221" s="1">
        <f>IF(AO221="","",_xlfn.XLOOKUP(AO221,_曲线基线!$E$3:$E$502,_曲线基线!$A$3:$A$502,500,1))</f>
        <v>288</v>
      </c>
      <c r="AQ221" s="15">
        <f t="shared" si="295"/>
        <v>5</v>
      </c>
    </row>
    <row r="222" customHeight="1" spans="1:43">
      <c r="A222" s="1" t="str">
        <f>IFERROR(_xlfn.XLOOKUP(B222,_曲线基线!$G$3:$G$107,_曲线基线!$J$3:$J$107,""),"")</f>
        <v/>
      </c>
      <c r="B222" s="1">
        <v>211</v>
      </c>
      <c r="C222" s="1">
        <f t="shared" si="243"/>
        <v>15</v>
      </c>
      <c r="D222" s="1">
        <f t="shared" si="244"/>
        <v>7</v>
      </c>
      <c r="E222" s="1">
        <f t="shared" si="270"/>
        <v>1</v>
      </c>
      <c r="F222" s="11">
        <f t="shared" si="293"/>
        <v>5</v>
      </c>
      <c r="G222" s="12">
        <f t="shared" ref="G222:L222" si="312">IF($B222&lt;G$8,0,G$3+(G$4-G$3)*(POWER(G$5,$B222-G$8)-1)/(POWER(G$5,$C$5-G$8)-1))</f>
        <v>0.875449546508274</v>
      </c>
      <c r="H222" s="12">
        <f t="shared" si="312"/>
        <v>0.69018411916243</v>
      </c>
      <c r="I222" s="12">
        <f t="shared" si="312"/>
        <v>0.624761711534963</v>
      </c>
      <c r="J222" s="12">
        <f t="shared" si="312"/>
        <v>0.588354619122609</v>
      </c>
      <c r="K222" s="12">
        <f t="shared" si="312"/>
        <v>0.597024212088642</v>
      </c>
      <c r="L222" s="12">
        <f t="shared" si="312"/>
        <v>0.689982823394076</v>
      </c>
      <c r="M222" s="2">
        <f>E222*模块规划!$F$10+G222*模块规划!$F$11+H222*模块规划!$F$13</f>
        <v>5202.15782323972</v>
      </c>
      <c r="N222" s="2">
        <f>I222*模块规划!$F$15+J222*模块规划!$F$17+K222*模块规划!$F$16+L222*模块规划!$F$18</f>
        <v>17913.699273008</v>
      </c>
      <c r="O222" s="2">
        <f t="shared" si="272"/>
        <v>3.34545533313363</v>
      </c>
      <c r="P222" s="13">
        <f t="shared" si="273"/>
        <v>35317.2859065682</v>
      </c>
      <c r="Q222" s="7">
        <f>P222/(P222+_曲线基线!$L$2)</f>
        <v>0.595396187920619</v>
      </c>
      <c r="R222" s="2">
        <f>E222*模块规划!$E$10+G222*模块规划!$E$11+H222*模块规划!$E$13</f>
        <v>7803.23673485957</v>
      </c>
      <c r="S222" s="2">
        <f>I222*模块规划!$E$15+J222*模块规划!$E$17+K222*模块规划!$E$16+L222*模块规划!$E$18</f>
        <v>26870.548909512</v>
      </c>
      <c r="T222" s="2">
        <f t="shared" si="274"/>
        <v>3.34545533313363</v>
      </c>
      <c r="U222" s="13">
        <f t="shared" si="275"/>
        <v>52975.9288598522</v>
      </c>
      <c r="V222" s="2">
        <f t="shared" si="276"/>
        <v>0.907055235748729</v>
      </c>
      <c r="W222" s="2">
        <f t="shared" si="277"/>
        <v>0.276073647664972</v>
      </c>
      <c r="X222" s="2">
        <f t="shared" si="278"/>
        <v>0.464800632769668</v>
      </c>
      <c r="Y222" s="2">
        <f t="shared" si="279"/>
        <v>1</v>
      </c>
      <c r="Z222" s="2">
        <f t="shared" si="280"/>
        <v>1</v>
      </c>
      <c r="AA222" s="2">
        <f t="shared" si="281"/>
        <v>1</v>
      </c>
      <c r="AB222" s="2">
        <f t="shared" si="282"/>
        <v>1</v>
      </c>
      <c r="AC222" s="2">
        <f t="shared" si="283"/>
        <v>1</v>
      </c>
      <c r="AD222" s="1">
        <f t="shared" si="284"/>
        <v>1.8755974503465</v>
      </c>
      <c r="AE222" s="2">
        <f t="shared" si="285"/>
        <v>1</v>
      </c>
      <c r="AF222" s="2">
        <f t="shared" si="286"/>
        <v>1.20700779863285</v>
      </c>
      <c r="AG222" s="2">
        <f t="shared" si="287"/>
        <v>1.36686382091044</v>
      </c>
      <c r="AH222" s="2">
        <f>MIN(1,_曲线基线!$L$3+AH$9*($H$10*H222+$I$10*I222+$J$10*J222+$K$10*K222+$L$10*L222))</f>
        <v>0.520942741889725</v>
      </c>
      <c r="AI222" s="2">
        <f>_曲线基线!$L$4+AI$9*($H$10*H222+$I$10*I222+$J$10*J222+$K$10*K222+$L$10*L222)</f>
        <v>3.31191192383566</v>
      </c>
      <c r="AJ222" s="2">
        <f t="shared" si="288"/>
        <v>2.0764405528908</v>
      </c>
      <c r="AK222" s="1">
        <f t="shared" si="289"/>
        <v>4.57725102042547</v>
      </c>
      <c r="AL222" s="1">
        <f t="shared" si="290"/>
        <v>2274013.02766843</v>
      </c>
      <c r="AM222" s="14">
        <f t="shared" si="291"/>
        <v>44.506571754284</v>
      </c>
      <c r="AN222" s="14">
        <f>(((E222*模块规划!$D$10+G222*模块规划!$D$11+H222*模块规划!$D$13)*(1+模块规划!$G$14*H222)+(I222*模块规划!$D$15+J222*模块规划!$D$17+K222*模块规划!$D$16+L222*模块规划!$D$18))*(1+模块规划!$J$17*J222))*F222/(1-Q222)</f>
        <v>2777352.54445665</v>
      </c>
      <c r="AO222" s="1">
        <f t="shared" si="292"/>
        <v>101208523.986102</v>
      </c>
      <c r="AP222" s="1">
        <f>IF(AO222="","",_xlfn.XLOOKUP(AO222,_曲线基线!$E$3:$E$502,_曲线基线!$A$3:$A$502,500,1))</f>
        <v>288</v>
      </c>
      <c r="AQ222" s="15">
        <f t="shared" si="295"/>
        <v>5</v>
      </c>
    </row>
    <row r="223" customHeight="1" spans="1:43">
      <c r="A223" s="1" t="str">
        <f>IFERROR(_xlfn.XLOOKUP(B223,_曲线基线!$G$3:$G$107,_曲线基线!$J$3:$J$107,""),"")</f>
        <v/>
      </c>
      <c r="B223" s="1">
        <v>212</v>
      </c>
      <c r="C223" s="1">
        <f t="shared" si="243"/>
        <v>15</v>
      </c>
      <c r="D223" s="1">
        <f t="shared" si="244"/>
        <v>8</v>
      </c>
      <c r="E223" s="1">
        <f t="shared" si="270"/>
        <v>1</v>
      </c>
      <c r="F223" s="11">
        <f t="shared" si="293"/>
        <v>5</v>
      </c>
      <c r="G223" s="12">
        <f t="shared" ref="G223:L223" si="313">IF($B223&lt;G$8,0,G$3+(G$4-G$3)*(POWER(G$5,$B223-G$8)-1)/(POWER(G$5,$C$5-G$8)-1))</f>
        <v>0.876022993765146</v>
      </c>
      <c r="H223" s="12">
        <f t="shared" si="313"/>
        <v>0.690446979018693</v>
      </c>
      <c r="I223" s="12">
        <f t="shared" si="313"/>
        <v>0.625437568647332</v>
      </c>
      <c r="J223" s="12">
        <f t="shared" si="313"/>
        <v>0.588666471231881</v>
      </c>
      <c r="K223" s="12">
        <f t="shared" si="313"/>
        <v>0.598442852781843</v>
      </c>
      <c r="L223" s="12">
        <f t="shared" si="313"/>
        <v>0.69025107375758</v>
      </c>
      <c r="M223" s="2">
        <f>E223*模块规划!$F$10+G223*模块规划!$F$11+H223*模块规划!$F$13</f>
        <v>5204.9103700727</v>
      </c>
      <c r="N223" s="2">
        <f>I223*模块规划!$F$15+J223*模块规划!$F$17+K223*模块规划!$F$16+L223*模块规划!$F$18</f>
        <v>17932.0777469764</v>
      </c>
      <c r="O223" s="2">
        <f t="shared" si="272"/>
        <v>3.34748350598209</v>
      </c>
      <c r="P223" s="13">
        <f t="shared" si="273"/>
        <v>35355.4293609099</v>
      </c>
      <c r="Q223" s="7">
        <f>P223/(P223+_曲线基线!$L$2)</f>
        <v>0.59565619761474</v>
      </c>
      <c r="R223" s="2">
        <f>E223*模块规划!$E$10+G223*模块规划!$E$11+H223*模块规划!$E$13</f>
        <v>7807.36555510905</v>
      </c>
      <c r="S223" s="2">
        <f>I223*模块规划!$E$15+J223*模块规划!$E$17+K223*模块规划!$E$16+L223*模块规划!$E$18</f>
        <v>26898.1166204646</v>
      </c>
      <c r="T223" s="2">
        <f t="shared" si="274"/>
        <v>3.34748350598209</v>
      </c>
      <c r="U223" s="13">
        <f t="shared" si="275"/>
        <v>53033.1440413649</v>
      </c>
      <c r="V223" s="2">
        <f t="shared" si="276"/>
        <v>0.907134093705608</v>
      </c>
      <c r="W223" s="2">
        <f t="shared" si="277"/>
        <v>0.276178791607477</v>
      </c>
      <c r="X223" s="2">
        <f t="shared" si="278"/>
        <v>0.464872919230141</v>
      </c>
      <c r="Y223" s="2">
        <f t="shared" si="279"/>
        <v>1</v>
      </c>
      <c r="Z223" s="2">
        <f t="shared" si="280"/>
        <v>1</v>
      </c>
      <c r="AA223" s="2">
        <f t="shared" si="281"/>
        <v>1</v>
      </c>
      <c r="AB223" s="2">
        <f t="shared" si="282"/>
        <v>1</v>
      </c>
      <c r="AC223" s="2">
        <f t="shared" si="283"/>
        <v>1</v>
      </c>
      <c r="AD223" s="1">
        <f t="shared" si="284"/>
        <v>1.87609893541857</v>
      </c>
      <c r="AE223" s="2">
        <f t="shared" si="285"/>
        <v>1</v>
      </c>
      <c r="AF223" s="2">
        <f t="shared" si="286"/>
        <v>1.20718680336198</v>
      </c>
      <c r="AG223" s="2">
        <f t="shared" si="287"/>
        <v>1.36718105706929</v>
      </c>
      <c r="AH223" s="2">
        <f>MIN(1,_曲线基线!$L$3+AH$9*($H$10*H223+$I$10*I223+$J$10*J223+$K$10*K223+$L$10*L223))</f>
        <v>0.521349977648509</v>
      </c>
      <c r="AI223" s="2">
        <f>_曲线基线!$L$4+AI$9*($H$10*H223+$I$10*I223+$J$10*J223+$K$10*K223+$L$10*L223)</f>
        <v>3.31304636630656</v>
      </c>
      <c r="AJ223" s="2">
        <f t="shared" si="288"/>
        <v>2.07737137748231</v>
      </c>
      <c r="AK223" s="1">
        <f t="shared" si="289"/>
        <v>4.58248738050939</v>
      </c>
      <c r="AL223" s="1">
        <f t="shared" si="290"/>
        <v>2279682.64918957</v>
      </c>
      <c r="AM223" s="14">
        <f t="shared" si="291"/>
        <v>44.6150621117487</v>
      </c>
      <c r="AN223" s="14">
        <f>(((E223*模块规划!$D$10+G223*模块规划!$D$11+H223*模块规划!$D$13)*(1+模块规划!$G$14*H223)+(I223*模块规划!$D$15+J223*模块规划!$D$17+K223*模块规划!$D$16+L223*模块规划!$D$18))*(1+模块规划!$J$17*J223))*F223/(1-Q223)</f>
        <v>2782287.82474268</v>
      </c>
      <c r="AO223" s="1">
        <f t="shared" si="292"/>
        <v>101708182.988669</v>
      </c>
      <c r="AP223" s="1">
        <f>IF(AO223="","",_xlfn.XLOOKUP(AO223,_曲线基线!$E$3:$E$502,_曲线基线!$A$3:$A$502,500,1))</f>
        <v>289</v>
      </c>
      <c r="AQ223" s="15">
        <f t="shared" si="295"/>
        <v>5</v>
      </c>
    </row>
    <row r="224" customHeight="1" spans="1:43">
      <c r="A224" s="1" t="str">
        <f>IFERROR(_xlfn.XLOOKUP(B224,_曲线基线!$G$3:$G$107,_曲线基线!$J$3:$J$107,""),"")</f>
        <v/>
      </c>
      <c r="B224" s="1">
        <v>213</v>
      </c>
      <c r="C224" s="1">
        <f t="shared" si="243"/>
        <v>15</v>
      </c>
      <c r="D224" s="1">
        <f t="shared" si="244"/>
        <v>9</v>
      </c>
      <c r="E224" s="1">
        <f t="shared" si="270"/>
        <v>1</v>
      </c>
      <c r="F224" s="11">
        <f t="shared" si="293"/>
        <v>5</v>
      </c>
      <c r="G224" s="12">
        <f t="shared" ref="G224:L224" si="314">IF($B224&lt;G$8,0,G$3+(G$4-G$3)*(POWER(G$5,$B224-G$8)-1)/(POWER(G$5,$C$5-G$8)-1))</f>
        <v>0.876587839313165</v>
      </c>
      <c r="H224" s="12">
        <f t="shared" si="314"/>
        <v>0.69070458167783</v>
      </c>
      <c r="I224" s="12">
        <f t="shared" si="314"/>
        <v>0.626099908617454</v>
      </c>
      <c r="J224" s="12">
        <f t="shared" si="314"/>
        <v>0.588972086298967</v>
      </c>
      <c r="K224" s="12">
        <f t="shared" si="314"/>
        <v>0.599833120661179</v>
      </c>
      <c r="L224" s="12">
        <f t="shared" si="314"/>
        <v>0.690513959113814</v>
      </c>
      <c r="M224" s="2">
        <f>E224*模块规划!$F$10+G224*模块规划!$F$11+H224*模块规划!$F$13</f>
        <v>5207.62162870319</v>
      </c>
      <c r="N224" s="2">
        <f>I224*模块规划!$F$15+J224*模块规划!$F$17+K224*模块规划!$F$16+L224*模块规划!$F$18</f>
        <v>17950.0886514654</v>
      </c>
      <c r="O224" s="2">
        <f t="shared" si="272"/>
        <v>3.34947111537358</v>
      </c>
      <c r="P224" s="13">
        <f t="shared" si="273"/>
        <v>35392.8668766015</v>
      </c>
      <c r="Q224" s="7">
        <f>P224/(P224+_曲线基线!$L$2)</f>
        <v>0.595911070434368</v>
      </c>
      <c r="R224" s="2">
        <f>E224*模块规划!$E$10+G224*模块规划!$E$11+H224*模块规划!$E$13</f>
        <v>7811.43244305478</v>
      </c>
      <c r="S224" s="2">
        <f>I224*模块规划!$E$15+J224*模块规划!$E$17+K224*模块规划!$E$16+L224*模块规划!$E$18</f>
        <v>26925.1329771982</v>
      </c>
      <c r="T224" s="2">
        <f t="shared" si="274"/>
        <v>3.34947111537358</v>
      </c>
      <c r="U224" s="13">
        <f t="shared" si="275"/>
        <v>53089.3003149022</v>
      </c>
      <c r="V224" s="2">
        <f t="shared" si="276"/>
        <v>0.907211374503349</v>
      </c>
      <c r="W224" s="2">
        <f t="shared" si="277"/>
        <v>0.276281832671132</v>
      </c>
      <c r="X224" s="2">
        <f t="shared" si="278"/>
        <v>0.464943759961403</v>
      </c>
      <c r="Y224" s="2">
        <f t="shared" si="279"/>
        <v>1</v>
      </c>
      <c r="Z224" s="2">
        <f t="shared" si="280"/>
        <v>1</v>
      </c>
      <c r="AA224" s="2">
        <f t="shared" si="281"/>
        <v>1</v>
      </c>
      <c r="AB224" s="2">
        <f t="shared" si="282"/>
        <v>1</v>
      </c>
      <c r="AC224" s="2">
        <f t="shared" si="283"/>
        <v>1</v>
      </c>
      <c r="AD224" s="1">
        <f t="shared" si="284"/>
        <v>1.87659047180698</v>
      </c>
      <c r="AE224" s="2">
        <f t="shared" si="285"/>
        <v>1</v>
      </c>
      <c r="AF224" s="2">
        <f t="shared" si="286"/>
        <v>1.20736222799654</v>
      </c>
      <c r="AG224" s="2">
        <f t="shared" si="287"/>
        <v>1.36749194850497</v>
      </c>
      <c r="AH224" s="2">
        <f>MIN(1,_曲线基线!$L$3+AH$9*($H$10*H224+$I$10*I224+$J$10*J224+$K$10*K224+$L$10*L224))</f>
        <v>0.521749068692117</v>
      </c>
      <c r="AI224" s="2">
        <f>_曲线基线!$L$4+AI$9*($H$10*H224+$I$10*I224+$J$10*J224+$K$10*K224+$L$10*L224)</f>
        <v>3.31415811992804</v>
      </c>
      <c r="AJ224" s="2">
        <f t="shared" si="288"/>
        <v>2.07828358558198</v>
      </c>
      <c r="AK224" s="1">
        <f t="shared" si="289"/>
        <v>4.5876236451853</v>
      </c>
      <c r="AL224" s="1">
        <f t="shared" si="290"/>
        <v>2285253.04011624</v>
      </c>
      <c r="AM224" s="14">
        <f t="shared" si="291"/>
        <v>44.7246373727881</v>
      </c>
      <c r="AN224" s="14">
        <f>(((E224*模块规划!$D$10+G224*模块规划!$D$11+H224*模块规划!$D$13)*(1+模块规划!$G$14*H224)+(I224*模块规划!$D$15+J224*模块规划!$D$17+K224*模块规划!$D$16+L224*模块规划!$D$18))*(1+模块规划!$J$17*J224))*F224/(1-Q224)</f>
        <v>2787134.5695737</v>
      </c>
      <c r="AO224" s="1">
        <f t="shared" si="292"/>
        <v>102207113.524261</v>
      </c>
      <c r="AP224" s="1">
        <f>IF(AO224="","",_xlfn.XLOOKUP(AO224,_曲线基线!$E$3:$E$502,_曲线基线!$A$3:$A$502,500,1))</f>
        <v>289</v>
      </c>
      <c r="AQ224" s="15">
        <f t="shared" si="295"/>
        <v>5</v>
      </c>
    </row>
    <row r="225" customHeight="1" spans="1:43">
      <c r="A225" s="1" t="str">
        <f>IFERROR(_xlfn.XLOOKUP(B225,_曲线基线!$G$3:$G$107,_曲线基线!$J$3:$J$107,""),"")</f>
        <v/>
      </c>
      <c r="B225" s="1">
        <v>214</v>
      </c>
      <c r="C225" s="1">
        <f t="shared" si="243"/>
        <v>15</v>
      </c>
      <c r="D225" s="1">
        <f t="shared" si="244"/>
        <v>10</v>
      </c>
      <c r="E225" s="1">
        <f t="shared" si="270"/>
        <v>1</v>
      </c>
      <c r="F225" s="11">
        <f t="shared" si="293"/>
        <v>5</v>
      </c>
      <c r="G225" s="12">
        <f t="shared" ref="G225:L225" si="315">IF($B225&lt;G$8,0,G$3+(G$4-G$3)*(POWER(G$5,$B225-G$8)-1)/(POWER(G$5,$C$5-G$8)-1))</f>
        <v>0.877144212177963</v>
      </c>
      <c r="H225" s="12">
        <f t="shared" si="315"/>
        <v>0.690957032283785</v>
      </c>
      <c r="I225" s="12">
        <f t="shared" si="315"/>
        <v>0.626749001788173</v>
      </c>
      <c r="J225" s="12">
        <f t="shared" si="315"/>
        <v>0.589271589064712</v>
      </c>
      <c r="K225" s="12">
        <f t="shared" si="315"/>
        <v>0.601195583182929</v>
      </c>
      <c r="L225" s="12">
        <f t="shared" si="315"/>
        <v>0.690771586762924</v>
      </c>
      <c r="M225" s="2">
        <f>E225*模块规划!$F$10+G225*模块规划!$F$11+H225*模块规划!$F$13</f>
        <v>5210.29221845422</v>
      </c>
      <c r="N225" s="2">
        <f>I225*模块规划!$F$15+J225*模块规划!$F$17+K225*模块规划!$F$16+L225*模块规划!$F$18</f>
        <v>17967.7393378647</v>
      </c>
      <c r="O225" s="2">
        <f t="shared" si="272"/>
        <v>3.35141897257725</v>
      </c>
      <c r="P225" s="13">
        <f t="shared" si="273"/>
        <v>35429.6115314638</v>
      </c>
      <c r="Q225" s="7">
        <f>P225/(P225+_曲线基线!$L$2)</f>
        <v>0.596160914037042</v>
      </c>
      <c r="R225" s="2">
        <f>E225*模块规划!$E$10+G225*模块规划!$E$11+H225*模块规划!$E$13</f>
        <v>7815.43832768133</v>
      </c>
      <c r="S225" s="2">
        <f>I225*模块规划!$E$15+J225*模块规划!$E$17+K225*模块规划!$E$16+L225*模块规划!$E$18</f>
        <v>26951.609006797</v>
      </c>
      <c r="T225" s="2">
        <f t="shared" si="274"/>
        <v>3.35141897257725</v>
      </c>
      <c r="U225" s="13">
        <f t="shared" si="275"/>
        <v>53144.4172971957</v>
      </c>
      <c r="V225" s="2">
        <f t="shared" si="276"/>
        <v>0.907287109685136</v>
      </c>
      <c r="W225" s="2">
        <f t="shared" si="277"/>
        <v>0.276382812913514</v>
      </c>
      <c r="X225" s="2">
        <f t="shared" si="278"/>
        <v>0.465013183878041</v>
      </c>
      <c r="Y225" s="2">
        <f t="shared" si="279"/>
        <v>1</v>
      </c>
      <c r="Z225" s="2">
        <f t="shared" si="280"/>
        <v>1</v>
      </c>
      <c r="AA225" s="2">
        <f t="shared" si="281"/>
        <v>1</v>
      </c>
      <c r="AB225" s="2">
        <f t="shared" si="282"/>
        <v>1</v>
      </c>
      <c r="AC225" s="2">
        <f t="shared" si="283"/>
        <v>1</v>
      </c>
      <c r="AD225" s="1">
        <f t="shared" si="284"/>
        <v>1.87707225527712</v>
      </c>
      <c r="AE225" s="2">
        <f t="shared" si="285"/>
        <v>1</v>
      </c>
      <c r="AF225" s="2">
        <f t="shared" si="286"/>
        <v>1.2075341441384</v>
      </c>
      <c r="AG225" s="2">
        <f t="shared" si="287"/>
        <v>1.36779662211194</v>
      </c>
      <c r="AH225" s="2">
        <f>MIN(1,_曲线基线!$L$3+AH$9*($H$10*H225+$I$10*I225+$J$10*J225+$K$10*K225+$L$10*L225))</f>
        <v>0.522140177914853</v>
      </c>
      <c r="AI225" s="2">
        <f>_曲线基线!$L$4+AI$9*($H$10*H225+$I$10*I225+$J$10*J225+$K$10*K225+$L$10*L225)</f>
        <v>3.31524763847709</v>
      </c>
      <c r="AJ225" s="2">
        <f t="shared" si="288"/>
        <v>2.07917754951966</v>
      </c>
      <c r="AK225" s="1">
        <f t="shared" si="289"/>
        <v>4.59266163529872</v>
      </c>
      <c r="AL225" s="1">
        <f t="shared" si="290"/>
        <v>2290725.73203439</v>
      </c>
      <c r="AM225" s="14">
        <f t="shared" si="291"/>
        <v>44.8353083864378</v>
      </c>
      <c r="AN225" s="14">
        <f>(((E225*模块规划!$D$10+G225*模块规划!$D$11+H225*模块规划!$D$13)*(1+模块规划!$G$14*H225)+(I225*模块规划!$D$15+J225*模块规划!$D$17+K225*模块规划!$D$16+L225*模块规划!$D$18))*(1+模块规划!$J$17*J225))*F225/(1-Q225)</f>
        <v>2791894.2794998</v>
      </c>
      <c r="AO225" s="1">
        <f t="shared" si="292"/>
        <v>102705394.62451</v>
      </c>
      <c r="AP225" s="1">
        <f>IF(AO225="","",_xlfn.XLOOKUP(AO225,_曲线基线!$E$3:$E$502,_曲线基线!$A$3:$A$502,500,1))</f>
        <v>290</v>
      </c>
      <c r="AQ225" s="15">
        <f t="shared" si="295"/>
        <v>5</v>
      </c>
    </row>
    <row r="226" customHeight="1" spans="1:43">
      <c r="A226" s="1" t="str">
        <f>IFERROR(_xlfn.XLOOKUP(B226,_曲线基线!$G$3:$G$107,_曲线基线!$J$3:$J$107,""),"")</f>
        <v/>
      </c>
      <c r="B226" s="1">
        <v>215</v>
      </c>
      <c r="C226" s="1">
        <f t="shared" si="243"/>
        <v>15</v>
      </c>
      <c r="D226" s="1">
        <f t="shared" si="244"/>
        <v>11</v>
      </c>
      <c r="E226" s="1">
        <f t="shared" si="270"/>
        <v>1</v>
      </c>
      <c r="F226" s="11">
        <f t="shared" si="293"/>
        <v>5</v>
      </c>
      <c r="G226" s="12">
        <f t="shared" ref="G226:L226" si="316">IF($B226&lt;G$8,0,G$3+(G$4-G$3)*(POWER(G$5,$B226-G$8)-1)/(POWER(G$5,$C$5-G$8)-1))</f>
        <v>0.877692239449789</v>
      </c>
      <c r="H226" s="12">
        <f t="shared" si="316"/>
        <v>0.691204433877621</v>
      </c>
      <c r="I226" s="12">
        <f t="shared" si="316"/>
        <v>0.627385113095477</v>
      </c>
      <c r="J226" s="12">
        <f t="shared" si="316"/>
        <v>0.589565101775141</v>
      </c>
      <c r="K226" s="12">
        <f t="shared" si="316"/>
        <v>0.602530796454244</v>
      </c>
      <c r="L226" s="12">
        <f t="shared" si="316"/>
        <v>0.691024061859051</v>
      </c>
      <c r="M226" s="2">
        <f>E226*模块规划!$F$10+G226*模块规划!$F$11+H226*模块规划!$F$13</f>
        <v>5212.92274935899</v>
      </c>
      <c r="N226" s="2">
        <f>I226*模块规划!$F$15+J226*模块规划!$F$17+K226*模块规划!$F$16+L226*模块规划!$F$18</f>
        <v>17985.0370105359</v>
      </c>
      <c r="O226" s="2">
        <f t="shared" si="272"/>
        <v>3.35332787263684</v>
      </c>
      <c r="P226" s="13">
        <f t="shared" si="273"/>
        <v>35465.6761638641</v>
      </c>
      <c r="Q226" s="7">
        <f>P226/(P226+_曲线基线!$L$2)</f>
        <v>0.5964058336129</v>
      </c>
      <c r="R226" s="2">
        <f>E226*模块规划!$E$10+G226*模块规划!$E$11+H226*模块规划!$E$13</f>
        <v>7819.38412403848</v>
      </c>
      <c r="S226" s="2">
        <f>I226*模块规划!$E$15+J226*模块规划!$E$17+K226*模块规划!$E$16+L226*模块规划!$E$18</f>
        <v>26977.5555158039</v>
      </c>
      <c r="T226" s="2">
        <f t="shared" si="274"/>
        <v>3.35332787263684</v>
      </c>
      <c r="U226" s="13">
        <f t="shared" si="275"/>
        <v>53198.5142457961</v>
      </c>
      <c r="V226" s="2">
        <f t="shared" si="276"/>
        <v>0.907361330163286</v>
      </c>
      <c r="W226" s="2">
        <f t="shared" si="277"/>
        <v>0.276481773551048</v>
      </c>
      <c r="X226" s="2">
        <f t="shared" si="278"/>
        <v>0.465081219316346</v>
      </c>
      <c r="Y226" s="2">
        <f t="shared" si="279"/>
        <v>1</v>
      </c>
      <c r="Z226" s="2">
        <f t="shared" si="280"/>
        <v>1</v>
      </c>
      <c r="AA226" s="2">
        <f t="shared" si="281"/>
        <v>1</v>
      </c>
      <c r="AB226" s="2">
        <f t="shared" si="282"/>
        <v>1</v>
      </c>
      <c r="AC226" s="2">
        <f t="shared" si="283"/>
        <v>1</v>
      </c>
      <c r="AD226" s="1">
        <f t="shared" si="284"/>
        <v>1.87754447780609</v>
      </c>
      <c r="AE226" s="2">
        <f t="shared" si="285"/>
        <v>1</v>
      </c>
      <c r="AF226" s="2">
        <f t="shared" si="286"/>
        <v>1.20770262195742</v>
      </c>
      <c r="AG226" s="2">
        <f t="shared" si="287"/>
        <v>1.36809520224677</v>
      </c>
      <c r="AH226" s="2">
        <f>MIN(1,_曲线基线!$L$3+AH$9*($H$10*H226+$I$10*I226+$J$10*J226+$K$10*K226+$L$10*L226))</f>
        <v>0.522523464953134</v>
      </c>
      <c r="AI226" s="2">
        <f>_曲线基线!$L$4+AI$9*($H$10*H226+$I$10*I226+$J$10*J226+$K$10*K226+$L$10*L226)</f>
        <v>3.31631536665516</v>
      </c>
      <c r="AJ226" s="2">
        <f t="shared" si="288"/>
        <v>2.08005363417859</v>
      </c>
      <c r="AK226" s="1">
        <f t="shared" si="289"/>
        <v>4.59760314230977</v>
      </c>
      <c r="AL226" s="1">
        <f t="shared" si="290"/>
        <v>2296102.2413329</v>
      </c>
      <c r="AM226" s="14">
        <f t="shared" si="291"/>
        <v>44.9470861102241</v>
      </c>
      <c r="AN226" s="14">
        <f>(((E226*模块规划!$D$10+G226*模块规划!$D$11+H226*模块规划!$D$13)*(1+模块规划!$G$14*H226)+(I226*模块规划!$D$15+J226*模块规划!$D$17+K226*模块规划!$D$16+L226*模块规划!$D$18))*(1+模块规划!$J$17*J226))*F226/(1-Q226)</f>
        <v>2796568.43343826</v>
      </c>
      <c r="AO226" s="1">
        <f t="shared" si="292"/>
        <v>103203105.159068</v>
      </c>
      <c r="AP226" s="1">
        <f>IF(AO226="","",_xlfn.XLOOKUP(AO226,_曲线基线!$E$3:$E$502,_曲线基线!$A$3:$A$502,500,1))</f>
        <v>290</v>
      </c>
      <c r="AQ226" s="15">
        <f t="shared" si="295"/>
        <v>5</v>
      </c>
    </row>
    <row r="227" customHeight="1" spans="1:43">
      <c r="A227" s="1" t="str">
        <f>IFERROR(_xlfn.XLOOKUP(B227,_曲线基线!$G$3:$G$107,_曲线基线!$J$3:$J$107,""),"")</f>
        <v/>
      </c>
      <c r="B227" s="1">
        <v>216</v>
      </c>
      <c r="C227" s="1">
        <f t="shared" si="243"/>
        <v>15</v>
      </c>
      <c r="D227" s="1">
        <f t="shared" si="244"/>
        <v>12</v>
      </c>
      <c r="E227" s="1">
        <f t="shared" si="270"/>
        <v>1</v>
      </c>
      <c r="F227" s="11">
        <f t="shared" si="293"/>
        <v>5</v>
      </c>
      <c r="G227" s="12">
        <f t="shared" ref="G227:L227" si="317">IF($B227&lt;G$8,0,G$3+(G$4-G$3)*(POWER(G$5,$B227-G$8)-1)/(POWER(G$5,$C$5-G$8)-1))</f>
        <v>0.878232046312538</v>
      </c>
      <c r="H227" s="12">
        <f t="shared" si="317"/>
        <v>0.69144688743958</v>
      </c>
      <c r="I227" s="12">
        <f t="shared" si="317"/>
        <v>0.628008502176636</v>
      </c>
      <c r="J227" s="12">
        <f t="shared" si="317"/>
        <v>0.589852744231362</v>
      </c>
      <c r="K227" s="12">
        <f t="shared" si="317"/>
        <v>0.603839305460133</v>
      </c>
      <c r="L227" s="12">
        <f t="shared" si="317"/>
        <v>0.691271487453256</v>
      </c>
      <c r="M227" s="2">
        <f>E227*模块规划!$F$10+G227*模块规划!$F$11+H227*模块规划!$F$13</f>
        <v>5215.51382230018</v>
      </c>
      <c r="N227" s="2">
        <f>I227*模块规划!$F$15+J227*模块规划!$F$17+K227*模块规划!$F$16+L227*模块规划!$F$18</f>
        <v>18001.9887297538</v>
      </c>
      <c r="O227" s="2">
        <f t="shared" si="272"/>
        <v>3.35519859469524</v>
      </c>
      <c r="P227" s="13">
        <f t="shared" si="273"/>
        <v>35501.0733769489</v>
      </c>
      <c r="Q227" s="7">
        <f>P227/(P227+_曲线基线!$L$2)</f>
        <v>0.596645931948889</v>
      </c>
      <c r="R227" s="2">
        <f>E227*模块规划!$E$10+G227*模块规划!$E$11+H227*模块规划!$E$13</f>
        <v>7823.27073345028</v>
      </c>
      <c r="S227" s="2">
        <f>I227*模块规划!$E$15+J227*模块规划!$E$17+K227*模块规划!$E$16+L227*模块规划!$E$18</f>
        <v>27002.9830946307</v>
      </c>
      <c r="T227" s="2">
        <f t="shared" si="274"/>
        <v>3.35519859469524</v>
      </c>
      <c r="U227" s="13">
        <f t="shared" si="275"/>
        <v>53251.6100654235</v>
      </c>
      <c r="V227" s="2">
        <f t="shared" si="276"/>
        <v>0.907434066231874</v>
      </c>
      <c r="W227" s="2">
        <f t="shared" si="277"/>
        <v>0.276578754975832</v>
      </c>
      <c r="X227" s="2">
        <f t="shared" si="278"/>
        <v>0.465147894045884</v>
      </c>
      <c r="Y227" s="2">
        <f t="shared" si="279"/>
        <v>1</v>
      </c>
      <c r="Z227" s="2">
        <f t="shared" si="280"/>
        <v>1</v>
      </c>
      <c r="AA227" s="2">
        <f t="shared" si="281"/>
        <v>1</v>
      </c>
      <c r="AB227" s="2">
        <f t="shared" si="282"/>
        <v>1</v>
      </c>
      <c r="AC227" s="2">
        <f t="shared" si="283"/>
        <v>1</v>
      </c>
      <c r="AD227" s="1">
        <f t="shared" si="284"/>
        <v>1.87800732765349</v>
      </c>
      <c r="AE227" s="2">
        <f t="shared" si="285"/>
        <v>1</v>
      </c>
      <c r="AF227" s="2">
        <f t="shared" si="286"/>
        <v>1.20786773022007</v>
      </c>
      <c r="AG227" s="2">
        <f t="shared" si="287"/>
        <v>1.3683878107789</v>
      </c>
      <c r="AH227" s="2">
        <f>MIN(1,_曲线基线!$L$3+AH$9*($H$10*H227+$I$10*I227+$J$10*J227+$K$10*K227+$L$10*L227))</f>
        <v>0.522899086250649</v>
      </c>
      <c r="AI227" s="2">
        <f>_曲线基线!$L$4+AI$9*($H$10*H227+$I$10*I227+$J$10*J227+$K$10*K227+$L$10*L227)</f>
        <v>3.31736174026967</v>
      </c>
      <c r="AJ227" s="2">
        <f t="shared" si="288"/>
        <v>2.08091219714434</v>
      </c>
      <c r="AK227" s="1">
        <f t="shared" si="289"/>
        <v>4.60244992861055</v>
      </c>
      <c r="AL227" s="1">
        <f t="shared" si="290"/>
        <v>2301384.0689791</v>
      </c>
      <c r="AM227" s="14">
        <f t="shared" si="291"/>
        <v>45.0599816112482</v>
      </c>
      <c r="AN227" s="14">
        <f>(((E227*模块规划!$D$10+G227*模块规划!$D$11+H227*模块规划!$D$13)*(1+模块规划!$G$14*H227)+(I227*模块规划!$D$15+J227*模块规划!$D$17+K227*模块规划!$D$16+L227*模块规划!$D$18))*(1+模块规划!$J$17*J227))*F227/(1-Q227)</f>
        <v>2801158.48882341</v>
      </c>
      <c r="AO227" s="1">
        <f t="shared" si="292"/>
        <v>103700323.828618</v>
      </c>
      <c r="AP227" s="1">
        <f>IF(AO227="","",_xlfn.XLOOKUP(AO227,_曲线基线!$E$3:$E$502,_曲线基线!$A$3:$A$502,500,1))</f>
        <v>290</v>
      </c>
      <c r="AQ227" s="15">
        <f t="shared" si="295"/>
        <v>5</v>
      </c>
    </row>
    <row r="228" customHeight="1" spans="1:43">
      <c r="A228" s="1" t="str">
        <f>IFERROR(_xlfn.XLOOKUP(B228,_曲线基线!$G$3:$G$107,_曲线基线!$J$3:$J$107,""),"")</f>
        <v/>
      </c>
      <c r="B228" s="1">
        <v>217</v>
      </c>
      <c r="C228" s="1">
        <f t="shared" si="243"/>
        <v>15</v>
      </c>
      <c r="D228" s="1">
        <f t="shared" si="244"/>
        <v>13</v>
      </c>
      <c r="E228" s="1">
        <f t="shared" si="270"/>
        <v>1</v>
      </c>
      <c r="F228" s="11">
        <f t="shared" si="293"/>
        <v>5</v>
      </c>
      <c r="G228" s="12">
        <f t="shared" ref="G228:L228" si="318">IF($B228&lt;G$8,0,G$3+(G$4-G$3)*(POWER(G$5,$B228-G$8)-1)/(POWER(G$5,$C$5-G$8)-1))</f>
        <v>0.878763756072346</v>
      </c>
      <c r="H228" s="12">
        <f t="shared" si="318"/>
        <v>0.6916844919303</v>
      </c>
      <c r="I228" s="12">
        <f t="shared" si="318"/>
        <v>0.628619423476171</v>
      </c>
      <c r="J228" s="12">
        <f t="shared" si="318"/>
        <v>0.590134633838459</v>
      </c>
      <c r="K228" s="12">
        <f t="shared" si="318"/>
        <v>0.605121644285904</v>
      </c>
      <c r="L228" s="12">
        <f t="shared" si="318"/>
        <v>0.691513964535576</v>
      </c>
      <c r="M228" s="2">
        <f>E228*模块规划!$F$10+G228*模块规划!$F$11+H228*模块规划!$F$13</f>
        <v>5218.06602914726</v>
      </c>
      <c r="N228" s="2">
        <f>I228*模块规划!$F$15+J228*模块规划!$F$17+K228*模块规划!$F$16+L228*模块规划!$F$18</f>
        <v>18018.6014145873</v>
      </c>
      <c r="O228" s="2">
        <f t="shared" si="272"/>
        <v>3.35703190231247</v>
      </c>
      <c r="P228" s="13">
        <f t="shared" si="273"/>
        <v>35535.8155428076</v>
      </c>
      <c r="Q228" s="7">
        <f>P228/(P228+_曲线基线!$L$2)</f>
        <v>0.596881309491033</v>
      </c>
      <c r="R228" s="2">
        <f>E228*模块规划!$E$10+G228*模块规划!$E$11+H228*模块规划!$E$13</f>
        <v>7827.09904372089</v>
      </c>
      <c r="S228" s="2">
        <f>I228*模块规划!$E$15+J228*模块规划!$E$17+K228*模块规划!$E$16+L228*模块规划!$E$18</f>
        <v>27027.9021218809</v>
      </c>
      <c r="T228" s="2">
        <f t="shared" si="274"/>
        <v>3.35703190231247</v>
      </c>
      <c r="U228" s="13">
        <f t="shared" si="275"/>
        <v>53303.7233142113</v>
      </c>
      <c r="V228" s="2">
        <f t="shared" si="276"/>
        <v>0.90750534757909</v>
      </c>
      <c r="W228" s="2">
        <f t="shared" si="277"/>
        <v>0.27667379677212</v>
      </c>
      <c r="X228" s="2">
        <f t="shared" si="278"/>
        <v>0.465213235280832</v>
      </c>
      <c r="Y228" s="2">
        <f t="shared" si="279"/>
        <v>1</v>
      </c>
      <c r="Z228" s="2">
        <f t="shared" si="280"/>
        <v>1</v>
      </c>
      <c r="AA228" s="2">
        <f t="shared" si="281"/>
        <v>1</v>
      </c>
      <c r="AB228" s="2">
        <f t="shared" si="282"/>
        <v>1</v>
      </c>
      <c r="AC228" s="2">
        <f t="shared" si="283"/>
        <v>1</v>
      </c>
      <c r="AD228" s="1">
        <f t="shared" si="284"/>
        <v>1.87846098943088</v>
      </c>
      <c r="AE228" s="2">
        <f t="shared" si="285"/>
        <v>1</v>
      </c>
      <c r="AF228" s="2">
        <f t="shared" si="286"/>
        <v>1.20802953631746</v>
      </c>
      <c r="AG228" s="2">
        <f t="shared" si="287"/>
        <v>1.36867456714039</v>
      </c>
      <c r="AH228" s="2">
        <f>MIN(1,_曲线基线!$L$3+AH$9*($H$10*H228+$I$10*I228+$J$10*J228+$K$10*K228+$L$10*L228))</f>
        <v>0.523267195122214</v>
      </c>
      <c r="AI228" s="2">
        <f>_曲线基线!$L$4+AI$9*($H$10*H228+$I$10*I228+$J$10*J228+$K$10*K228+$L$10*L228)</f>
        <v>3.31838718641188</v>
      </c>
      <c r="AJ228" s="2">
        <f t="shared" si="288"/>
        <v>2.08175358885078</v>
      </c>
      <c r="AK228" s="1">
        <f t="shared" si="289"/>
        <v>4.60720372784647</v>
      </c>
      <c r="AL228" s="1">
        <f t="shared" si="290"/>
        <v>2306572.70031593</v>
      </c>
      <c r="AM228" s="14">
        <f t="shared" si="291"/>
        <v>45.1740060672825</v>
      </c>
      <c r="AN228" s="14">
        <f>(((E228*模块规划!$D$10+G228*模块规划!$D$11+H228*模块规划!$D$13)*(1+模块规划!$G$14*H228)+(I228*模块规划!$D$15+J228*模块规划!$D$17+K228*模块规划!$D$16+L228*模块规划!$D$18))*(1+模块规划!$J$17*J228))*F228/(1-Q228)</f>
        <v>2805665.88176318</v>
      </c>
      <c r="AO228" s="1">
        <f t="shared" si="292"/>
        <v>104197129.1587</v>
      </c>
      <c r="AP228" s="1">
        <f>IF(AO228="","",_xlfn.XLOOKUP(AO228,_曲线基线!$E$3:$E$502,_曲线基线!$A$3:$A$502,500,1))</f>
        <v>291</v>
      </c>
      <c r="AQ228" s="15">
        <f t="shared" si="295"/>
        <v>5</v>
      </c>
    </row>
    <row r="229" customHeight="1" spans="1:43">
      <c r="A229" s="1" t="str">
        <f>IFERROR(_xlfn.XLOOKUP(B229,_曲线基线!$G$3:$G$107,_曲线基线!$J$3:$J$107,""),"")</f>
        <v/>
      </c>
      <c r="B229" s="1">
        <v>218</v>
      </c>
      <c r="C229" s="1">
        <f t="shared" si="243"/>
        <v>15</v>
      </c>
      <c r="D229" s="1">
        <f t="shared" si="244"/>
        <v>14</v>
      </c>
      <c r="E229" s="1">
        <f t="shared" si="270"/>
        <v>1</v>
      </c>
      <c r="F229" s="11">
        <f t="shared" si="293"/>
        <v>5</v>
      </c>
      <c r="G229" s="12">
        <f t="shared" ref="G229:L229" si="319">IF($B229&lt;G$8,0,G$3+(G$4-G$3)*(POWER(G$5,$B229-G$8)-1)/(POWER(G$5,$C$5-G$8)-1))</f>
        <v>0.879287490185757</v>
      </c>
      <c r="H229" s="12">
        <f t="shared" si="319"/>
        <v>0.691917344331205</v>
      </c>
      <c r="I229" s="12">
        <f t="shared" si="319"/>
        <v>0.629218126349716</v>
      </c>
      <c r="J229" s="12">
        <f t="shared" si="319"/>
        <v>0.590410885653414</v>
      </c>
      <c r="K229" s="12">
        <f t="shared" si="319"/>
        <v>0.606378336335159</v>
      </c>
      <c r="L229" s="12">
        <f t="shared" si="319"/>
        <v>0.69175159207625</v>
      </c>
      <c r="M229" s="2">
        <f>E229*模块规划!$F$10+G229*模块规划!$F$11+H229*模块规划!$F$13</f>
        <v>5220.57995289163</v>
      </c>
      <c r="N229" s="2">
        <f>I229*模块规划!$F$15+J229*模块规划!$F$17+K229*模块规划!$F$16+L229*模块规划!$F$18</f>
        <v>18034.8818457241</v>
      </c>
      <c r="O229" s="2">
        <f t="shared" si="272"/>
        <v>3.35882854377736</v>
      </c>
      <c r="P229" s="13">
        <f t="shared" si="273"/>
        <v>35569.9148065683</v>
      </c>
      <c r="Q229" s="7">
        <f>P229/(P229+_曲线基线!$L$2)</f>
        <v>0.597112064404804</v>
      </c>
      <c r="R229" s="2">
        <f>E229*模块规划!$E$10+G229*模块规划!$E$11+H229*模块规划!$E$13</f>
        <v>7830.86992933745</v>
      </c>
      <c r="S229" s="2">
        <f>I229*模块规划!$E$15+J229*模块规划!$E$17+K229*模块规划!$E$16+L229*模块规划!$E$18</f>
        <v>27052.3227685861</v>
      </c>
      <c r="T229" s="2">
        <f t="shared" si="274"/>
        <v>3.35882854377736</v>
      </c>
      <c r="U229" s="13">
        <f t="shared" si="275"/>
        <v>53354.8722098525</v>
      </c>
      <c r="V229" s="2">
        <f t="shared" si="276"/>
        <v>0.907575203299361</v>
      </c>
      <c r="W229" s="2">
        <f t="shared" si="277"/>
        <v>0.276766937732482</v>
      </c>
      <c r="X229" s="2">
        <f t="shared" si="278"/>
        <v>0.465277269691081</v>
      </c>
      <c r="Y229" s="2">
        <f t="shared" si="279"/>
        <v>1</v>
      </c>
      <c r="Z229" s="2">
        <f t="shared" si="280"/>
        <v>1</v>
      </c>
      <c r="AA229" s="2">
        <f t="shared" si="281"/>
        <v>1</v>
      </c>
      <c r="AB229" s="2">
        <f t="shared" si="282"/>
        <v>1</v>
      </c>
      <c r="AC229" s="2">
        <f t="shared" si="283"/>
        <v>1</v>
      </c>
      <c r="AD229" s="1">
        <f t="shared" si="284"/>
        <v>1.87890564417016</v>
      </c>
      <c r="AE229" s="2">
        <f t="shared" si="285"/>
        <v>1</v>
      </c>
      <c r="AF229" s="2">
        <f t="shared" si="286"/>
        <v>1.2081881062929</v>
      </c>
      <c r="AG229" s="2">
        <f t="shared" si="287"/>
        <v>1.36895558837464</v>
      </c>
      <c r="AH229" s="2">
        <f>MIN(1,_曲线基线!$L$3+AH$9*($H$10*H229+$I$10*I229+$J$10*J229+$K$10*K229+$L$10*L229))</f>
        <v>0.523627941816348</v>
      </c>
      <c r="AI229" s="2">
        <f>_曲线基线!$L$4+AI$9*($H$10*H229+$I$10*I229+$J$10*J229+$K$10*K229+$L$10*L229)</f>
        <v>3.31939212363126</v>
      </c>
      <c r="AJ229" s="2">
        <f t="shared" si="288"/>
        <v>2.08257815272308</v>
      </c>
      <c r="AK229" s="1">
        <f t="shared" si="289"/>
        <v>4.61186624524095</v>
      </c>
      <c r="AL229" s="1">
        <f t="shared" si="290"/>
        <v>2311669.6048802</v>
      </c>
      <c r="AM229" s="14">
        <f t="shared" si="291"/>
        <v>45.2891707678772</v>
      </c>
      <c r="AN229" s="14">
        <f>(((E229*模块规划!$D$10+G229*模块规划!$D$11+H229*模块规划!$D$13)*(1+模块规划!$G$14*H229)+(I229*模块规划!$D$15+J229*模块规划!$D$17+K229*模块规划!$D$16+L229*模块规划!$D$18))*(1+模块规划!$J$17*J229))*F229/(1-Q229)</f>
        <v>2810092.02720214</v>
      </c>
      <c r="AO229" s="1">
        <f t="shared" si="292"/>
        <v>104693599.494331</v>
      </c>
      <c r="AP229" s="1">
        <f>IF(AO229="","",_xlfn.XLOOKUP(AO229,_曲线基线!$E$3:$E$502,_曲线基线!$A$3:$A$502,500,1))</f>
        <v>291</v>
      </c>
      <c r="AQ229" s="15">
        <f t="shared" si="295"/>
        <v>5</v>
      </c>
    </row>
    <row r="230" customHeight="1" spans="1:43">
      <c r="A230" s="1" t="str">
        <f>IFERROR(_xlfn.XLOOKUP(B230,_曲线基线!$G$3:$G$107,_曲线基线!$J$3:$J$107,""),"")</f>
        <v/>
      </c>
      <c r="B230" s="1">
        <v>219</v>
      </c>
      <c r="C230" s="1">
        <f t="shared" si="243"/>
        <v>15</v>
      </c>
      <c r="D230" s="1">
        <f t="shared" si="244"/>
        <v>15</v>
      </c>
      <c r="E230" s="1">
        <f t="shared" si="270"/>
        <v>1</v>
      </c>
      <c r="F230" s="11">
        <f t="shared" si="293"/>
        <v>5</v>
      </c>
      <c r="G230" s="12">
        <f t="shared" ref="G230:L230" si="320">IF($B230&lt;G$8,0,G$3+(G$4-G$3)*(POWER(G$5,$B230-G$8)-1)/(POWER(G$5,$C$5-G$8)-1))</f>
        <v>0.879803368287466</v>
      </c>
      <c r="H230" s="12">
        <f t="shared" si="320"/>
        <v>0.692145539684092</v>
      </c>
      <c r="I230" s="12">
        <f t="shared" si="320"/>
        <v>0.62980485516579</v>
      </c>
      <c r="J230" s="12">
        <f t="shared" si="320"/>
        <v>0.590681612432069</v>
      </c>
      <c r="K230" s="12">
        <f t="shared" si="320"/>
        <v>0.607609894543429</v>
      </c>
      <c r="L230" s="12">
        <f t="shared" si="320"/>
        <v>0.691984467066111</v>
      </c>
      <c r="M230" s="2">
        <f>E230*模块规划!$F$10+G230*模块规划!$F$11+H230*模块规划!$F$13</f>
        <v>5223.05616777984</v>
      </c>
      <c r="N230" s="2">
        <f>I230*模块规划!$F$15+J230*模块规划!$F$17+K230*模块规划!$F$16+L230*模块规划!$F$18</f>
        <v>18050.8366682381</v>
      </c>
      <c r="O230" s="2">
        <f t="shared" si="272"/>
        <v>3.36058925241295</v>
      </c>
      <c r="P230" s="13">
        <f t="shared" si="273"/>
        <v>35603.3830904282</v>
      </c>
      <c r="Q230" s="7">
        <f>P230/(P230+_曲线基线!$L$2)</f>
        <v>0.597338292633691</v>
      </c>
      <c r="R230" s="2">
        <f>E230*模块规划!$E$10+G230*模块规划!$E$11+H230*模块规划!$E$13</f>
        <v>7834.58425166976</v>
      </c>
      <c r="S230" s="2">
        <f>I230*模块规划!$E$15+J230*模块规划!$E$17+K230*模块规划!$E$16+L230*模块规划!$E$18</f>
        <v>27076.2550023572</v>
      </c>
      <c r="T230" s="2">
        <f t="shared" si="274"/>
        <v>3.36058925241295</v>
      </c>
      <c r="U230" s="13">
        <f t="shared" si="275"/>
        <v>53405.0746356424</v>
      </c>
      <c r="V230" s="2">
        <f t="shared" si="276"/>
        <v>0.907643661905228</v>
      </c>
      <c r="W230" s="2">
        <f t="shared" si="277"/>
        <v>0.276858215873637</v>
      </c>
      <c r="X230" s="2">
        <f t="shared" si="278"/>
        <v>0.465340023413125</v>
      </c>
      <c r="Y230" s="2">
        <f t="shared" si="279"/>
        <v>1</v>
      </c>
      <c r="Z230" s="2">
        <f t="shared" si="280"/>
        <v>1</v>
      </c>
      <c r="AA230" s="2">
        <f t="shared" si="281"/>
        <v>1</v>
      </c>
      <c r="AB230" s="2">
        <f t="shared" si="282"/>
        <v>1</v>
      </c>
      <c r="AC230" s="2">
        <f t="shared" si="283"/>
        <v>1</v>
      </c>
      <c r="AD230" s="1">
        <f t="shared" si="284"/>
        <v>1.87934146939067</v>
      </c>
      <c r="AE230" s="2">
        <f t="shared" si="285"/>
        <v>1</v>
      </c>
      <c r="AF230" s="2">
        <f t="shared" si="286"/>
        <v>1.20834350486884</v>
      </c>
      <c r="AG230" s="2">
        <f t="shared" si="287"/>
        <v>1.36923098918422</v>
      </c>
      <c r="AH230" s="2">
        <f>MIN(1,_曲线基线!$L$3+AH$9*($H$10*H230+$I$10*I230+$J$10*J230+$K$10*K230+$L$10*L230))</f>
        <v>0.523981473576599</v>
      </c>
      <c r="AI230" s="2">
        <f>_曲线基线!$L$4+AI$9*($H$10*H230+$I$10*I230+$J$10*J230+$K$10*K230+$L$10*L230)</f>
        <v>3.32037696210624</v>
      </c>
      <c r="AJ230" s="2">
        <f t="shared" si="288"/>
        <v>2.08338622531794</v>
      </c>
      <c r="AK230" s="1">
        <f t="shared" si="289"/>
        <v>4.61643915792309</v>
      </c>
      <c r="AL230" s="1">
        <f t="shared" si="290"/>
        <v>2316676.23624057</v>
      </c>
      <c r="AM230" s="14">
        <f t="shared" si="291"/>
        <v>45.4054871154779</v>
      </c>
      <c r="AN230" s="14">
        <f>(((E230*模块规划!$D$10+G230*模块规划!$D$11+H230*模块规划!$D$13)*(1+模块规划!$G$14*H230)+(I230*模块规划!$D$15+J230*模块规划!$D$17+K230*模块规划!$D$16+L230*模块规划!$D$18))*(1+模块规划!$J$17*J230))*F230/(1-Q230)</f>
        <v>2814438.3190904</v>
      </c>
      <c r="AO230" s="1">
        <f t="shared" si="292"/>
        <v>105189812.995355</v>
      </c>
      <c r="AP230" s="1">
        <f>IF(AO230="","",_xlfn.XLOOKUP(AO230,_曲线基线!$E$3:$E$502,_曲线基线!$A$3:$A$502,500,1))</f>
        <v>291</v>
      </c>
      <c r="AQ230" s="15">
        <f t="shared" si="295"/>
        <v>5</v>
      </c>
    </row>
    <row r="231" customHeight="1" spans="1:43">
      <c r="A231" s="1" t="str">
        <f>IFERROR(_xlfn.XLOOKUP(B231,_曲线基线!$G$3:$G$107,_曲线基线!$J$3:$J$107,""),"")</f>
        <v/>
      </c>
      <c r="B231" s="1">
        <v>220</v>
      </c>
      <c r="C231" s="1">
        <f t="shared" si="243"/>
        <v>16</v>
      </c>
      <c r="D231" s="1">
        <f t="shared" si="244"/>
        <v>1</v>
      </c>
      <c r="E231" s="1">
        <f t="shared" si="270"/>
        <v>1</v>
      </c>
      <c r="F231" s="11">
        <f t="shared" si="293"/>
        <v>5</v>
      </c>
      <c r="G231" s="12">
        <f t="shared" ref="G231:L231" si="321">IF($B231&lt;G$8,0,G$3+(G$4-G$3)*(POWER(G$5,$B231-G$8)-1)/(POWER(G$5,$C$5-G$8)-1))</f>
        <v>0.88031150821765</v>
      </c>
      <c r="H231" s="12">
        <f t="shared" si="321"/>
        <v>0.692369171129922</v>
      </c>
      <c r="I231" s="12">
        <f t="shared" si="321"/>
        <v>0.630379849405542</v>
      </c>
      <c r="J231" s="12">
        <f t="shared" si="321"/>
        <v>0.590946924675152</v>
      </c>
      <c r="K231" s="12">
        <f t="shared" si="321"/>
        <v>0.608816821587534</v>
      </c>
      <c r="L231" s="12">
        <f t="shared" si="321"/>
        <v>0.692212684556174</v>
      </c>
      <c r="M231" s="2">
        <f>E231*模块规划!$F$10+G231*模块规划!$F$11+H231*模块规划!$F$13</f>
        <v>5225.49523944472</v>
      </c>
      <c r="N231" s="2">
        <f>I231*模块规划!$F$15+J231*模块规划!$F$17+K231*模块规划!$F$16+L231*模块规划!$F$18</f>
        <v>18066.4723943019</v>
      </c>
      <c r="O231" s="2">
        <f t="shared" si="272"/>
        <v>3.36231474687582</v>
      </c>
      <c r="P231" s="13">
        <f t="shared" si="273"/>
        <v>35636.2320976163</v>
      </c>
      <c r="Q231" s="7">
        <f>P231/(P231+_曲线基线!$L$2)</f>
        <v>0.597560087956005</v>
      </c>
      <c r="R231" s="2">
        <f>E231*模块规划!$E$10+G231*模块规划!$E$11+H231*模块规划!$E$13</f>
        <v>7838.24285916708</v>
      </c>
      <c r="S231" s="2">
        <f>I231*模块规划!$E$15+J231*模块规划!$E$17+K231*模块规划!$E$16+L231*模块规划!$E$18</f>
        <v>27099.7085914529</v>
      </c>
      <c r="T231" s="2">
        <f t="shared" si="274"/>
        <v>3.36231474687582</v>
      </c>
      <c r="U231" s="13">
        <f t="shared" si="275"/>
        <v>53454.3481464245</v>
      </c>
      <c r="V231" s="2">
        <f t="shared" si="276"/>
        <v>0.907710751338976</v>
      </c>
      <c r="W231" s="2">
        <f t="shared" si="277"/>
        <v>0.276947668451969</v>
      </c>
      <c r="X231" s="2">
        <f t="shared" si="278"/>
        <v>0.465401522060728</v>
      </c>
      <c r="Y231" s="2">
        <f t="shared" si="279"/>
        <v>1</v>
      </c>
      <c r="Z231" s="2">
        <f t="shared" si="280"/>
        <v>1</v>
      </c>
      <c r="AA231" s="2">
        <f t="shared" si="281"/>
        <v>1</v>
      </c>
      <c r="AB231" s="2">
        <f t="shared" si="282"/>
        <v>1</v>
      </c>
      <c r="AC231" s="2">
        <f t="shared" si="283"/>
        <v>1</v>
      </c>
      <c r="AD231" s="1">
        <f t="shared" si="284"/>
        <v>1.87976863916518</v>
      </c>
      <c r="AE231" s="2">
        <f t="shared" si="285"/>
        <v>1</v>
      </c>
      <c r="AF231" s="2">
        <f t="shared" si="286"/>
        <v>1.20849579547325</v>
      </c>
      <c r="AG231" s="2">
        <f t="shared" si="287"/>
        <v>1.3695008819776</v>
      </c>
      <c r="AH231" s="2">
        <f>MIN(1,_曲线基线!$L$3+AH$9*($H$10*H231+$I$10*I231+$J$10*J231+$K$10*K231+$L$10*L231))</f>
        <v>0.524327934701646</v>
      </c>
      <c r="AI231" s="2">
        <f>_曲线基线!$L$4+AI$9*($H$10*H231+$I$10*I231+$J$10*J231+$K$10*K231+$L$10*L231)</f>
        <v>3.32134210381173</v>
      </c>
      <c r="AJ231" s="2">
        <f t="shared" si="288"/>
        <v>2.0841781364609</v>
      </c>
      <c r="AK231" s="1">
        <f t="shared" si="289"/>
        <v>4.62092411525798</v>
      </c>
      <c r="AL231" s="1">
        <f t="shared" si="290"/>
        <v>2321594.03185484</v>
      </c>
      <c r="AM231" s="14">
        <f t="shared" si="291"/>
        <v>45.5229666265545</v>
      </c>
      <c r="AN231" s="14">
        <f>(((E231*模块规划!$D$10+G231*模块规划!$D$11+H231*模块规划!$D$13)*(1+模块规划!$G$14*H231)+(I231*模块规划!$D$15+J231*模块规划!$D$17+K231*模块规划!$D$16+L231*模块规划!$D$18))*(1+模块规划!$J$17*J231))*F231/(1-Q231)</f>
        <v>2818706.13055796</v>
      </c>
      <c r="AO231" s="1">
        <f t="shared" si="292"/>
        <v>105685847.632536</v>
      </c>
      <c r="AP231" s="1">
        <f>IF(AO231="","",_xlfn.XLOOKUP(AO231,_曲线基线!$E$3:$E$502,_曲线基线!$A$3:$A$502,500,1))</f>
        <v>292</v>
      </c>
      <c r="AQ231" s="15">
        <f t="shared" si="295"/>
        <v>5</v>
      </c>
    </row>
    <row r="232" customHeight="1" spans="1:43">
      <c r="A232" s="1" t="str">
        <f>IFERROR(_xlfn.XLOOKUP(B232,_曲线基线!$G$3:$G$107,_曲线基线!$J$3:$J$107,""),"")</f>
        <v/>
      </c>
      <c r="B232" s="1">
        <v>221</v>
      </c>
      <c r="C232" s="1">
        <f t="shared" si="243"/>
        <v>16</v>
      </c>
      <c r="D232" s="1">
        <f t="shared" si="244"/>
        <v>2</v>
      </c>
      <c r="E232" s="1">
        <f t="shared" si="270"/>
        <v>1</v>
      </c>
      <c r="F232" s="11">
        <f t="shared" si="293"/>
        <v>5</v>
      </c>
      <c r="G232" s="12">
        <f t="shared" ref="G232:L232" si="322">IF($B232&lt;G$8,0,G$3+(G$4-G$3)*(POWER(G$5,$B232-G$8)-1)/(POWER(G$5,$C$5-G$8)-1))</f>
        <v>0.880812026048881</v>
      </c>
      <c r="H232" s="12">
        <f t="shared" si="322"/>
        <v>0.692588329946835</v>
      </c>
      <c r="I232" s="12">
        <f t="shared" si="322"/>
        <v>0.6309433437605</v>
      </c>
      <c r="J232" s="12">
        <f t="shared" si="322"/>
        <v>0.591206930673373</v>
      </c>
      <c r="K232" s="12">
        <f t="shared" si="322"/>
        <v>0.609999610090757</v>
      </c>
      <c r="L232" s="12">
        <f t="shared" si="322"/>
        <v>0.692436337696437</v>
      </c>
      <c r="M232" s="2">
        <f>E232*模块规划!$F$10+G232*模块规划!$F$11+H232*模块规划!$F$13</f>
        <v>5227.89772503463</v>
      </c>
      <c r="N232" s="2">
        <f>I232*模块规划!$F$15+J232*模块规划!$F$17+K232*模块规划!$F$16+L232*模块规划!$F$18</f>
        <v>18081.7954058445</v>
      </c>
      <c r="O232" s="2">
        <f t="shared" si="272"/>
        <v>3.36400573144944</v>
      </c>
      <c r="P232" s="13">
        <f t="shared" si="273"/>
        <v>35668.4733162924</v>
      </c>
      <c r="Q232" s="7">
        <f>P232/(P232+_曲线基线!$L$2)</f>
        <v>0.597777542039997</v>
      </c>
      <c r="R232" s="2">
        <f>E232*模块规划!$E$10+G232*模块规划!$E$11+H232*模块规划!$E$13</f>
        <v>7841.84658755195</v>
      </c>
      <c r="S232" s="2">
        <f>I232*模块规划!$E$15+J232*模块规划!$E$17+K232*模块规划!$E$16+L232*模块规划!$E$18</f>
        <v>27122.6931087667</v>
      </c>
      <c r="T232" s="2">
        <f t="shared" si="274"/>
        <v>3.36400573144944</v>
      </c>
      <c r="U232" s="13">
        <f t="shared" si="275"/>
        <v>53502.7099744387</v>
      </c>
      <c r="V232" s="2">
        <f t="shared" si="276"/>
        <v>0.90777649898405</v>
      </c>
      <c r="W232" s="2">
        <f t="shared" si="277"/>
        <v>0.277035331978734</v>
      </c>
      <c r="X232" s="2">
        <f t="shared" si="278"/>
        <v>0.46546179073538</v>
      </c>
      <c r="Y232" s="2">
        <f t="shared" si="279"/>
        <v>1</v>
      </c>
      <c r="Z232" s="2">
        <f t="shared" si="280"/>
        <v>1</v>
      </c>
      <c r="AA232" s="2">
        <f t="shared" si="281"/>
        <v>1</v>
      </c>
      <c r="AB232" s="2">
        <f t="shared" si="282"/>
        <v>1</v>
      </c>
      <c r="AC232" s="2">
        <f t="shared" si="283"/>
        <v>1</v>
      </c>
      <c r="AD232" s="1">
        <f t="shared" si="284"/>
        <v>1.8801873241847</v>
      </c>
      <c r="AE232" s="2">
        <f t="shared" si="285"/>
        <v>1</v>
      </c>
      <c r="AF232" s="2">
        <f t="shared" si="286"/>
        <v>1.20864504026558</v>
      </c>
      <c r="AG232" s="2">
        <f t="shared" si="287"/>
        <v>1.36976537691511</v>
      </c>
      <c r="AH232" s="2">
        <f>MIN(1,_曲线基线!$L$3+AH$9*($H$10*H232+$I$10*I232+$J$10*J232+$K$10*K232+$L$10*L232))</f>
        <v>0.524667466604191</v>
      </c>
      <c r="AI232" s="2">
        <f>_曲线基线!$L$4+AI$9*($H$10*H232+$I$10*I232+$J$10*J232+$K$10*K232+$L$10*L232)</f>
        <v>3.3222879426831</v>
      </c>
      <c r="AJ232" s="2">
        <f t="shared" si="288"/>
        <v>2.08495420938101</v>
      </c>
      <c r="AK232" s="1">
        <f t="shared" si="289"/>
        <v>4.62532273917914</v>
      </c>
      <c r="AL232" s="1">
        <f t="shared" si="290"/>
        <v>2326424.41294534</v>
      </c>
      <c r="AM232" s="14">
        <f t="shared" si="291"/>
        <v>45.6416209327419</v>
      </c>
      <c r="AN232" s="14">
        <f>(((E232*模块规划!$D$10+G232*模块规划!$D$11+H232*模块规划!$D$13)*(1+模块规划!$G$14*H232)+(I232*模块规划!$D$15+J232*模块规划!$D$17+K232*模块规划!$D$16+L232*模块规划!$D$18))*(1+模块规划!$J$17*J232))*F232/(1-Q232)</f>
        <v>2822896.81409415</v>
      </c>
      <c r="AO232" s="1">
        <f t="shared" si="292"/>
        <v>106181781.184328</v>
      </c>
      <c r="AP232" s="1">
        <f>IF(AO232="","",_xlfn.XLOOKUP(AO232,_曲线基线!$E$3:$E$502,_曲线基线!$A$3:$A$502,500,1))</f>
        <v>292</v>
      </c>
      <c r="AQ232" s="15">
        <f t="shared" si="295"/>
        <v>5</v>
      </c>
    </row>
    <row r="233" customHeight="1" spans="1:43">
      <c r="A233" s="1" t="str">
        <f>IFERROR(_xlfn.XLOOKUP(B233,_曲线基线!$G$3:$G$107,_曲线基线!$J$3:$J$107,""),"")</f>
        <v/>
      </c>
      <c r="B233" s="1">
        <v>222</v>
      </c>
      <c r="C233" s="1">
        <f t="shared" si="243"/>
        <v>16</v>
      </c>
      <c r="D233" s="1">
        <f t="shared" si="244"/>
        <v>3</v>
      </c>
      <c r="E233" s="1">
        <f t="shared" si="270"/>
        <v>1</v>
      </c>
      <c r="F233" s="11">
        <f t="shared" si="293"/>
        <v>5</v>
      </c>
      <c r="G233" s="12">
        <f t="shared" ref="G233:L233" si="323">IF($B233&lt;G$8,0,G$3+(G$4-G$3)*(POWER(G$5,$B233-G$8)-1)/(POWER(G$5,$C$5-G$8)-1))</f>
        <v>0.881305036112644</v>
      </c>
      <c r="H233" s="12">
        <f t="shared" si="323"/>
        <v>0.692803105587409</v>
      </c>
      <c r="I233" s="12">
        <f t="shared" si="323"/>
        <v>0.631495568228358</v>
      </c>
      <c r="J233" s="12">
        <f t="shared" si="323"/>
        <v>0.591461736551629</v>
      </c>
      <c r="K233" s="12">
        <f t="shared" si="323"/>
        <v>0.611158742823916</v>
      </c>
      <c r="L233" s="12">
        <f t="shared" si="323"/>
        <v>0.692655517773894</v>
      </c>
      <c r="M233" s="2">
        <f>E233*模块规划!$F$10+G233*模块规划!$F$11+H233*模块规划!$F$13</f>
        <v>5230.26417334069</v>
      </c>
      <c r="N233" s="2">
        <f>I233*模块规划!$F$15+J233*模块规划!$F$17+K233*模块规划!$F$16+L233*模块规划!$F$18</f>
        <v>18096.8119571561</v>
      </c>
      <c r="O233" s="2">
        <f t="shared" si="272"/>
        <v>3.36566289633159</v>
      </c>
      <c r="P233" s="13">
        <f t="shared" si="273"/>
        <v>35700.1180233813</v>
      </c>
      <c r="Q233" s="7">
        <f>P233/(P233+_曲线基线!$L$2)</f>
        <v>0.597990744497347</v>
      </c>
      <c r="R233" s="2">
        <f>E233*模块规划!$E$10+G233*模块规划!$E$11+H233*模块规划!$E$13</f>
        <v>7845.39626001104</v>
      </c>
      <c r="S233" s="2">
        <f>I233*模块规划!$E$15+J233*模块规划!$E$17+K233*模块规划!$E$16+L233*模块规划!$E$18</f>
        <v>27145.2179357342</v>
      </c>
      <c r="T233" s="2">
        <f t="shared" si="274"/>
        <v>3.36566289633159</v>
      </c>
      <c r="U233" s="13">
        <f t="shared" si="275"/>
        <v>53550.177035072</v>
      </c>
      <c r="V233" s="2">
        <f t="shared" si="276"/>
        <v>0.907840931676223</v>
      </c>
      <c r="W233" s="2">
        <f t="shared" si="277"/>
        <v>0.277121242234964</v>
      </c>
      <c r="X233" s="2">
        <f t="shared" si="278"/>
        <v>0.465520854036538</v>
      </c>
      <c r="Y233" s="2">
        <f t="shared" si="279"/>
        <v>1</v>
      </c>
      <c r="Z233" s="2">
        <f t="shared" si="280"/>
        <v>1</v>
      </c>
      <c r="AA233" s="2">
        <f t="shared" si="281"/>
        <v>1</v>
      </c>
      <c r="AB233" s="2">
        <f t="shared" si="282"/>
        <v>1</v>
      </c>
      <c r="AC233" s="2">
        <f t="shared" si="283"/>
        <v>1</v>
      </c>
      <c r="AD233" s="1">
        <f t="shared" si="284"/>
        <v>1.88059769182217</v>
      </c>
      <c r="AE233" s="2">
        <f t="shared" si="285"/>
        <v>1</v>
      </c>
      <c r="AF233" s="2">
        <f t="shared" si="286"/>
        <v>1.20879130016206</v>
      </c>
      <c r="AG233" s="2">
        <f t="shared" si="287"/>
        <v>1.37002458195388</v>
      </c>
      <c r="AH233" s="2">
        <f>MIN(1,_曲线基线!$L$3+AH$9*($H$10*H233+$I$10*I233+$J$10*J233+$K$10*K233+$L$10*L233))</f>
        <v>0.525000207868685</v>
      </c>
      <c r="AI233" s="2">
        <f>_曲线基线!$L$4+AI$9*($H$10*H233+$I$10*I233+$J$10*J233+$K$10*K233+$L$10*L233)</f>
        <v>3.32321486477705</v>
      </c>
      <c r="AJ233" s="2">
        <f t="shared" si="288"/>
        <v>2.08571476084271</v>
      </c>
      <c r="AK233" s="1">
        <f t="shared" si="289"/>
        <v>4.62963662452284</v>
      </c>
      <c r="AL233" s="1">
        <f t="shared" si="290"/>
        <v>2331168.78439176</v>
      </c>
      <c r="AM233" s="14">
        <f t="shared" si="291"/>
        <v>45.7614617819912</v>
      </c>
      <c r="AN233" s="14">
        <f>(((E233*模块规划!$D$10+G233*模块规划!$D$11+H233*模块规划!$D$13)*(1+模块规划!$G$14*H233)+(I233*模块规划!$D$15+J233*模块规划!$D$17+K233*模块规划!$D$16+L233*模块规划!$D$18))*(1+模块规划!$J$17*J233))*F233/(1-Q233)</f>
        <v>2827011.70173168</v>
      </c>
      <c r="AO233" s="1">
        <f t="shared" si="292"/>
        <v>106677691.234315</v>
      </c>
      <c r="AP233" s="1">
        <f>IF(AO233="","",_xlfn.XLOOKUP(AO233,_曲线基线!$E$3:$E$502,_曲线基线!$A$3:$A$502,500,1))</f>
        <v>293</v>
      </c>
      <c r="AQ233" s="15">
        <f t="shared" si="295"/>
        <v>5</v>
      </c>
    </row>
    <row r="234" customHeight="1" spans="1:43">
      <c r="A234" s="1" t="str">
        <f>IFERROR(_xlfn.XLOOKUP(B234,_曲线基线!$G$3:$G$107,_曲线基线!$J$3:$J$107,""),"")</f>
        <v/>
      </c>
      <c r="B234" s="1">
        <v>223</v>
      </c>
      <c r="C234" s="1">
        <f t="shared" si="243"/>
        <v>16</v>
      </c>
      <c r="D234" s="1">
        <f t="shared" si="244"/>
        <v>4</v>
      </c>
      <c r="E234" s="1">
        <f t="shared" si="270"/>
        <v>1</v>
      </c>
      <c r="F234" s="11">
        <f t="shared" si="293"/>
        <v>5</v>
      </c>
      <c r="G234" s="12">
        <f t="shared" ref="G234:L234" si="324">IF($B234&lt;G$8,0,G$3+(G$4-G$3)*(POWER(G$5,$B234-G$8)-1)/(POWER(G$5,$C$5-G$8)-1))</f>
        <v>0.88179065102545</v>
      </c>
      <c r="H234" s="12">
        <f t="shared" si="324"/>
        <v>0.693013585715172</v>
      </c>
      <c r="I234" s="12">
        <f t="shared" si="324"/>
        <v>0.632036748206859</v>
      </c>
      <c r="J234" s="12">
        <f t="shared" si="324"/>
        <v>0.591711446312321</v>
      </c>
      <c r="K234" s="12">
        <f t="shared" si="324"/>
        <v>0.612294692902411</v>
      </c>
      <c r="L234" s="12">
        <f t="shared" si="324"/>
        <v>0.692870314249801</v>
      </c>
      <c r="M234" s="2">
        <f>E234*模块规划!$F$10+G234*模块规划!$F$11+H234*模块规划!$F$13</f>
        <v>5232.59512492216</v>
      </c>
      <c r="N234" s="2">
        <f>I234*模块规划!$F$15+J234*模块规划!$F$17+K234*模块规划!$F$16+L234*模块规划!$F$18</f>
        <v>18111.5281774416</v>
      </c>
      <c r="O234" s="2">
        <f t="shared" si="272"/>
        <v>3.36728691791609</v>
      </c>
      <c r="P234" s="13">
        <f t="shared" si="273"/>
        <v>35731.1772883434</v>
      </c>
      <c r="Q234" s="7">
        <f>P234/(P234+_曲线基线!$L$2)</f>
        <v>0.598199782935074</v>
      </c>
      <c r="R234" s="2">
        <f>E234*模块规划!$E$10+G234*模块规划!$E$11+H234*模块规划!$E$13</f>
        <v>7848.89268738324</v>
      </c>
      <c r="S234" s="2">
        <f>I234*模块规划!$E$15+J234*模块规划!$E$17+K234*模块规划!$E$16+L234*模块规划!$E$18</f>
        <v>27167.2922661623</v>
      </c>
      <c r="T234" s="2">
        <f t="shared" si="274"/>
        <v>3.36728691791609</v>
      </c>
      <c r="U234" s="13">
        <f t="shared" si="275"/>
        <v>53596.7659325152</v>
      </c>
      <c r="V234" s="2">
        <f t="shared" si="276"/>
        <v>0.907904075714552</v>
      </c>
      <c r="W234" s="2">
        <f t="shared" si="277"/>
        <v>0.277205434286069</v>
      </c>
      <c r="X234" s="2">
        <f t="shared" si="278"/>
        <v>0.465578736071672</v>
      </c>
      <c r="Y234" s="2">
        <f t="shared" si="279"/>
        <v>1</v>
      </c>
      <c r="Z234" s="2">
        <f t="shared" si="280"/>
        <v>1</v>
      </c>
      <c r="AA234" s="2">
        <f t="shared" si="281"/>
        <v>1</v>
      </c>
      <c r="AB234" s="2">
        <f t="shared" si="282"/>
        <v>1</v>
      </c>
      <c r="AC234" s="2">
        <f t="shared" si="283"/>
        <v>1</v>
      </c>
      <c r="AD234" s="1">
        <f t="shared" si="284"/>
        <v>1.88099990619501</v>
      </c>
      <c r="AE234" s="2">
        <f t="shared" si="285"/>
        <v>1</v>
      </c>
      <c r="AF234" s="2">
        <f t="shared" si="286"/>
        <v>1.20893463486061</v>
      </c>
      <c r="AG234" s="2">
        <f t="shared" si="287"/>
        <v>1.37027860289186</v>
      </c>
      <c r="AH234" s="2">
        <f>MIN(1,_曲线基线!$L$3+AH$9*($H$10*H234+$I$10*I234+$J$10*J234+$K$10*K234+$L$10*L234))</f>
        <v>0.52532629430789</v>
      </c>
      <c r="AI234" s="2">
        <f>_曲线基线!$L$4+AI$9*($H$10*H234+$I$10*I234+$J$10*J234+$K$10*K234+$L$10*L234)</f>
        <v>3.32412324842912</v>
      </c>
      <c r="AJ234" s="2">
        <f t="shared" si="288"/>
        <v>2.08646010127518</v>
      </c>
      <c r="AK234" s="1">
        <f t="shared" si="289"/>
        <v>4.63386733936384</v>
      </c>
      <c r="AL234" s="1">
        <f t="shared" si="290"/>
        <v>2335828.53464055</v>
      </c>
      <c r="AM234" s="14">
        <f t="shared" si="291"/>
        <v>45.882501039733</v>
      </c>
      <c r="AN234" s="14">
        <f>(((E234*模块规划!$D$10+G234*模块规划!$D$11+H234*模块规划!$D$13)*(1+模块规划!$G$14*H234)+(I234*模块规划!$D$15+J234*模块规划!$D$17+K234*模块规划!$D$16+L234*模块规划!$D$18))*(1+模块规划!$J$17*J234))*F234/(1-Q234)</f>
        <v>2831052.10523504</v>
      </c>
      <c r="AO234" s="1">
        <f t="shared" si="292"/>
        <v>107173655.169283</v>
      </c>
      <c r="AP234" s="1">
        <f>IF(AO234="","",_xlfn.XLOOKUP(AO234,_曲线基线!$E$3:$E$502,_曲线基线!$A$3:$A$502,500,1))</f>
        <v>293</v>
      </c>
      <c r="AQ234" s="15">
        <f t="shared" si="295"/>
        <v>5</v>
      </c>
    </row>
    <row r="235" customHeight="1" spans="1:43">
      <c r="A235" s="1" t="str">
        <f>IFERROR(_xlfn.XLOOKUP(B235,_曲线基线!$G$3:$G$107,_曲线基线!$J$3:$J$107,""),"")</f>
        <v/>
      </c>
      <c r="B235" s="1">
        <v>224</v>
      </c>
      <c r="C235" s="1">
        <f t="shared" si="243"/>
        <v>16</v>
      </c>
      <c r="D235" s="1">
        <f t="shared" si="244"/>
        <v>5</v>
      </c>
      <c r="E235" s="1">
        <f t="shared" si="270"/>
        <v>1</v>
      </c>
      <c r="F235" s="11">
        <f t="shared" si="293"/>
        <v>5</v>
      </c>
      <c r="G235" s="12">
        <f t="shared" ref="G235:L235" si="325">IF($B235&lt;G$8,0,G$3+(G$4-G$3)*(POWER(G$5,$B235-G$8)-1)/(POWER(G$5,$C$5-G$8)-1))</f>
        <v>0.882268981714564</v>
      </c>
      <c r="H235" s="12">
        <f t="shared" si="325"/>
        <v>0.69321985624038</v>
      </c>
      <c r="I235" s="12">
        <f t="shared" si="325"/>
        <v>0.63256710458579</v>
      </c>
      <c r="J235" s="12">
        <f t="shared" si="325"/>
        <v>0.591956161877798</v>
      </c>
      <c r="K235" s="12">
        <f t="shared" si="325"/>
        <v>0.613407923979336</v>
      </c>
      <c r="L235" s="12">
        <f t="shared" si="325"/>
        <v>0.693080814796191</v>
      </c>
      <c r="M235" s="2">
        <f>E235*模块规划!$F$10+G235*模块规划!$F$11+H235*模块规划!$F$13</f>
        <v>5234.89111222991</v>
      </c>
      <c r="N235" s="2">
        <f>I235*模块规划!$F$15+J235*模块规划!$F$17+K235*模块规划!$F$16+L235*模块规划!$F$18</f>
        <v>18125.9500733213</v>
      </c>
      <c r="O235" s="2">
        <f t="shared" si="272"/>
        <v>3.36887845906891</v>
      </c>
      <c r="P235" s="13">
        <f t="shared" si="273"/>
        <v>35761.6619768839</v>
      </c>
      <c r="Q235" s="7">
        <f>P235/(P235+_曲线基线!$L$2)</f>
        <v>0.598404743005921</v>
      </c>
      <c r="R235" s="2">
        <f>E235*模块规划!$E$10+G235*模块规划!$E$11+H235*模块规划!$E$13</f>
        <v>7852.33666834486</v>
      </c>
      <c r="S235" s="2">
        <f>I235*模块规划!$E$15+J235*模块规划!$E$17+K235*模块规划!$E$16+L235*模块规划!$E$18</f>
        <v>27188.9251099819</v>
      </c>
      <c r="T235" s="2">
        <f t="shared" si="274"/>
        <v>3.36887845906891</v>
      </c>
      <c r="U235" s="13">
        <f t="shared" si="275"/>
        <v>53642.4929653258</v>
      </c>
      <c r="V235" s="2">
        <f t="shared" si="276"/>
        <v>0.907965956872114</v>
      </c>
      <c r="W235" s="2">
        <f t="shared" si="277"/>
        <v>0.277287942496152</v>
      </c>
      <c r="X235" s="2">
        <f t="shared" si="278"/>
        <v>0.465635460466105</v>
      </c>
      <c r="Y235" s="2">
        <f t="shared" si="279"/>
        <v>1</v>
      </c>
      <c r="Z235" s="2">
        <f t="shared" si="280"/>
        <v>1</v>
      </c>
      <c r="AA235" s="2">
        <f t="shared" si="281"/>
        <v>1</v>
      </c>
      <c r="AB235" s="2">
        <f t="shared" si="282"/>
        <v>1</v>
      </c>
      <c r="AC235" s="2">
        <f t="shared" si="283"/>
        <v>1</v>
      </c>
      <c r="AD235" s="1">
        <f t="shared" si="284"/>
        <v>1.88139412822663</v>
      </c>
      <c r="AE235" s="2">
        <f t="shared" si="285"/>
        <v>1</v>
      </c>
      <c r="AF235" s="2">
        <f t="shared" si="286"/>
        <v>1.20907510286519</v>
      </c>
      <c r="AG235" s="2">
        <f t="shared" si="287"/>
        <v>1.37052754341109</v>
      </c>
      <c r="AH235" s="2">
        <f>MIN(1,_曲线基线!$L$3+AH$9*($H$10*H235+$I$10*I235+$J$10*J235+$K$10*K235+$L$10*L235))</f>
        <v>0.52564585901831</v>
      </c>
      <c r="AI235" s="2">
        <f>_曲线基线!$L$4+AI$9*($H$10*H235+$I$10*I235+$J$10*J235+$K$10*K235+$L$10*L235)</f>
        <v>3.32501346440815</v>
      </c>
      <c r="AJ235" s="2">
        <f t="shared" si="288"/>
        <v>2.08719053489899</v>
      </c>
      <c r="AK235" s="1">
        <f t="shared" si="289"/>
        <v>4.63801642535228</v>
      </c>
      <c r="AL235" s="1">
        <f t="shared" si="290"/>
        <v>2340405.03563019</v>
      </c>
      <c r="AM235" s="14">
        <f t="shared" si="291"/>
        <v>46.0047506900522</v>
      </c>
      <c r="AN235" s="14">
        <f>(((E235*模块规划!$D$10+G235*模块规划!$D$11+H235*模块规划!$D$13)*(1+模块规划!$G$14*H235)+(I235*模块规划!$D$15+J235*模块规划!$D$17+K235*模块规划!$D$16+L235*模块规划!$D$18))*(1+模块规划!$J$17*J235))*F235/(1-Q235)</f>
        <v>2835019.31629278</v>
      </c>
      <c r="AO235" s="1">
        <f t="shared" si="292"/>
        <v>107669750.17791</v>
      </c>
      <c r="AP235" s="1">
        <f>IF(AO235="","",_xlfn.XLOOKUP(AO235,_曲线基线!$E$3:$E$502,_曲线基线!$A$3:$A$502,500,1))</f>
        <v>293</v>
      </c>
      <c r="AQ235" s="15">
        <f t="shared" si="295"/>
        <v>5</v>
      </c>
    </row>
    <row r="236" customHeight="1" spans="1:43">
      <c r="A236" s="1" t="str">
        <f>IFERROR(_xlfn.XLOOKUP(B236,_曲线基线!$G$3:$G$107,_曲线基线!$J$3:$J$107,""),"")</f>
        <v/>
      </c>
      <c r="B236" s="1">
        <v>225</v>
      </c>
      <c r="C236" s="1">
        <f t="shared" si="243"/>
        <v>16</v>
      </c>
      <c r="D236" s="1">
        <f t="shared" si="244"/>
        <v>6</v>
      </c>
      <c r="E236" s="1">
        <f t="shared" si="270"/>
        <v>1</v>
      </c>
      <c r="F236" s="11">
        <f t="shared" si="293"/>
        <v>5</v>
      </c>
      <c r="G236" s="12">
        <f t="shared" ref="G236:L236" si="326">IF($B236&lt;G$8,0,G$3+(G$4-G$3)*(POWER(G$5,$B236-G$8)-1)/(POWER(G$5,$C$5-G$8)-1))</f>
        <v>0.882740137443341</v>
      </c>
      <c r="H236" s="12">
        <f t="shared" si="326"/>
        <v>0.693422001355084</v>
      </c>
      <c r="I236" s="12">
        <f t="shared" si="326"/>
        <v>0.633086853837142</v>
      </c>
      <c r="J236" s="12">
        <f t="shared" si="326"/>
        <v>0.592195983131966</v>
      </c>
      <c r="K236" s="12">
        <f t="shared" si="326"/>
        <v>0.614498890434723</v>
      </c>
      <c r="L236" s="12">
        <f t="shared" si="326"/>
        <v>0.693287105331653</v>
      </c>
      <c r="M236" s="2">
        <f>E236*模块规划!$F$10+G236*模块规划!$F$11+H236*模块规划!$F$13</f>
        <v>5237.15265972804</v>
      </c>
      <c r="N236" s="2">
        <f>I236*模块规划!$F$15+J236*模块规划!$F$17+K236*模块规划!$F$16+L236*模块规划!$F$18</f>
        <v>18140.0835312834</v>
      </c>
      <c r="O236" s="2">
        <f t="shared" si="272"/>
        <v>3.37043816939867</v>
      </c>
      <c r="P236" s="13">
        <f t="shared" si="273"/>
        <v>35791.5827545986</v>
      </c>
      <c r="Q236" s="7">
        <f>P236/(P236+_曲线基线!$L$2)</f>
        <v>0.59860570845728</v>
      </c>
      <c r="R236" s="2">
        <f>E236*模块规划!$E$10+G236*模块规划!$E$11+H236*模块规划!$E$13</f>
        <v>7855.72898959206</v>
      </c>
      <c r="S236" s="2">
        <f>I236*模块规划!$E$15+J236*模块规划!$E$17+K236*模块规划!$E$16+L236*模块规划!$E$18</f>
        <v>27210.1252969251</v>
      </c>
      <c r="T236" s="2">
        <f t="shared" si="274"/>
        <v>3.37043816939867</v>
      </c>
      <c r="U236" s="13">
        <f t="shared" si="275"/>
        <v>53687.3741318978</v>
      </c>
      <c r="V236" s="2">
        <f t="shared" si="276"/>
        <v>0.908026600406525</v>
      </c>
      <c r="W236" s="2">
        <f t="shared" si="277"/>
        <v>0.277368800542034</v>
      </c>
      <c r="X236" s="2">
        <f t="shared" si="278"/>
        <v>0.465691050372648</v>
      </c>
      <c r="Y236" s="2">
        <f t="shared" si="279"/>
        <v>1</v>
      </c>
      <c r="Z236" s="2">
        <f t="shared" si="280"/>
        <v>1</v>
      </c>
      <c r="AA236" s="2">
        <f t="shared" si="281"/>
        <v>1</v>
      </c>
      <c r="AB236" s="2">
        <f t="shared" si="282"/>
        <v>1</v>
      </c>
      <c r="AC236" s="2">
        <f t="shared" si="283"/>
        <v>1</v>
      </c>
      <c r="AD236" s="1">
        <f t="shared" si="284"/>
        <v>1.88178051570678</v>
      </c>
      <c r="AE236" s="2">
        <f t="shared" si="285"/>
        <v>1</v>
      </c>
      <c r="AF236" s="2">
        <f t="shared" si="286"/>
        <v>1.20921276150968</v>
      </c>
      <c r="AG236" s="2">
        <f t="shared" si="287"/>
        <v>1.37077150511994</v>
      </c>
      <c r="AH236" s="2">
        <f>MIN(1,_曲线基线!$L$3+AH$9*($H$10*H236+$I$10*I236+$J$10*J236+$K$10*K236+$L$10*L236))</f>
        <v>0.525959032434522</v>
      </c>
      <c r="AI236" s="2">
        <f>_曲线基线!$L$4+AI$9*($H$10*H236+$I$10*I236+$J$10*J236+$K$10*K236+$L$10*L236)</f>
        <v>3.3258858760676</v>
      </c>
      <c r="AJ236" s="2">
        <f t="shared" si="288"/>
        <v>2.08790635985034</v>
      </c>
      <c r="AK236" s="1">
        <f t="shared" si="289"/>
        <v>4.64208539805139</v>
      </c>
      <c r="AL236" s="1">
        <f t="shared" si="290"/>
        <v>2344899.64273148</v>
      </c>
      <c r="AM236" s="14">
        <f t="shared" si="291"/>
        <v>46.1282228368746</v>
      </c>
      <c r="AN236" s="14">
        <f>(((E236*模块规划!$D$10+G236*模块规划!$D$11+H236*模块规划!$D$13)*(1+模块规划!$G$14*H236)+(I236*模块规划!$D$15+J236*模块规划!$D$17+K236*模块规划!$D$16+L236*模块规划!$D$18))*(1+模块规划!$J$17*J236))*F236/(1-Q236)</f>
        <v>2838914.60671332</v>
      </c>
      <c r="AO236" s="1">
        <f t="shared" si="292"/>
        <v>108166053.250025</v>
      </c>
      <c r="AP236" s="1">
        <f>IF(AO236="","",_xlfn.XLOOKUP(AO236,_曲线基线!$E$3:$E$502,_曲线基线!$A$3:$A$502,500,1))</f>
        <v>294</v>
      </c>
      <c r="AQ236" s="15">
        <f t="shared" si="295"/>
        <v>5</v>
      </c>
    </row>
    <row r="237" customHeight="1" spans="1:43">
      <c r="A237" s="1" t="str">
        <f>IFERROR(_xlfn.XLOOKUP(B237,_曲线基线!$G$3:$G$107,_曲线基线!$J$3:$J$107,""),"")</f>
        <v/>
      </c>
      <c r="B237" s="1">
        <v>226</v>
      </c>
      <c r="C237" s="1">
        <f t="shared" si="243"/>
        <v>16</v>
      </c>
      <c r="D237" s="1">
        <f t="shared" si="244"/>
        <v>7</v>
      </c>
      <c r="E237" s="1">
        <f t="shared" si="270"/>
        <v>1</v>
      </c>
      <c r="F237" s="11">
        <f t="shared" si="293"/>
        <v>5</v>
      </c>
      <c r="G237" s="12">
        <f t="shared" ref="G237:L237" si="327">IF($B237&lt;G$8,0,G$3+(G$4-G$3)*(POWER(G$5,$B237-G$8)-1)/(POWER(G$5,$C$5-G$8)-1))</f>
        <v>0.883204225836187</v>
      </c>
      <c r="H237" s="12">
        <f t="shared" si="327"/>
        <v>0.693620103567494</v>
      </c>
      <c r="I237" s="12">
        <f t="shared" si="327"/>
        <v>0.633596208103468</v>
      </c>
      <c r="J237" s="12">
        <f t="shared" si="327"/>
        <v>0.592431007961051</v>
      </c>
      <c r="K237" s="12">
        <f t="shared" si="327"/>
        <v>0.615568037561002</v>
      </c>
      <c r="L237" s="12">
        <f t="shared" si="327"/>
        <v>0.693489270056406</v>
      </c>
      <c r="M237" s="2">
        <f>E237*模块规划!$F$10+G237*模块规划!$F$11+H237*模块规划!$F$13</f>
        <v>5239.3802840137</v>
      </c>
      <c r="N237" s="2">
        <f>I237*模块规划!$F$15+J237*模块规划!$F$17+K237*模块规划!$F$16+L237*模块规划!$F$18</f>
        <v>18153.9343200863</v>
      </c>
      <c r="O237" s="2">
        <f t="shared" si="272"/>
        <v>3.37196668552183</v>
      </c>
      <c r="P237" s="13">
        <f t="shared" si="273"/>
        <v>35820.9500905604</v>
      </c>
      <c r="Q237" s="7">
        <f>P237/(P237+_曲线基线!$L$2)</f>
        <v>0.598802761178694</v>
      </c>
      <c r="R237" s="2">
        <f>E237*模块规划!$E$10+G237*模块规划!$E$11+H237*模块规划!$E$13</f>
        <v>7859.07042602055</v>
      </c>
      <c r="S237" s="2">
        <f>I237*模块规划!$E$15+J237*模块规划!$E$17+K237*模块规划!$E$16+L237*模块规划!$E$18</f>
        <v>27230.9014801294</v>
      </c>
      <c r="T237" s="2">
        <f t="shared" si="274"/>
        <v>3.37196668552183</v>
      </c>
      <c r="U237" s="13">
        <f t="shared" si="275"/>
        <v>53731.4251358406</v>
      </c>
      <c r="V237" s="2">
        <f t="shared" si="276"/>
        <v>0.908086031070248</v>
      </c>
      <c r="W237" s="2">
        <f t="shared" si="277"/>
        <v>0.277448041426997</v>
      </c>
      <c r="X237" s="2">
        <f t="shared" si="278"/>
        <v>0.465745528481061</v>
      </c>
      <c r="Y237" s="2">
        <f t="shared" si="279"/>
        <v>1</v>
      </c>
      <c r="Z237" s="2">
        <f t="shared" si="280"/>
        <v>1</v>
      </c>
      <c r="AA237" s="2">
        <f t="shared" si="281"/>
        <v>1</v>
      </c>
      <c r="AB237" s="2">
        <f t="shared" si="282"/>
        <v>1</v>
      </c>
      <c r="AC237" s="2">
        <f t="shared" si="283"/>
        <v>1</v>
      </c>
      <c r="AD237" s="1">
        <f t="shared" si="284"/>
        <v>1.88215922335089</v>
      </c>
      <c r="AE237" s="2">
        <f t="shared" si="285"/>
        <v>1</v>
      </c>
      <c r="AF237" s="2">
        <f t="shared" si="286"/>
        <v>1.20934766698128</v>
      </c>
      <c r="AG237" s="2">
        <f t="shared" si="287"/>
        <v>1.3710105875946</v>
      </c>
      <c r="AH237" s="2">
        <f>MIN(1,_曲线基线!$L$3+AH$9*($H$10*H237+$I$10*I237+$J$10*J237+$K$10*K237+$L$10*L237))</f>
        <v>0.526265942382409</v>
      </c>
      <c r="AI237" s="2">
        <f>_曲线基线!$L$4+AI$9*($H$10*H237+$I$10*I237+$J$10*J237+$K$10*K237+$L$10*L237)</f>
        <v>3.32674083949385</v>
      </c>
      <c r="AJ237" s="2">
        <f t="shared" si="288"/>
        <v>2.08860786830265</v>
      </c>
      <c r="AK237" s="1">
        <f t="shared" si="289"/>
        <v>4.64607574727574</v>
      </c>
      <c r="AL237" s="1">
        <f t="shared" si="290"/>
        <v>2349313.69470218</v>
      </c>
      <c r="AM237" s="14">
        <f t="shared" si="291"/>
        <v>46.2529297051652</v>
      </c>
      <c r="AN237" s="14">
        <f>(((E237*模块规划!$D$10+G237*模块规划!$D$11+H237*模块规划!$D$13)*(1+模块规划!$G$14*H237)+(I237*模块规划!$D$15+J237*模块规划!$D$17+K237*模块规划!$D$16+L237*模块规划!$D$18))*(1+模块规划!$J$17*J237))*F237/(1-Q237)</f>
        <v>2842739.22862406</v>
      </c>
      <c r="AO237" s="1">
        <f t="shared" si="292"/>
        <v>108662641.176442</v>
      </c>
      <c r="AP237" s="1">
        <f>IF(AO237="","",_xlfn.XLOOKUP(AO237,_曲线基线!$E$3:$E$502,_曲线基线!$A$3:$A$502,500,1))</f>
        <v>294</v>
      </c>
      <c r="AQ237" s="15">
        <f t="shared" si="295"/>
        <v>5</v>
      </c>
    </row>
    <row r="238" customHeight="1" spans="1:43">
      <c r="A238" s="1" t="str">
        <f>IFERROR(_xlfn.XLOOKUP(B238,_曲线基线!$G$3:$G$107,_曲线基线!$J$3:$J$107,""),"")</f>
        <v/>
      </c>
      <c r="B238" s="1">
        <v>227</v>
      </c>
      <c r="C238" s="1">
        <f t="shared" si="243"/>
        <v>16</v>
      </c>
      <c r="D238" s="1">
        <f t="shared" si="244"/>
        <v>8</v>
      </c>
      <c r="E238" s="1">
        <f t="shared" si="270"/>
        <v>1</v>
      </c>
      <c r="F238" s="11">
        <f t="shared" si="293"/>
        <v>5</v>
      </c>
      <c r="G238" s="12">
        <f t="shared" ref="G238:L238" si="328">IF($B238&lt;G$8,0,G$3+(G$4-G$3)*(POWER(G$5,$B238-G$8)-1)/(POWER(G$5,$C$5-G$8)-1))</f>
        <v>0.88366135290314</v>
      </c>
      <c r="H238" s="12">
        <f t="shared" si="328"/>
        <v>0.693814243735655</v>
      </c>
      <c r="I238" s="12">
        <f t="shared" si="328"/>
        <v>0.634095375284467</v>
      </c>
      <c r="J238" s="12">
        <f t="shared" si="328"/>
        <v>0.592661332293553</v>
      </c>
      <c r="K238" s="12">
        <f t="shared" si="328"/>
        <v>0.616615801744756</v>
      </c>
      <c r="L238" s="12">
        <f t="shared" si="328"/>
        <v>0.693687391486663</v>
      </c>
      <c r="M238" s="2">
        <f>E238*模块规划!$F$10+G238*模块规划!$F$11+H238*模块规划!$F$13</f>
        <v>5241.57449393507</v>
      </c>
      <c r="N238" s="2">
        <f>I238*模块规划!$F$15+J238*模块规划!$F$17+K238*模块规划!$F$16+L238*模块规划!$F$18</f>
        <v>18167.5080931131</v>
      </c>
      <c r="O238" s="2">
        <f t="shared" si="272"/>
        <v>3.37346463132253</v>
      </c>
      <c r="P238" s="13">
        <f t="shared" si="273"/>
        <v>35849.7742608454</v>
      </c>
      <c r="Q238" s="7">
        <f>P238/(P238+_曲线基线!$L$2)</f>
        <v>0.598995981247983</v>
      </c>
      <c r="R238" s="2">
        <f>E238*模块规划!$E$10+G238*模块规划!$E$11+H238*模块规划!$E$13</f>
        <v>7862.36174090261</v>
      </c>
      <c r="S238" s="2">
        <f>I238*模块规划!$E$15+J238*模块规划!$E$17+K238*模块规划!$E$16+L238*模块规划!$E$18</f>
        <v>27251.2621396697</v>
      </c>
      <c r="T238" s="2">
        <f t="shared" si="274"/>
        <v>3.37346463132253</v>
      </c>
      <c r="U238" s="13">
        <f t="shared" si="275"/>
        <v>53774.6613912681</v>
      </c>
      <c r="V238" s="2">
        <f t="shared" si="276"/>
        <v>0.908144273120697</v>
      </c>
      <c r="W238" s="2">
        <f t="shared" si="277"/>
        <v>0.277525697494262</v>
      </c>
      <c r="X238" s="2">
        <f t="shared" si="278"/>
        <v>0.465798917027305</v>
      </c>
      <c r="Y238" s="2">
        <f t="shared" si="279"/>
        <v>1</v>
      </c>
      <c r="Z238" s="2">
        <f t="shared" si="280"/>
        <v>1</v>
      </c>
      <c r="AA238" s="2">
        <f t="shared" si="281"/>
        <v>1</v>
      </c>
      <c r="AB238" s="2">
        <f t="shared" si="282"/>
        <v>1</v>
      </c>
      <c r="AC238" s="2">
        <f t="shared" si="283"/>
        <v>1</v>
      </c>
      <c r="AD238" s="1">
        <f t="shared" si="284"/>
        <v>1.88253040285829</v>
      </c>
      <c r="AE238" s="2">
        <f t="shared" si="285"/>
        <v>1</v>
      </c>
      <c r="AF238" s="2">
        <f t="shared" si="286"/>
        <v>1.20947987434345</v>
      </c>
      <c r="AG238" s="2">
        <f t="shared" si="287"/>
        <v>1.37124488841978</v>
      </c>
      <c r="AH238" s="2">
        <f>MIN(1,_曲线基线!$L$3+AH$9*($H$10*H238+$I$10*I238+$J$10*J238+$K$10*K238+$L$10*L238))</f>
        <v>0.526566714131339</v>
      </c>
      <c r="AI238" s="2">
        <f>_曲线基线!$L$4+AI$9*($H$10*H238+$I$10*I238+$J$10*J238+$K$10*K238+$L$10*L238)</f>
        <v>3.32757870365159</v>
      </c>
      <c r="AJ238" s="2">
        <f t="shared" si="288"/>
        <v>2.08929534658592</v>
      </c>
      <c r="AK238" s="1">
        <f t="shared" si="289"/>
        <v>4.64998893742974</v>
      </c>
      <c r="AL238" s="1">
        <f t="shared" si="290"/>
        <v>2353648.51365535</v>
      </c>
      <c r="AM238" s="14">
        <f t="shared" si="291"/>
        <v>46.3788836421387</v>
      </c>
      <c r="AN238" s="14">
        <f>(((E238*模块规划!$D$10+G238*模块规划!$D$11+H238*模块规划!$D$13)*(1+模块规划!$G$14*H238)+(I238*模块规划!$D$15+J238*模块规划!$D$17+K238*模块规划!$D$16+L238*模块规划!$D$18))*(1+模块规划!$J$17*J238))*F238/(1-Q238)</f>
        <v>2846494.41467342</v>
      </c>
      <c r="AO238" s="1">
        <f t="shared" si="292"/>
        <v>109159590.549314</v>
      </c>
      <c r="AP238" s="1">
        <f>IF(AO238="","",_xlfn.XLOOKUP(AO238,_曲线基线!$E$3:$E$502,_曲线基线!$A$3:$A$502,500,1))</f>
        <v>294</v>
      </c>
      <c r="AQ238" s="15">
        <f t="shared" si="295"/>
        <v>5</v>
      </c>
    </row>
    <row r="239" customHeight="1" spans="1:43">
      <c r="A239" s="1" t="str">
        <f>IFERROR(_xlfn.XLOOKUP(B239,_曲线基线!$G$3:$G$107,_曲线基线!$J$3:$J$107,""),"")</f>
        <v/>
      </c>
      <c r="B239" s="1">
        <v>228</v>
      </c>
      <c r="C239" s="1">
        <f t="shared" si="243"/>
        <v>16</v>
      </c>
      <c r="D239" s="1">
        <f t="shared" si="244"/>
        <v>9</v>
      </c>
      <c r="E239" s="1">
        <f t="shared" si="270"/>
        <v>1</v>
      </c>
      <c r="F239" s="11">
        <f t="shared" si="293"/>
        <v>5</v>
      </c>
      <c r="G239" s="12">
        <f t="shared" ref="G239:L239" si="329">IF($B239&lt;G$8,0,G$3+(G$4-G$3)*(POWER(G$5,$B239-G$8)-1)/(POWER(G$5,$C$5-G$8)-1))</f>
        <v>0.884111623064089</v>
      </c>
      <c r="H239" s="12">
        <f t="shared" si="329"/>
        <v>0.694004501100453</v>
      </c>
      <c r="I239" s="12">
        <f t="shared" si="329"/>
        <v>0.634584559121846</v>
      </c>
      <c r="J239" s="12">
        <f t="shared" si="329"/>
        <v>0.592887050139406</v>
      </c>
      <c r="K239" s="12">
        <f t="shared" si="329"/>
        <v>0.617642610644834</v>
      </c>
      <c r="L239" s="12">
        <f t="shared" si="329"/>
        <v>0.693881550488316</v>
      </c>
      <c r="M239" s="2">
        <f>E239*模块规划!$F$10+G239*模块规划!$F$11+H239*模块规划!$F$13</f>
        <v>5243.73579070763</v>
      </c>
      <c r="N239" s="2">
        <f>I239*模块规划!$F$15+J239*模块规划!$F$17+K239*模块规划!$F$16+L239*模块规划!$F$18</f>
        <v>18180.8103906794</v>
      </c>
      <c r="O239" s="2">
        <f t="shared" si="272"/>
        <v>3.37493261820721</v>
      </c>
      <c r="P239" s="13">
        <f t="shared" si="273"/>
        <v>35878.0653519992</v>
      </c>
      <c r="Q239" s="7">
        <f>P239/(P239+_曲线基线!$L$2)</f>
        <v>0.599185446976057</v>
      </c>
      <c r="R239" s="2">
        <f>E239*模块规划!$E$10+G239*模块规划!$E$11+H239*模块规划!$E$13</f>
        <v>7865.60368606144</v>
      </c>
      <c r="S239" s="2">
        <f>I239*模块规划!$E$15+J239*模块规划!$E$17+K239*模块规划!$E$16+L239*模块规划!$E$18</f>
        <v>27271.2155860191</v>
      </c>
      <c r="T239" s="2">
        <f t="shared" si="274"/>
        <v>3.37493261820721</v>
      </c>
      <c r="U239" s="13">
        <f t="shared" si="275"/>
        <v>53817.0980279987</v>
      </c>
      <c r="V239" s="2">
        <f t="shared" si="276"/>
        <v>0.908201350330136</v>
      </c>
      <c r="W239" s="2">
        <f t="shared" si="277"/>
        <v>0.277601800440181</v>
      </c>
      <c r="X239" s="2">
        <f t="shared" si="278"/>
        <v>0.465851237802625</v>
      </c>
      <c r="Y239" s="2">
        <f t="shared" si="279"/>
        <v>1</v>
      </c>
      <c r="Z239" s="2">
        <f t="shared" si="280"/>
        <v>1</v>
      </c>
      <c r="AA239" s="2">
        <f t="shared" si="281"/>
        <v>1</v>
      </c>
      <c r="AB239" s="2">
        <f t="shared" si="282"/>
        <v>1</v>
      </c>
      <c r="AC239" s="2">
        <f t="shared" si="283"/>
        <v>1</v>
      </c>
      <c r="AD239" s="1">
        <f t="shared" si="284"/>
        <v>1.88289420296949</v>
      </c>
      <c r="AE239" s="2">
        <f t="shared" si="285"/>
        <v>1</v>
      </c>
      <c r="AF239" s="2">
        <f t="shared" si="286"/>
        <v>1.20960943755837</v>
      </c>
      <c r="AG239" s="2">
        <f t="shared" si="287"/>
        <v>1.37147450322845</v>
      </c>
      <c r="AH239" s="2">
        <f>MIN(1,_曲线基线!$L$3+AH$9*($H$10*H239+$I$10*I239+$J$10*J239+$K$10*K239+$L$10*L239))</f>
        <v>0.526861470445291</v>
      </c>
      <c r="AI239" s="2">
        <f>_曲线基线!$L$4+AI$9*($H$10*H239+$I$10*I239+$J$10*J239+$K$10*K239+$L$10*L239)</f>
        <v>3.32839981052617</v>
      </c>
      <c r="AJ239" s="2">
        <f t="shared" si="288"/>
        <v>2.08996907530352</v>
      </c>
      <c r="AK239" s="1">
        <f t="shared" si="289"/>
        <v>4.65382640784605</v>
      </c>
      <c r="AL239" s="1">
        <f t="shared" si="290"/>
        <v>2357905.40504064</v>
      </c>
      <c r="AM239" s="14">
        <f t="shared" si="291"/>
        <v>46.506097118482</v>
      </c>
      <c r="AN239" s="14">
        <f>(((E239*模块规划!$D$10+G239*模块规划!$D$11+H239*模块规划!$D$13)*(1+模块规划!$G$14*H239)+(I239*模块规划!$D$15+J239*模块规划!$D$17+K239*模块规划!$D$16+L239*模块规划!$D$18))*(1+模块规划!$J$17*J239))*F239/(1-Q239)</f>
        <v>2850181.37823547</v>
      </c>
      <c r="AO239" s="1">
        <f t="shared" si="292"/>
        <v>109656977.763014</v>
      </c>
      <c r="AP239" s="1">
        <f>IF(AO239="","",_xlfn.XLOOKUP(AO239,_曲线基线!$E$3:$E$502,_曲线基线!$A$3:$A$502,500,1))</f>
        <v>295</v>
      </c>
      <c r="AQ239" s="15">
        <f t="shared" si="295"/>
        <v>5</v>
      </c>
    </row>
    <row r="240" customHeight="1" spans="1:43">
      <c r="A240" s="1" t="str">
        <f>IFERROR(_xlfn.XLOOKUP(B240,_曲线基线!$G$3:$G$107,_曲线基线!$J$3:$J$107,""),"")</f>
        <v/>
      </c>
      <c r="B240" s="1">
        <v>229</v>
      </c>
      <c r="C240" s="1">
        <f t="shared" si="243"/>
        <v>16</v>
      </c>
      <c r="D240" s="1">
        <f t="shared" si="244"/>
        <v>10</v>
      </c>
      <c r="E240" s="1">
        <f t="shared" si="270"/>
        <v>1</v>
      </c>
      <c r="F240" s="11">
        <f t="shared" si="293"/>
        <v>5</v>
      </c>
      <c r="G240" s="12">
        <f t="shared" ref="G240:L240" si="330">IF($B240&lt;G$8,0,G$3+(G$4-G$3)*(POWER(G$5,$B240-G$8)-1)/(POWER(G$5,$C$5-G$8)-1))</f>
        <v>0.884555139172623</v>
      </c>
      <c r="H240" s="12">
        <f t="shared" si="330"/>
        <v>0.694190953317956</v>
      </c>
      <c r="I240" s="12">
        <f t="shared" si="330"/>
        <v>0.635063959282477</v>
      </c>
      <c r="J240" s="12">
        <f t="shared" si="330"/>
        <v>0.593108253628342</v>
      </c>
      <c r="K240" s="12">
        <f t="shared" si="330"/>
        <v>0.618648883366911</v>
      </c>
      <c r="L240" s="12">
        <f t="shared" si="330"/>
        <v>0.694071826309935</v>
      </c>
      <c r="M240" s="2">
        <f>E240*模块规划!$F$10+G240*模块规划!$F$11+H240*模块规划!$F$13</f>
        <v>5245.86466802859</v>
      </c>
      <c r="N240" s="2">
        <f>I240*模块规划!$F$15+J240*模块规划!$F$17+K240*模块规划!$F$16+L240*模块规划!$F$18</f>
        <v>18193.8466422944</v>
      </c>
      <c r="O240" s="2">
        <f t="shared" si="272"/>
        <v>3.37637124535421</v>
      </c>
      <c r="P240" s="13">
        <f t="shared" si="273"/>
        <v>35905.8332644457</v>
      </c>
      <c r="Q240" s="7">
        <f>P240/(P240+_曲线基线!$L$2)</f>
        <v>0.599371234950436</v>
      </c>
      <c r="R240" s="2">
        <f>E240*模块规划!$E$10+G240*模块规划!$E$11+H240*模块规划!$E$13</f>
        <v>7868.79700204289</v>
      </c>
      <c r="S240" s="2">
        <f>I240*模块规划!$E$15+J240*模块规划!$E$17+K240*模块规划!$E$16+L240*模块规划!$E$18</f>
        <v>27290.7699634416</v>
      </c>
      <c r="T240" s="2">
        <f t="shared" si="274"/>
        <v>3.37637124535421</v>
      </c>
      <c r="U240" s="13">
        <f t="shared" si="275"/>
        <v>53858.7498966686</v>
      </c>
      <c r="V240" s="2">
        <f t="shared" si="276"/>
        <v>0.908257285995387</v>
      </c>
      <c r="W240" s="2">
        <f t="shared" si="277"/>
        <v>0.277676381327182</v>
      </c>
      <c r="X240" s="2">
        <f t="shared" si="278"/>
        <v>0.465902512162438</v>
      </c>
      <c r="Y240" s="2">
        <f t="shared" si="279"/>
        <v>1</v>
      </c>
      <c r="Z240" s="2">
        <f t="shared" si="280"/>
        <v>1</v>
      </c>
      <c r="AA240" s="2">
        <f t="shared" si="281"/>
        <v>1</v>
      </c>
      <c r="AB240" s="2">
        <f t="shared" si="282"/>
        <v>1</v>
      </c>
      <c r="AC240" s="2">
        <f t="shared" si="283"/>
        <v>1</v>
      </c>
      <c r="AD240" s="1">
        <f t="shared" si="284"/>
        <v>1.88325076952231</v>
      </c>
      <c r="AE240" s="2">
        <f t="shared" si="285"/>
        <v>1</v>
      </c>
      <c r="AF240" s="2">
        <f t="shared" si="286"/>
        <v>1.20973640950899</v>
      </c>
      <c r="AG240" s="2">
        <f t="shared" si="287"/>
        <v>1.37169952574094</v>
      </c>
      <c r="AH240" s="2">
        <f>MIN(1,_曲线基线!$L$3+AH$9*($H$10*H240+$I$10*I240+$J$10*J240+$K$10*K240+$L$10*L240))</f>
        <v>0.527150331632963</v>
      </c>
      <c r="AI240" s="2">
        <f>_曲线基线!$L$4+AI$9*($H$10*H240+$I$10*I240+$J$10*J240+$K$10*K240+$L$10*L240)</f>
        <v>3.32920449526325</v>
      </c>
      <c r="AJ240" s="2">
        <f t="shared" si="288"/>
        <v>2.09062932944677</v>
      </c>
      <c r="AK240" s="1">
        <f t="shared" si="289"/>
        <v>4.65758957312375</v>
      </c>
      <c r="AL240" s="1">
        <f t="shared" si="290"/>
        <v>2362085.65763781</v>
      </c>
      <c r="AM240" s="14">
        <f t="shared" si="291"/>
        <v>46.6345827295887</v>
      </c>
      <c r="AN240" s="14">
        <f>(((E240*模块规划!$D$10+G240*模块规划!$D$11+H240*模块规划!$D$13)*(1+模块规划!$G$14*H240)+(I240*模块规划!$D$15+J240*模块规划!$D$17+K240*模块规划!$D$16+L240*模块规划!$D$18))*(1+模块规划!$J$17*J240))*F240/(1-Q240)</f>
        <v>2853801.31361689</v>
      </c>
      <c r="AO240" s="1">
        <f t="shared" si="292"/>
        <v>110154879.015485</v>
      </c>
      <c r="AP240" s="1">
        <f>IF(AO240="","",_xlfn.XLOOKUP(AO240,_曲线基线!$E$3:$E$502,_曲线基线!$A$3:$A$502,500,1))</f>
        <v>295</v>
      </c>
      <c r="AQ240" s="15">
        <f t="shared" si="295"/>
        <v>5</v>
      </c>
    </row>
    <row r="241" customHeight="1" spans="1:43">
      <c r="A241" s="1" t="str">
        <f>IFERROR(_xlfn.XLOOKUP(B241,_曲线基线!$G$3:$G$107,_曲线基线!$J$3:$J$107,""),"")</f>
        <v/>
      </c>
      <c r="B241" s="1">
        <v>230</v>
      </c>
      <c r="C241" s="1">
        <f t="shared" si="243"/>
        <v>16</v>
      </c>
      <c r="D241" s="1">
        <f t="shared" si="244"/>
        <v>11</v>
      </c>
      <c r="E241" s="1">
        <f t="shared" si="270"/>
        <v>1</v>
      </c>
      <c r="F241" s="11">
        <f t="shared" si="293"/>
        <v>5</v>
      </c>
      <c r="G241" s="12">
        <f t="shared" ref="G241:L241" si="331">IF($B241&lt;G$8,0,G$3+(G$4-G$3)*(POWER(G$5,$B241-G$8)-1)/(POWER(G$5,$C$5-G$8)-1))</f>
        <v>0.88499200253953</v>
      </c>
      <c r="H241" s="12">
        <f t="shared" si="331"/>
        <v>0.694373676491108</v>
      </c>
      <c r="I241" s="12">
        <f t="shared" si="331"/>
        <v>0.635533771439895</v>
      </c>
      <c r="J241" s="12">
        <f t="shared" si="331"/>
        <v>0.593325033047499</v>
      </c>
      <c r="K241" s="12">
        <f t="shared" si="331"/>
        <v>0.619635030634546</v>
      </c>
      <c r="L241" s="12">
        <f t="shared" si="331"/>
        <v>0.694258296615122</v>
      </c>
      <c r="M241" s="2">
        <f>E241*模块规划!$F$10+G241*模块规划!$F$11+H241*模块规划!$F$13</f>
        <v>5247.96161218974</v>
      </c>
      <c r="N241" s="2">
        <f>I241*模块规划!$F$15+J241*模块规划!$F$17+K241*模块规划!$F$16+L241*模块规划!$F$18</f>
        <v>18206.622168877</v>
      </c>
      <c r="O241" s="2">
        <f t="shared" si="272"/>
        <v>3.37778109995826</v>
      </c>
      <c r="P241" s="13">
        <f t="shared" si="273"/>
        <v>35933.087715838</v>
      </c>
      <c r="Q241" s="7">
        <f>P241/(P241+_曲线基线!$L$2)</f>
        <v>0.599553420077542</v>
      </c>
      <c r="R241" s="2">
        <f>E241*模块规划!$E$10+G241*模块规划!$E$11+H241*模块规划!$E$13</f>
        <v>7871.94241828462</v>
      </c>
      <c r="S241" s="2">
        <f>I241*模块规划!$E$15+J241*模块规划!$E$17+K241*模块规划!$E$16+L241*模块规划!$E$18</f>
        <v>27309.9332533156</v>
      </c>
      <c r="T241" s="2">
        <f t="shared" si="274"/>
        <v>3.37778109995826</v>
      </c>
      <c r="U241" s="13">
        <f t="shared" si="275"/>
        <v>53899.6315737571</v>
      </c>
      <c r="V241" s="2">
        <f t="shared" si="276"/>
        <v>0.908312102947332</v>
      </c>
      <c r="W241" s="2">
        <f t="shared" si="277"/>
        <v>0.277749470596443</v>
      </c>
      <c r="X241" s="2">
        <f t="shared" si="278"/>
        <v>0.465952761035055</v>
      </c>
      <c r="Y241" s="2">
        <f t="shared" si="279"/>
        <v>1</v>
      </c>
      <c r="Z241" s="2">
        <f t="shared" si="280"/>
        <v>1</v>
      </c>
      <c r="AA241" s="2">
        <f t="shared" si="281"/>
        <v>1</v>
      </c>
      <c r="AB241" s="2">
        <f t="shared" si="282"/>
        <v>1</v>
      </c>
      <c r="AC241" s="2">
        <f t="shared" si="283"/>
        <v>1</v>
      </c>
      <c r="AD241" s="1">
        <f t="shared" si="284"/>
        <v>1.88360024550716</v>
      </c>
      <c r="AE241" s="2">
        <f t="shared" si="285"/>
        <v>1</v>
      </c>
      <c r="AF241" s="2">
        <f t="shared" si="286"/>
        <v>1.20986084202061</v>
      </c>
      <c r="AG241" s="2">
        <f t="shared" si="287"/>
        <v>1.37192004780319</v>
      </c>
      <c r="AH241" s="2">
        <f>MIN(1,_曲线基线!$L$3+AH$9*($H$10*H241+$I$10*I241+$J$10*J241+$K$10*K241+$L$10*L241))</f>
        <v>0.527433415596882</v>
      </c>
      <c r="AI241" s="2">
        <f>_曲线基线!$L$4+AI$9*($H$10*H241+$I$10*I241+$J$10*J241+$K$10*K241+$L$10*L241)</f>
        <v>3.3299930863056</v>
      </c>
      <c r="AJ241" s="2">
        <f t="shared" si="288"/>
        <v>2.09127637850716</v>
      </c>
      <c r="AK241" s="1">
        <f t="shared" si="289"/>
        <v>4.66127982346605</v>
      </c>
      <c r="AL241" s="1">
        <f t="shared" si="290"/>
        <v>2366190.54356216</v>
      </c>
      <c r="AM241" s="14">
        <f t="shared" si="291"/>
        <v>46.7643531968064</v>
      </c>
      <c r="AN241" s="14">
        <f>(((E241*模块规划!$D$10+G241*模块规划!$D$11+H241*模块规划!$D$13)*(1+模块规划!$G$14*H241)+(I241*模块规划!$D$15+J241*模块规划!$D$17+K241*模块规划!$D$16+L241*模块规划!$D$18))*(1+模块规划!$J$17*J241))*F241/(1-Q241)</f>
        <v>2857355.39626608</v>
      </c>
      <c r="AO241" s="1">
        <f t="shared" si="292"/>
        <v>110653370.310084</v>
      </c>
      <c r="AP241" s="1">
        <f>IF(AO241="","",_xlfn.XLOOKUP(AO241,_曲线基线!$E$3:$E$502,_曲线基线!$A$3:$A$502,500,1))</f>
        <v>296</v>
      </c>
      <c r="AQ241" s="15">
        <f t="shared" si="295"/>
        <v>5</v>
      </c>
    </row>
    <row r="242" customHeight="1" spans="1:43">
      <c r="A242" s="1" t="str">
        <f>IFERROR(_xlfn.XLOOKUP(B242,_曲线基线!$G$3:$G$107,_曲线基线!$J$3:$J$107,""),"")</f>
        <v/>
      </c>
      <c r="B242" s="1">
        <v>231</v>
      </c>
      <c r="C242" s="1">
        <f t="shared" si="243"/>
        <v>16</v>
      </c>
      <c r="D242" s="1">
        <f t="shared" si="244"/>
        <v>12</v>
      </c>
      <c r="E242" s="1">
        <f t="shared" si="270"/>
        <v>1</v>
      </c>
      <c r="F242" s="11">
        <f t="shared" si="293"/>
        <v>5</v>
      </c>
      <c r="G242" s="12">
        <f t="shared" ref="G242:L242" si="332">IF($B242&lt;G$8,0,G$3+(G$4-G$3)*(POWER(G$5,$B242-G$8)-1)/(POWER(G$5,$C$5-G$8)-1))</f>
        <v>0.885422312955933</v>
      </c>
      <c r="H242" s="12">
        <f t="shared" si="332"/>
        <v>0.694552745200797</v>
      </c>
      <c r="I242" s="12">
        <f t="shared" si="332"/>
        <v>0.635994187354166</v>
      </c>
      <c r="J242" s="12">
        <f t="shared" si="332"/>
        <v>0.593537476878273</v>
      </c>
      <c r="K242" s="12">
        <f t="shared" si="332"/>
        <v>0.620601454956829</v>
      </c>
      <c r="L242" s="12">
        <f t="shared" si="332"/>
        <v>0.694441037514205</v>
      </c>
      <c r="M242" s="2">
        <f>E242*模块规划!$F$10+G242*模块规划!$F$11+H242*模块规划!$F$13</f>
        <v>5250.02710218848</v>
      </c>
      <c r="N242" s="2">
        <f>I242*模块规划!$F$15+J242*模块规划!$F$17+K242*模块规划!$F$16+L242*模块规划!$F$18</f>
        <v>18219.1421849281</v>
      </c>
      <c r="O242" s="2">
        <f t="shared" si="272"/>
        <v>3.37916275747023</v>
      </c>
      <c r="P242" s="13">
        <f t="shared" si="273"/>
        <v>35959.8382443527</v>
      </c>
      <c r="Q242" s="7">
        <f>P242/(P242+_曲线基线!$L$2)</f>
        <v>0.599732075623796</v>
      </c>
      <c r="R242" s="2">
        <f>E242*模块规划!$E$10+G242*模块规划!$E$11+H242*模块规划!$E$13</f>
        <v>7875.04065328272</v>
      </c>
      <c r="S242" s="2">
        <f>I242*模块规划!$E$15+J242*模块规划!$E$17+K242*模块规划!$E$16+L242*模块规划!$E$18</f>
        <v>27328.7132773921</v>
      </c>
      <c r="T242" s="2">
        <f t="shared" si="274"/>
        <v>3.37916275747023</v>
      </c>
      <c r="U242" s="13">
        <f t="shared" si="275"/>
        <v>53939.7573665291</v>
      </c>
      <c r="V242" s="2">
        <f t="shared" si="276"/>
        <v>0.908365823560239</v>
      </c>
      <c r="W242" s="2">
        <f t="shared" si="277"/>
        <v>0.277821098080319</v>
      </c>
      <c r="X242" s="2">
        <f t="shared" si="278"/>
        <v>0.466002004930219</v>
      </c>
      <c r="Y242" s="2">
        <f t="shared" si="279"/>
        <v>1</v>
      </c>
      <c r="Z242" s="2">
        <f t="shared" si="280"/>
        <v>1</v>
      </c>
      <c r="AA242" s="2">
        <f t="shared" si="281"/>
        <v>1</v>
      </c>
      <c r="AB242" s="2">
        <f t="shared" si="282"/>
        <v>1</v>
      </c>
      <c r="AC242" s="2">
        <f t="shared" si="283"/>
        <v>1</v>
      </c>
      <c r="AD242" s="1">
        <f t="shared" si="284"/>
        <v>1.88394277112118</v>
      </c>
      <c r="AE242" s="2">
        <f t="shared" si="285"/>
        <v>1</v>
      </c>
      <c r="AF242" s="2">
        <f t="shared" si="286"/>
        <v>1.20998278588199</v>
      </c>
      <c r="AG242" s="2">
        <f t="shared" si="287"/>
        <v>1.37213615942419</v>
      </c>
      <c r="AH242" s="2">
        <f>MIN(1,_曲线基线!$L$3+AH$9*($H$10*H242+$I$10*I242+$J$10*J242+$K$10*K242+$L$10*L242))</f>
        <v>0.527710837881523</v>
      </c>
      <c r="AI242" s="2">
        <f>_曲线基线!$L$4+AI$9*($H$10*H242+$I$10*I242+$J$10*J242+$K$10*K242+$L$10*L242)</f>
        <v>3.3307659055271</v>
      </c>
      <c r="AJ242" s="2">
        <f t="shared" si="288"/>
        <v>2.09191048658634</v>
      </c>
      <c r="AK242" s="1">
        <f t="shared" si="289"/>
        <v>4.66489852501717</v>
      </c>
      <c r="AL242" s="1">
        <f t="shared" si="290"/>
        <v>2370221.31828089</v>
      </c>
      <c r="AM242" s="14">
        <f t="shared" si="291"/>
        <v>46.8954213686964</v>
      </c>
      <c r="AN242" s="14">
        <f>(((E242*模块规划!$D$10+G242*模块规划!$D$11+H242*模块规划!$D$13)*(1+模块规划!$G$14*H242)+(I242*模块规划!$D$15+J242*模块规划!$D$17+K242*模块规划!$D$16+L242*模块规划!$D$18))*(1+模块规划!$J$17*J242))*F242/(1-Q242)</f>
        <v>2860844.782984</v>
      </c>
      <c r="AO242" s="1">
        <f t="shared" si="292"/>
        <v>111152527.45785</v>
      </c>
      <c r="AP242" s="1">
        <f>IF(AO242="","",_xlfn.XLOOKUP(AO242,_曲线基线!$E$3:$E$502,_曲线基线!$A$3:$A$502,500,1))</f>
        <v>296</v>
      </c>
      <c r="AQ242" s="15">
        <f t="shared" si="295"/>
        <v>5</v>
      </c>
    </row>
    <row r="243" customHeight="1" spans="1:43">
      <c r="A243" s="1" t="str">
        <f>IFERROR(_xlfn.XLOOKUP(B243,_曲线基线!$G$3:$G$107,_曲线基线!$J$3:$J$107,""),"")</f>
        <v/>
      </c>
      <c r="B243" s="1">
        <v>232</v>
      </c>
      <c r="C243" s="1">
        <f t="shared" ref="C243:C290" si="333">C228+1</f>
        <v>16</v>
      </c>
      <c r="D243" s="1">
        <f t="shared" ref="D243:D290" si="334">D228</f>
        <v>13</v>
      </c>
      <c r="E243" s="1">
        <f t="shared" si="270"/>
        <v>1</v>
      </c>
      <c r="F243" s="11">
        <f t="shared" si="293"/>
        <v>5</v>
      </c>
      <c r="G243" s="12">
        <f t="shared" ref="G243:L243" si="335">IF($B243&lt;G$8,0,G$3+(G$4-G$3)*(POWER(G$5,$B243-G$8)-1)/(POWER(G$5,$C$5-G$8)-1))</f>
        <v>0.88584616871609</v>
      </c>
      <c r="H243" s="12">
        <f t="shared" si="335"/>
        <v>0.694728232536293</v>
      </c>
      <c r="I243" s="12">
        <f t="shared" si="335"/>
        <v>0.636445394950151</v>
      </c>
      <c r="J243" s="12">
        <f t="shared" si="335"/>
        <v>0.593745671832431</v>
      </c>
      <c r="K243" s="12">
        <f t="shared" si="335"/>
        <v>0.621548550792666</v>
      </c>
      <c r="L243" s="12">
        <f t="shared" si="335"/>
        <v>0.694620123595307</v>
      </c>
      <c r="M243" s="2">
        <f>E243*模块规划!$F$10+G243*模块规划!$F$11+H243*模块规划!$F$13</f>
        <v>5252.06160983723</v>
      </c>
      <c r="N243" s="2">
        <f>I243*模块规划!$F$15+J243*模块规划!$F$17+K243*模块规划!$F$16+L243*模块规划!$F$18</f>
        <v>18231.4118006581</v>
      </c>
      <c r="O243" s="2">
        <f t="shared" si="272"/>
        <v>3.38051678183196</v>
      </c>
      <c r="P243" s="13">
        <f t="shared" si="273"/>
        <v>35986.0942119282</v>
      </c>
      <c r="Q243" s="7">
        <f>P243/(P243+_曲线基线!$L$2)</f>
        <v>0.599907273255547</v>
      </c>
      <c r="R243" s="2">
        <f>E243*模块规划!$E$10+G243*模块规划!$E$11+H243*模块规划!$E$13</f>
        <v>7878.09241475585</v>
      </c>
      <c r="S243" s="2">
        <f>I243*模块规划!$E$15+J243*模块规划!$E$17+K243*模块规划!$E$16+L243*模块规划!$E$18</f>
        <v>27347.1177009871</v>
      </c>
      <c r="T243" s="2">
        <f t="shared" si="274"/>
        <v>3.38051678183196</v>
      </c>
      <c r="U243" s="13">
        <f t="shared" si="275"/>
        <v>53979.1413178923</v>
      </c>
      <c r="V243" s="2">
        <f t="shared" si="276"/>
        <v>0.908418469760888</v>
      </c>
      <c r="W243" s="2">
        <f t="shared" si="277"/>
        <v>0.277891293014517</v>
      </c>
      <c r="X243" s="2">
        <f t="shared" si="278"/>
        <v>0.466050263947481</v>
      </c>
      <c r="Y243" s="2">
        <f t="shared" si="279"/>
        <v>1</v>
      </c>
      <c r="Z243" s="2">
        <f t="shared" si="280"/>
        <v>1</v>
      </c>
      <c r="AA243" s="2">
        <f t="shared" si="281"/>
        <v>1</v>
      </c>
      <c r="AB243" s="2">
        <f t="shared" si="282"/>
        <v>1</v>
      </c>
      <c r="AC243" s="2">
        <f t="shared" si="283"/>
        <v>1</v>
      </c>
      <c r="AD243" s="1">
        <f t="shared" si="284"/>
        <v>1.88427848382149</v>
      </c>
      <c r="AE243" s="2">
        <f t="shared" si="285"/>
        <v>1</v>
      </c>
      <c r="AF243" s="2">
        <f t="shared" si="286"/>
        <v>1.21010229086614</v>
      </c>
      <c r="AG243" s="2">
        <f t="shared" si="287"/>
        <v>1.37234794881277</v>
      </c>
      <c r="AH243" s="2">
        <f>MIN(1,_曲线基线!$L$3+AH$9*($H$10*H243+$I$10*I243+$J$10*J243+$K$10*K243+$L$10*L243))</f>
        <v>0.52798271172047</v>
      </c>
      <c r="AI243" s="2">
        <f>_曲线基线!$L$4+AI$9*($H$10*H243+$I$10*I243+$J$10*J243+$K$10*K243+$L$10*L243)</f>
        <v>3.33152326836417</v>
      </c>
      <c r="AJ243" s="2">
        <f t="shared" si="288"/>
        <v>2.09253191250393</v>
      </c>
      <c r="AK243" s="1">
        <f t="shared" si="289"/>
        <v>4.66844702019828</v>
      </c>
      <c r="AL243" s="1">
        <f t="shared" si="290"/>
        <v>2374179.22063998</v>
      </c>
      <c r="AM243" s="14">
        <f t="shared" si="291"/>
        <v>47.0278002223052</v>
      </c>
      <c r="AN243" s="14">
        <f>(((E243*模块规划!$D$10+G243*模块规划!$D$11+H243*模块规划!$D$13)*(1+模块规划!$G$14*H243)+(I243*模块规划!$D$15+J243*模块规划!$D$17+K243*模块规划!$D$16+L243*模块规划!$D$18))*(1+模块规划!$J$17*J243))*F243/(1-Q243)</f>
        <v>2864270.6121366</v>
      </c>
      <c r="AO243" s="1">
        <f t="shared" si="292"/>
        <v>111652426.080205</v>
      </c>
      <c r="AP243" s="1">
        <f>IF(AO243="","",_xlfn.XLOOKUP(AO243,_曲线基线!$E$3:$E$502,_曲线基线!$A$3:$A$502,500,1))</f>
        <v>296</v>
      </c>
      <c r="AQ243" s="15">
        <f t="shared" si="295"/>
        <v>5</v>
      </c>
    </row>
    <row r="244" customHeight="1" spans="1:43">
      <c r="A244" s="1" t="str">
        <f>IFERROR(_xlfn.XLOOKUP(B244,_曲线基线!$G$3:$G$107,_曲线基线!$J$3:$J$107,""),"")</f>
        <v/>
      </c>
      <c r="B244" s="1">
        <v>233</v>
      </c>
      <c r="C244" s="1">
        <f t="shared" si="333"/>
        <v>16</v>
      </c>
      <c r="D244" s="1">
        <f t="shared" si="334"/>
        <v>14</v>
      </c>
      <c r="E244" s="1">
        <f t="shared" si="270"/>
        <v>1</v>
      </c>
      <c r="F244" s="11">
        <f t="shared" si="293"/>
        <v>5</v>
      </c>
      <c r="G244" s="12">
        <f t="shared" ref="G244:L244" si="336">IF($B244&lt;G$8,0,G$3+(G$4-G$3)*(POWER(G$5,$B244-G$8)-1)/(POWER(G$5,$C$5-G$8)-1))</f>
        <v>0.886263666639844</v>
      </c>
      <c r="H244" s="12">
        <f t="shared" si="336"/>
        <v>0.694900210125078</v>
      </c>
      <c r="I244" s="12">
        <f t="shared" si="336"/>
        <v>0.636887578394216</v>
      </c>
      <c r="J244" s="12">
        <f t="shared" si="336"/>
        <v>0.593949702887507</v>
      </c>
      <c r="K244" s="12">
        <f t="shared" si="336"/>
        <v>0.622476704711786</v>
      </c>
      <c r="L244" s="12">
        <f t="shared" si="336"/>
        <v>0.694795627954786</v>
      </c>
      <c r="M244" s="2">
        <f>E244*模块规划!$F$10+G244*模块规划!$F$11+H244*模块规划!$F$13</f>
        <v>5254.06559987125</v>
      </c>
      <c r="N244" s="2">
        <f>I244*模块规划!$F$15+J244*模块规划!$F$17+K244*模块规划!$F$16+L244*模块规划!$F$18</f>
        <v>18243.4360240734</v>
      </c>
      <c r="O244" s="2">
        <f t="shared" si="272"/>
        <v>3.38184372570646</v>
      </c>
      <c r="P244" s="13">
        <f t="shared" si="273"/>
        <v>36011.8648074482</v>
      </c>
      <c r="Q244" s="7">
        <f>P244/(P244+_曲线基线!$L$2)</f>
        <v>0.600079083077896</v>
      </c>
      <c r="R244" s="2">
        <f>E244*模块规划!$E$10+G244*模块规划!$E$11+H244*模块规划!$E$13</f>
        <v>7881.09839980688</v>
      </c>
      <c r="S244" s="2">
        <f>I244*模块规划!$E$15+J244*模块规划!$E$17+K244*模块规划!$E$16+L244*模块规划!$E$18</f>
        <v>27365.1540361102</v>
      </c>
      <c r="T244" s="2">
        <f t="shared" si="274"/>
        <v>3.38184372570646</v>
      </c>
      <c r="U244" s="13">
        <f t="shared" si="275"/>
        <v>54017.7972111723</v>
      </c>
      <c r="V244" s="2">
        <f t="shared" si="276"/>
        <v>0.908470063037523</v>
      </c>
      <c r="W244" s="2">
        <f t="shared" si="277"/>
        <v>0.277960084050031</v>
      </c>
      <c r="X244" s="2">
        <f t="shared" si="278"/>
        <v>0.466097557784397</v>
      </c>
      <c r="Y244" s="2">
        <f t="shared" si="279"/>
        <v>1</v>
      </c>
      <c r="Z244" s="2">
        <f t="shared" si="280"/>
        <v>1</v>
      </c>
      <c r="AA244" s="2">
        <f t="shared" si="281"/>
        <v>1</v>
      </c>
      <c r="AB244" s="2">
        <f t="shared" si="282"/>
        <v>1</v>
      </c>
      <c r="AC244" s="2">
        <f t="shared" si="283"/>
        <v>1</v>
      </c>
      <c r="AD244" s="1">
        <f t="shared" si="284"/>
        <v>1.88460751837745</v>
      </c>
      <c r="AE244" s="2">
        <f t="shared" si="285"/>
        <v>1</v>
      </c>
      <c r="AF244" s="2">
        <f t="shared" si="286"/>
        <v>1.21021940575061</v>
      </c>
      <c r="AG244" s="2">
        <f t="shared" si="287"/>
        <v>1.37255550241359</v>
      </c>
      <c r="AH244" s="2">
        <f>MIN(1,_曲线基线!$L$3+AH$9*($H$10*H244+$I$10*I244+$J$10*J244+$K$10*K244+$L$10*L244))</f>
        <v>0.528249148082639</v>
      </c>
      <c r="AI244" s="2">
        <f>_曲线基线!$L$4+AI$9*($H$10*H244+$I$10*I244+$J$10*J244+$K$10*K244+$L$10*L244)</f>
        <v>3.33226548394449</v>
      </c>
      <c r="AJ244" s="2">
        <f t="shared" si="288"/>
        <v>2.09314090990317</v>
      </c>
      <c r="AK244" s="1">
        <f t="shared" si="289"/>
        <v>4.67192662804238</v>
      </c>
      <c r="AL244" s="1">
        <f t="shared" si="290"/>
        <v>2378065.47290114</v>
      </c>
      <c r="AM244" s="14">
        <f t="shared" si="291"/>
        <v>47.1615028644501</v>
      </c>
      <c r="AN244" s="14">
        <f>(((E244*模块规划!$D$10+G244*模块规划!$D$11+H244*模块规划!$D$13)*(1+模块规划!$G$14*H244)+(I244*模块规划!$D$15+J244*模块规划!$D$17+K244*模块规划!$D$16+L244*模块规划!$D$18))*(1+模块规划!$J$17*J244))*F244/(1-Q244)</f>
        <v>2867634.00386861</v>
      </c>
      <c r="AO244" s="1">
        <f t="shared" si="292"/>
        <v>112153141.612077</v>
      </c>
      <c r="AP244" s="1">
        <f>IF(AO244="","",_xlfn.XLOOKUP(AO244,_曲线基线!$E$3:$E$502,_曲线基线!$A$3:$A$502,500,1))</f>
        <v>297</v>
      </c>
      <c r="AQ244" s="15">
        <f t="shared" si="295"/>
        <v>5</v>
      </c>
    </row>
    <row r="245" customHeight="1" spans="1:43">
      <c r="A245" s="1" t="str">
        <f>IFERROR(_xlfn.XLOOKUP(B245,_曲线基线!$G$3:$G$107,_曲线基线!$J$3:$J$107,""),"")</f>
        <v/>
      </c>
      <c r="B245" s="1">
        <v>234</v>
      </c>
      <c r="C245" s="1">
        <f t="shared" si="333"/>
        <v>16</v>
      </c>
      <c r="D245" s="1">
        <f t="shared" si="334"/>
        <v>15</v>
      </c>
      <c r="E245" s="1">
        <f t="shared" si="270"/>
        <v>1</v>
      </c>
      <c r="F245" s="11">
        <f t="shared" si="293"/>
        <v>5</v>
      </c>
      <c r="G245" s="12">
        <f t="shared" ref="G245:L245" si="337">IF($B245&lt;G$8,0,G$3+(G$4-G$3)*(POWER(G$5,$B245-G$8)-1)/(POWER(G$5,$C$5-G$8)-1))</f>
        <v>0.886674902094742</v>
      </c>
      <c r="H245" s="12">
        <f t="shared" si="337"/>
        <v>0.695068748162088</v>
      </c>
      <c r="I245" s="12">
        <f t="shared" si="337"/>
        <v>0.6373209181694</v>
      </c>
      <c r="J245" s="12">
        <f t="shared" si="337"/>
        <v>0.59414965332148</v>
      </c>
      <c r="K245" s="12">
        <f t="shared" si="337"/>
        <v>0.623386295552524</v>
      </c>
      <c r="L245" s="12">
        <f t="shared" si="337"/>
        <v>0.694967622227076</v>
      </c>
      <c r="M245" s="2">
        <f>E245*模块规划!$F$10+G245*模块规划!$F$11+H245*模块规划!$F$13</f>
        <v>5256.03953005476</v>
      </c>
      <c r="N245" s="2">
        <f>I245*模块规划!$F$15+J245*模块规划!$F$17+K245*模块规划!$F$16+L245*模块规划!$F$18</f>
        <v>18255.2197630205</v>
      </c>
      <c r="O245" s="2">
        <f t="shared" si="272"/>
        <v>3.38314413070346</v>
      </c>
      <c r="P245" s="13">
        <f t="shared" si="273"/>
        <v>36037.1590498707</v>
      </c>
      <c r="Q245" s="7">
        <f>P245/(P245+_曲线基线!$L$2)</f>
        <v>0.60024757367243</v>
      </c>
      <c r="R245" s="2">
        <f>E245*模块规划!$E$10+G245*模块规划!$E$11+H245*模块规划!$E$13</f>
        <v>7884.05929508214</v>
      </c>
      <c r="S245" s="2">
        <f>I245*模块规划!$E$15+J245*模块规划!$E$17+K245*模块规划!$E$16+L245*模块规划!$E$18</f>
        <v>27382.8296445308</v>
      </c>
      <c r="T245" s="2">
        <f t="shared" si="274"/>
        <v>3.38314413070346</v>
      </c>
      <c r="U245" s="13">
        <f t="shared" si="275"/>
        <v>54055.738574806</v>
      </c>
      <c r="V245" s="2">
        <f t="shared" si="276"/>
        <v>0.908520624448626</v>
      </c>
      <c r="W245" s="2">
        <f t="shared" si="277"/>
        <v>0.278027499264835</v>
      </c>
      <c r="X245" s="2">
        <f t="shared" si="278"/>
        <v>0.466143905744574</v>
      </c>
      <c r="Y245" s="2">
        <f t="shared" si="279"/>
        <v>1</v>
      </c>
      <c r="Z245" s="2">
        <f t="shared" si="280"/>
        <v>1</v>
      </c>
      <c r="AA245" s="2">
        <f t="shared" si="281"/>
        <v>1</v>
      </c>
      <c r="AB245" s="2">
        <f t="shared" si="282"/>
        <v>1</v>
      </c>
      <c r="AC245" s="2">
        <f t="shared" si="283"/>
        <v>1</v>
      </c>
      <c r="AD245" s="1">
        <f t="shared" si="284"/>
        <v>1.88493000692202</v>
      </c>
      <c r="AE245" s="2">
        <f t="shared" si="285"/>
        <v>1</v>
      </c>
      <c r="AF245" s="2">
        <f t="shared" si="286"/>
        <v>1.21033417833739</v>
      </c>
      <c r="AG245" s="2">
        <f t="shared" si="287"/>
        <v>1.37275890494238</v>
      </c>
      <c r="AH245" s="2">
        <f>MIN(1,_曲线基线!$L$3+AH$9*($H$10*H245+$I$10*I245+$J$10*J245+$K$10*K245+$L$10*L245))</f>
        <v>0.528510255717564</v>
      </c>
      <c r="AI245" s="2">
        <f>_曲线基线!$L$4+AI$9*($H$10*H245+$I$10*I245+$J$10*J245+$K$10*K245+$L$10*L245)</f>
        <v>3.33299285521321</v>
      </c>
      <c r="AJ245" s="2">
        <f t="shared" si="288"/>
        <v>2.09373772735443</v>
      </c>
      <c r="AK245" s="1">
        <f t="shared" si="289"/>
        <v>4.67533864452771</v>
      </c>
      <c r="AL245" s="1">
        <f t="shared" si="290"/>
        <v>2381881.28078808</v>
      </c>
      <c r="AM245" s="14">
        <f t="shared" si="291"/>
        <v>47.2965425330165</v>
      </c>
      <c r="AN245" s="14">
        <f>(((E245*模块规划!$D$10+G245*模块规划!$D$11+H245*模块规划!$D$13)*(1+模块规划!$G$14*H245)+(I245*模块规划!$D$15+J245*模块规划!$D$17+K245*模块规划!$D$16+L245*模块规划!$D$18))*(1+模块规划!$J$17*J245))*F245/(1-Q245)</f>
        <v>2870936.0603184</v>
      </c>
      <c r="AO245" s="1">
        <f t="shared" si="292"/>
        <v>112654749.305389</v>
      </c>
      <c r="AP245" s="1">
        <f>IF(AO245="","",_xlfn.XLOOKUP(AO245,_曲线基线!$E$3:$E$502,_曲线基线!$A$3:$A$502,500,1))</f>
        <v>297</v>
      </c>
      <c r="AQ245" s="15">
        <f t="shared" si="295"/>
        <v>5</v>
      </c>
    </row>
    <row r="246" customHeight="1" spans="1:43">
      <c r="A246" s="1" t="str">
        <f>IFERROR(_xlfn.XLOOKUP(B246,_曲线基线!$G$3:$G$107,_曲线基线!$J$3:$J$107,""),"")</f>
        <v/>
      </c>
      <c r="B246" s="1">
        <v>235</v>
      </c>
      <c r="C246" s="1">
        <f t="shared" si="333"/>
        <v>17</v>
      </c>
      <c r="D246" s="1">
        <f t="shared" si="334"/>
        <v>1</v>
      </c>
      <c r="E246" s="1">
        <f t="shared" si="270"/>
        <v>1</v>
      </c>
      <c r="F246" s="11">
        <f t="shared" si="293"/>
        <v>5</v>
      </c>
      <c r="G246" s="12">
        <f t="shared" ref="G246:L246" si="338">IF($B246&lt;G$8,0,G$3+(G$4-G$3)*(POWER(G$5,$B246-G$8)-1)/(POWER(G$5,$C$5-G$8)-1))</f>
        <v>0.887079969017817</v>
      </c>
      <c r="H246" s="12">
        <f t="shared" si="338"/>
        <v>0.695233915438357</v>
      </c>
      <c r="I246" s="12">
        <f t="shared" si="338"/>
        <v>0.63774559114908</v>
      </c>
      <c r="J246" s="12">
        <f t="shared" si="338"/>
        <v>0.594345604746775</v>
      </c>
      <c r="K246" s="12">
        <f t="shared" si="338"/>
        <v>0.624277694576447</v>
      </c>
      <c r="L246" s="12">
        <f t="shared" si="338"/>
        <v>0.695136176613921</v>
      </c>
      <c r="M246" s="2">
        <f>E246*模块规划!$F$10+G246*模块规划!$F$11+H246*模块规划!$F$13</f>
        <v>5257.98385128552</v>
      </c>
      <c r="N246" s="2">
        <f>I246*模块规划!$F$15+J246*模块规划!$F$17+K246*模块规划!$F$16+L246*模块规划!$F$18</f>
        <v>18266.7678271887</v>
      </c>
      <c r="O246" s="2">
        <f t="shared" si="272"/>
        <v>3.38441852760053</v>
      </c>
      <c r="P246" s="13">
        <f t="shared" si="273"/>
        <v>36061.9857913038</v>
      </c>
      <c r="Q246" s="7">
        <f>P246/(P246+_曲线基线!$L$2)</f>
        <v>0.600412812133912</v>
      </c>
      <c r="R246" s="2">
        <f>E246*模块规划!$E$10+G246*模块规划!$E$11+H246*模块规划!$E$13</f>
        <v>7886.97577692828</v>
      </c>
      <c r="S246" s="2">
        <f>I246*模块规划!$E$15+J246*模块规划!$E$17+K246*模块规划!$E$16+L246*模块规划!$E$18</f>
        <v>27400.151740783</v>
      </c>
      <c r="T246" s="2">
        <f t="shared" si="274"/>
        <v>3.38441852760053</v>
      </c>
      <c r="U246" s="13">
        <f t="shared" si="275"/>
        <v>54092.9786869557</v>
      </c>
      <c r="V246" s="2">
        <f t="shared" si="276"/>
        <v>0.908570174631507</v>
      </c>
      <c r="W246" s="2">
        <f t="shared" si="277"/>
        <v>0.278093566175343</v>
      </c>
      <c r="X246" s="2">
        <f t="shared" si="278"/>
        <v>0.466189326745548</v>
      </c>
      <c r="Y246" s="2">
        <f t="shared" si="279"/>
        <v>1</v>
      </c>
      <c r="Z246" s="2">
        <f t="shared" si="280"/>
        <v>1</v>
      </c>
      <c r="AA246" s="2">
        <f t="shared" si="281"/>
        <v>1</v>
      </c>
      <c r="AB246" s="2">
        <f t="shared" si="282"/>
        <v>1</v>
      </c>
      <c r="AC246" s="2">
        <f t="shared" si="283"/>
        <v>1</v>
      </c>
      <c r="AD246" s="1">
        <f t="shared" si="284"/>
        <v>1.8852460790021</v>
      </c>
      <c r="AE246" s="2">
        <f t="shared" si="285"/>
        <v>1</v>
      </c>
      <c r="AF246" s="2">
        <f t="shared" si="286"/>
        <v>1.21044665547244</v>
      </c>
      <c r="AG246" s="2">
        <f t="shared" si="287"/>
        <v>1.3729582394206</v>
      </c>
      <c r="AH246" s="2">
        <f>MIN(1,_曲线基线!$L$3+AH$9*($H$10*H246+$I$10*I246+$J$10*J246+$K$10*K246+$L$10*L246))</f>
        <v>0.528766141199791</v>
      </c>
      <c r="AI246" s="2">
        <f>_曲线基线!$L$4+AI$9*($H$10*H246+$I$10*I246+$J$10*J246+$K$10*K246+$L$10*L246)</f>
        <v>3.33370567905656</v>
      </c>
      <c r="AJ246" s="2">
        <f t="shared" si="288"/>
        <v>2.09432260845667</v>
      </c>
      <c r="AK246" s="1">
        <f t="shared" si="289"/>
        <v>4.67868434290976</v>
      </c>
      <c r="AL246" s="1">
        <f t="shared" si="290"/>
        <v>2385627.83354173</v>
      </c>
      <c r="AM246" s="14">
        <f t="shared" si="291"/>
        <v>47.4329325982685</v>
      </c>
      <c r="AN246" s="14">
        <f>(((E246*模块规划!$D$10+G246*模块规划!$D$11+H246*模块规划!$D$13)*(1+模块规划!$G$14*H246)+(I246*模块规划!$D$15+J246*模块规划!$D$17+K246*模块规划!$D$16+L246*模块规划!$D$18))*(1+模块规划!$J$17*J246))*F246/(1-Q246)</f>
        <v>2874177.86583375</v>
      </c>
      <c r="AO246" s="1">
        <f t="shared" si="292"/>
        <v>113157324.232938</v>
      </c>
      <c r="AP246" s="1">
        <f>IF(AO246="","",_xlfn.XLOOKUP(AO246,_曲线基线!$E$3:$E$502,_曲线基线!$A$3:$A$502,500,1))</f>
        <v>297</v>
      </c>
      <c r="AQ246" s="15">
        <f t="shared" si="295"/>
        <v>5</v>
      </c>
    </row>
    <row r="247" customHeight="1" spans="1:43">
      <c r="A247" s="1" t="str">
        <f>IFERROR(_xlfn.XLOOKUP(B247,_曲线基线!$G$3:$G$107,_曲线基线!$J$3:$J$107,""),"")</f>
        <v/>
      </c>
      <c r="B247" s="1">
        <v>236</v>
      </c>
      <c r="C247" s="1">
        <f t="shared" si="333"/>
        <v>17</v>
      </c>
      <c r="D247" s="1">
        <f t="shared" si="334"/>
        <v>2</v>
      </c>
      <c r="E247" s="1">
        <f t="shared" si="270"/>
        <v>1</v>
      </c>
      <c r="F247" s="11">
        <f t="shared" si="293"/>
        <v>5</v>
      </c>
      <c r="G247" s="12">
        <f t="shared" ref="G247:L247" si="339">IF($B247&lt;G$8,0,G$3+(G$4-G$3)*(POWER(G$5,$B247-G$8)-1)/(POWER(G$5,$C$5-G$8)-1))</f>
        <v>0.887478959937046</v>
      </c>
      <c r="H247" s="12">
        <f t="shared" si="339"/>
        <v>0.695395779369102</v>
      </c>
      <c r="I247" s="12">
        <f t="shared" si="339"/>
        <v>0.638161770669166</v>
      </c>
      <c r="J247" s="12">
        <f t="shared" si="339"/>
        <v>0.594537637143563</v>
      </c>
      <c r="K247" s="12">
        <f t="shared" si="339"/>
        <v>0.625151265619891</v>
      </c>
      <c r="L247" s="12">
        <f t="shared" si="339"/>
        <v>0.695301359913028</v>
      </c>
      <c r="M247" s="2">
        <f>E247*模块规划!$F$10+G247*模块规划!$F$11+H247*模块规划!$F$13</f>
        <v>5259.89900769782</v>
      </c>
      <c r="N247" s="2">
        <f>I247*模块规划!$F$15+J247*模块规划!$F$17+K247*模块规划!$F$16+L247*模块规划!$F$18</f>
        <v>18278.0849300734</v>
      </c>
      <c r="O247" s="2">
        <f t="shared" si="272"/>
        <v>3.38566743655966</v>
      </c>
      <c r="P247" s="13">
        <f t="shared" si="273"/>
        <v>36086.3537200284</v>
      </c>
      <c r="Q247" s="7">
        <f>P247/(P247+_曲线基线!$L$2)</f>
        <v>0.600574864105955</v>
      </c>
      <c r="R247" s="2">
        <f>E247*模块规划!$E$10+G247*模块规划!$E$11+H247*模块规划!$E$13</f>
        <v>7889.84851154673</v>
      </c>
      <c r="S247" s="2">
        <f>I247*模块规划!$E$15+J247*模块规划!$E$17+K247*模块规划!$E$16+L247*模块规划!$E$18</f>
        <v>27417.1273951102</v>
      </c>
      <c r="T247" s="2">
        <f t="shared" si="274"/>
        <v>3.38566743655966</v>
      </c>
      <c r="U247" s="13">
        <f t="shared" si="275"/>
        <v>54129.5305800426</v>
      </c>
      <c r="V247" s="2">
        <f t="shared" si="276"/>
        <v>0.908618733810731</v>
      </c>
      <c r="W247" s="2">
        <f t="shared" si="277"/>
        <v>0.278158311747641</v>
      </c>
      <c r="X247" s="2">
        <f t="shared" si="278"/>
        <v>0.466233839326503</v>
      </c>
      <c r="Y247" s="2">
        <f t="shared" si="279"/>
        <v>1</v>
      </c>
      <c r="Z247" s="2">
        <f t="shared" si="280"/>
        <v>1</v>
      </c>
      <c r="AA247" s="2">
        <f t="shared" si="281"/>
        <v>1</v>
      </c>
      <c r="AB247" s="2">
        <f t="shared" si="282"/>
        <v>1</v>
      </c>
      <c r="AC247" s="2">
        <f t="shared" si="283"/>
        <v>1</v>
      </c>
      <c r="AD247" s="1">
        <f t="shared" si="284"/>
        <v>1.88555586162805</v>
      </c>
      <c r="AE247" s="2">
        <f t="shared" si="285"/>
        <v>1</v>
      </c>
      <c r="AF247" s="2">
        <f t="shared" si="286"/>
        <v>1.21055688306478</v>
      </c>
      <c r="AG247" s="2">
        <f t="shared" si="287"/>
        <v>1.37315358720925</v>
      </c>
      <c r="AH247" s="2">
        <f>MIN(1,_曲线基线!$L$3+AH$9*($H$10*H247+$I$10*I247+$J$10*J247+$K$10*K247+$L$10*L247))</f>
        <v>0.529016908972373</v>
      </c>
      <c r="AI247" s="2">
        <f>_曲线基线!$L$4+AI$9*($H$10*H247+$I$10*I247+$J$10*J247+$K$10*K247+$L$10*L247)</f>
        <v>3.33440424642304</v>
      </c>
      <c r="AJ247" s="2">
        <f t="shared" si="288"/>
        <v>2.09489579193685</v>
      </c>
      <c r="AK247" s="1">
        <f t="shared" si="289"/>
        <v>4.68196497405154</v>
      </c>
      <c r="AL247" s="1">
        <f t="shared" si="290"/>
        <v>2389306.30398384</v>
      </c>
      <c r="AM247" s="14">
        <f t="shared" si="291"/>
        <v>47.5706865641731</v>
      </c>
      <c r="AN247" s="14">
        <f>(((E247*模块规划!$D$10+G247*模块规划!$D$11+H247*模块规划!$D$13)*(1+模块规划!$G$14*H247)+(I247*模块规划!$D$15+J247*模块规划!$D$17+K247*模块规划!$D$16+L247*模块规划!$D$18))*(1+模块规划!$J$17*J247))*F247/(1-Q247)</f>
        <v>2877360.48718834</v>
      </c>
      <c r="AO247" s="1">
        <f t="shared" si="292"/>
        <v>113660941.292618</v>
      </c>
      <c r="AP247" s="1">
        <f>IF(AO247="","",_xlfn.XLOOKUP(AO247,_曲线基线!$E$3:$E$502,_曲线基线!$A$3:$A$502,500,1))</f>
        <v>298</v>
      </c>
      <c r="AQ247" s="15">
        <f t="shared" si="295"/>
        <v>5</v>
      </c>
    </row>
    <row r="248" customHeight="1" spans="1:43">
      <c r="A248" s="1" t="str">
        <f>IFERROR(_xlfn.XLOOKUP(B248,_曲线基线!$G$3:$G$107,_曲线基线!$J$3:$J$107,""),"")</f>
        <v/>
      </c>
      <c r="B248" s="1">
        <v>237</v>
      </c>
      <c r="C248" s="1">
        <f t="shared" si="333"/>
        <v>17</v>
      </c>
      <c r="D248" s="1">
        <f t="shared" si="334"/>
        <v>3</v>
      </c>
      <c r="E248" s="1">
        <f t="shared" si="270"/>
        <v>1</v>
      </c>
      <c r="F248" s="11">
        <f t="shared" si="293"/>
        <v>5</v>
      </c>
      <c r="G248" s="12">
        <f t="shared" ref="G248:L248" si="340">IF($B248&lt;G$8,0,G$3+(G$4-G$3)*(POWER(G$5,$B248-G$8)-1)/(POWER(G$5,$C$5-G$8)-1))</f>
        <v>0.887871965992486</v>
      </c>
      <c r="H248" s="12">
        <f t="shared" si="340"/>
        <v>0.695554406021231</v>
      </c>
      <c r="I248" s="12">
        <f t="shared" si="340"/>
        <v>0.638569626598851</v>
      </c>
      <c r="J248" s="12">
        <f t="shared" si="340"/>
        <v>0.594725828892416</v>
      </c>
      <c r="K248" s="12">
        <f t="shared" si="340"/>
        <v>0.626007365242467</v>
      </c>
      <c r="L248" s="12">
        <f t="shared" si="340"/>
        <v>0.695463239546153</v>
      </c>
      <c r="M248" s="2">
        <f>E248*模块规划!$F$10+G248*模块规划!$F$11+H248*模块规划!$F$13</f>
        <v>5261.78543676393</v>
      </c>
      <c r="N248" s="2">
        <f>I248*模块规划!$F$15+J248*模块规划!$F$17+K248*模块规划!$F$16+L248*模块规划!$F$18</f>
        <v>18289.1756909005</v>
      </c>
      <c r="O248" s="2">
        <f t="shared" si="272"/>
        <v>3.3868913673396</v>
      </c>
      <c r="P248" s="13">
        <f t="shared" si="273"/>
        <v>36110.2713634695</v>
      </c>
      <c r="Q248" s="7">
        <f>P248/(P248+_曲线基线!$L$2)</f>
        <v>0.600733793815721</v>
      </c>
      <c r="R248" s="2">
        <f>E248*模块规划!$E$10+G248*模块规划!$E$11+H248*模块规划!$E$13</f>
        <v>7892.6781551459</v>
      </c>
      <c r="S248" s="2">
        <f>I248*模块规划!$E$15+J248*模块规划!$E$17+K248*模块规划!$E$16+L248*模块规划!$E$18</f>
        <v>27433.7635363508</v>
      </c>
      <c r="T248" s="2">
        <f t="shared" si="274"/>
        <v>3.3868913673396</v>
      </c>
      <c r="U248" s="13">
        <f t="shared" si="275"/>
        <v>54165.4070452043</v>
      </c>
      <c r="V248" s="2">
        <f t="shared" si="276"/>
        <v>0.908666321806369</v>
      </c>
      <c r="W248" s="2">
        <f t="shared" si="277"/>
        <v>0.278221762408492</v>
      </c>
      <c r="X248" s="2">
        <f t="shared" si="278"/>
        <v>0.466277461655839</v>
      </c>
      <c r="Y248" s="2">
        <f t="shared" si="279"/>
        <v>1</v>
      </c>
      <c r="Z248" s="2">
        <f t="shared" si="280"/>
        <v>1</v>
      </c>
      <c r="AA248" s="2">
        <f t="shared" si="281"/>
        <v>1</v>
      </c>
      <c r="AB248" s="2">
        <f t="shared" si="282"/>
        <v>1</v>
      </c>
      <c r="AC248" s="2">
        <f t="shared" si="283"/>
        <v>1</v>
      </c>
      <c r="AD248" s="1">
        <f t="shared" si="284"/>
        <v>1.88585947932224</v>
      </c>
      <c r="AE248" s="2">
        <f t="shared" si="285"/>
        <v>1</v>
      </c>
      <c r="AF248" s="2">
        <f t="shared" si="286"/>
        <v>1.21066490610528</v>
      </c>
      <c r="AG248" s="2">
        <f t="shared" si="287"/>
        <v>1.37334502804213</v>
      </c>
      <c r="AH248" s="2">
        <f>MIN(1,_曲线基线!$L$3+AH$9*($H$10*H248+$I$10*I248+$J$10*J248+$K$10*K248+$L$10*L248))</f>
        <v>0.529262661389504</v>
      </c>
      <c r="AI248" s="2">
        <f>_曲线基线!$L$4+AI$9*($H$10*H248+$I$10*I248+$J$10*J248+$K$10*K248+$L$10*L248)</f>
        <v>3.33508884244219</v>
      </c>
      <c r="AJ248" s="2">
        <f t="shared" si="288"/>
        <v>2.09545751174744</v>
      </c>
      <c r="AK248" s="1">
        <f t="shared" si="289"/>
        <v>4.68518176675203</v>
      </c>
      <c r="AL248" s="1">
        <f t="shared" si="290"/>
        <v>2392917.84858846</v>
      </c>
      <c r="AM248" s="14">
        <f t="shared" si="291"/>
        <v>47.7098180697367</v>
      </c>
      <c r="AN248" s="14">
        <f>(((E248*模块规划!$D$10+G248*模块规划!$D$11+H248*模块规划!$D$13)*(1+模块规划!$G$14*H248)+(I248*模块规划!$D$15+J248*模块规划!$D$17+K248*模块规划!$D$16+L248*模块规划!$D$18))*(1+模块规划!$J$17*J248))*F248/(1-Q248)</f>
        <v>2880484.9737987</v>
      </c>
      <c r="AO248" s="1">
        <f t="shared" si="292"/>
        <v>114165675.211981</v>
      </c>
      <c r="AP248" s="1">
        <f>IF(AO248="","",_xlfn.XLOOKUP(AO248,_曲线基线!$E$3:$E$502,_曲线基线!$A$3:$A$502,500,1))</f>
        <v>298</v>
      </c>
      <c r="AQ248" s="15">
        <f t="shared" si="295"/>
        <v>5</v>
      </c>
    </row>
    <row r="249" customHeight="1" spans="1:43">
      <c r="A249" s="1" t="str">
        <f>IFERROR(_xlfn.XLOOKUP(B249,_曲线基线!$G$3:$G$107,_曲线基线!$J$3:$J$107,""),"")</f>
        <v/>
      </c>
      <c r="B249" s="1">
        <v>238</v>
      </c>
      <c r="C249" s="1">
        <f t="shared" si="333"/>
        <v>17</v>
      </c>
      <c r="D249" s="1">
        <f t="shared" si="334"/>
        <v>4</v>
      </c>
      <c r="E249" s="1">
        <f t="shared" si="270"/>
        <v>1</v>
      </c>
      <c r="F249" s="11">
        <f t="shared" si="293"/>
        <v>5</v>
      </c>
      <c r="G249" s="12">
        <f t="shared" ref="G249:L249" si="341">IF($B249&lt;G$8,0,G$3+(G$4-G$3)*(POWER(G$5,$B249-G$8)-1)/(POWER(G$5,$C$5-G$8)-1))</f>
        <v>0.888259076957094</v>
      </c>
      <c r="H249" s="12">
        <f t="shared" si="341"/>
        <v>0.695709860140318</v>
      </c>
      <c r="I249" s="12">
        <f t="shared" si="341"/>
        <v>0.638969325409942</v>
      </c>
      <c r="J249" s="12">
        <f t="shared" si="341"/>
        <v>0.594910256806291</v>
      </c>
      <c r="K249" s="12">
        <f t="shared" si="341"/>
        <v>0.626846342872591</v>
      </c>
      <c r="L249" s="12">
        <f t="shared" si="341"/>
        <v>0.695621881586616</v>
      </c>
      <c r="M249" s="2">
        <f>E249*模块规划!$F$10+G249*模块规划!$F$11+H249*模块规划!$F$13</f>
        <v>5263.64356939405</v>
      </c>
      <c r="N249" s="2">
        <f>I249*模块规划!$F$15+J249*模块规划!$F$17+K249*模块规划!$F$16+L249*模块规划!$F$18</f>
        <v>18300.0446365111</v>
      </c>
      <c r="O249" s="2">
        <f t="shared" si="272"/>
        <v>3.38809081950394</v>
      </c>
      <c r="P249" s="13">
        <f t="shared" si="273"/>
        <v>36133.747091116</v>
      </c>
      <c r="Q249" s="7">
        <f>P249/(P249+_曲线基线!$L$2)</f>
        <v>0.600889664107666</v>
      </c>
      <c r="R249" s="2">
        <f>E249*模块规划!$E$10+G249*模块规划!$E$11+H249*模块规划!$E$13</f>
        <v>7895.46535409108</v>
      </c>
      <c r="S249" s="2">
        <f>I249*模块规划!$E$15+J249*模块规划!$E$17+K249*模块规划!$E$16+L249*模块规划!$E$18</f>
        <v>27450.0669547666</v>
      </c>
      <c r="T249" s="2">
        <f t="shared" si="274"/>
        <v>3.38809081950394</v>
      </c>
      <c r="U249" s="13">
        <f t="shared" si="275"/>
        <v>54200.620636674</v>
      </c>
      <c r="V249" s="2">
        <f t="shared" si="276"/>
        <v>0.908712958042095</v>
      </c>
      <c r="W249" s="2">
        <f t="shared" si="277"/>
        <v>0.278283944056127</v>
      </c>
      <c r="X249" s="2">
        <f t="shared" si="278"/>
        <v>0.466320211538587</v>
      </c>
      <c r="Y249" s="2">
        <f t="shared" si="279"/>
        <v>1</v>
      </c>
      <c r="Z249" s="2">
        <f t="shared" si="280"/>
        <v>1</v>
      </c>
      <c r="AA249" s="2">
        <f t="shared" si="281"/>
        <v>1</v>
      </c>
      <c r="AB249" s="2">
        <f t="shared" si="282"/>
        <v>1</v>
      </c>
      <c r="AC249" s="2">
        <f t="shared" si="283"/>
        <v>1</v>
      </c>
      <c r="AD249" s="1">
        <f t="shared" si="284"/>
        <v>1.88615705416678</v>
      </c>
      <c r="AE249" s="2">
        <f t="shared" si="285"/>
        <v>1</v>
      </c>
      <c r="AF249" s="2">
        <f t="shared" si="286"/>
        <v>1.21077076868496</v>
      </c>
      <c r="AG249" s="2">
        <f t="shared" si="287"/>
        <v>1.37353264005836</v>
      </c>
      <c r="AH249" s="2">
        <f>MIN(1,_曲线基线!$L$3+AH$9*($H$10*H249+$I$10*I249+$J$10*J249+$K$10*K249+$L$10*L249))</f>
        <v>0.529503498758292</v>
      </c>
      <c r="AI249" s="2">
        <f>_曲线基线!$L$4+AI$9*($H$10*H249+$I$10*I249+$J$10*J249+$K$10*K249+$L$10*L249)</f>
        <v>3.33575974654096</v>
      </c>
      <c r="AJ249" s="2">
        <f t="shared" si="288"/>
        <v>2.09600799716181</v>
      </c>
      <c r="AK249" s="1">
        <f t="shared" si="289"/>
        <v>4.68833592807267</v>
      </c>
      <c r="AL249" s="1">
        <f t="shared" si="290"/>
        <v>2396463.60756103</v>
      </c>
      <c r="AM249" s="14">
        <f t="shared" si="291"/>
        <v>47.8503408903559</v>
      </c>
      <c r="AN249" s="14">
        <f>(((E249*模块规划!$D$10+G249*模块规划!$D$11+H249*模块规划!$D$13)*(1+模块规划!$G$14*H249)+(I249*模块规划!$D$15+J249*模块规划!$D$17+K249*模块规划!$D$16+L249*模块规划!$D$18))*(1+模块规划!$J$17*J249))*F249/(1-Q249)</f>
        <v>2883552.35794155</v>
      </c>
      <c r="AO249" s="1">
        <f t="shared" si="292"/>
        <v>114671600.553127</v>
      </c>
      <c r="AP249" s="1">
        <f>IF(AO249="","",_xlfn.XLOOKUP(AO249,_曲线基线!$E$3:$E$502,_曲线基线!$A$3:$A$502,500,1))</f>
        <v>298</v>
      </c>
      <c r="AQ249" s="15">
        <f t="shared" si="295"/>
        <v>5</v>
      </c>
    </row>
    <row r="250" customHeight="1" spans="1:43">
      <c r="A250" s="1" t="str">
        <f>IFERROR(_xlfn.XLOOKUP(B250,_曲线基线!$G$3:$G$107,_曲线基线!$J$3:$J$107,""),"")</f>
        <v/>
      </c>
      <c r="B250" s="1">
        <v>239</v>
      </c>
      <c r="C250" s="1">
        <f t="shared" si="333"/>
        <v>17</v>
      </c>
      <c r="D250" s="1">
        <f t="shared" si="334"/>
        <v>5</v>
      </c>
      <c r="E250" s="1">
        <f t="shared" si="270"/>
        <v>1</v>
      </c>
      <c r="F250" s="11">
        <f t="shared" si="293"/>
        <v>5</v>
      </c>
      <c r="G250" s="12">
        <f t="shared" ref="G250:L250" si="342">IF($B250&lt;G$8,0,G$3+(G$4-G$3)*(POWER(G$5,$B250-G$8)-1)/(POWER(G$5,$C$5-G$8)-1))</f>
        <v>0.888640381257234</v>
      </c>
      <c r="H250" s="12">
        <f t="shared" si="342"/>
        <v>0.695862205177023</v>
      </c>
      <c r="I250" s="12">
        <f t="shared" si="342"/>
        <v>0.639361030244812</v>
      </c>
      <c r="J250" s="12">
        <f t="shared" si="342"/>
        <v>0.595090996161889</v>
      </c>
      <c r="K250" s="12">
        <f t="shared" si="342"/>
        <v>0.627668540950113</v>
      </c>
      <c r="L250" s="12">
        <f t="shared" si="342"/>
        <v>0.695777350786269</v>
      </c>
      <c r="M250" s="2">
        <f>E250*模块规划!$F$10+G250*模块规划!$F$11+H250*模块规划!$F$13</f>
        <v>5265.47383003472</v>
      </c>
      <c r="N250" s="2">
        <f>I250*模块规划!$F$15+J250*模块规划!$F$17+K250*模块规划!$F$16+L250*模块规划!$F$18</f>
        <v>18310.6962032094</v>
      </c>
      <c r="O250" s="2">
        <f t="shared" si="272"/>
        <v>3.389266282625</v>
      </c>
      <c r="P250" s="13">
        <f t="shared" si="273"/>
        <v>36156.7891173904</v>
      </c>
      <c r="Q250" s="7">
        <f>P250/(P250+_曲线基线!$L$2)</f>
        <v>0.60104253647637</v>
      </c>
      <c r="R250" s="2">
        <f>E250*模块规划!$E$10+G250*模块规划!$E$11+H250*模块规划!$E$13</f>
        <v>7898.21074505208</v>
      </c>
      <c r="S250" s="2">
        <f>I250*模块规划!$E$15+J250*模块规划!$E$17+K250*模块规划!$E$16+L250*模块规划!$E$18</f>
        <v>27466.0443048141</v>
      </c>
      <c r="T250" s="2">
        <f t="shared" si="274"/>
        <v>3.389266282625</v>
      </c>
      <c r="U250" s="13">
        <f t="shared" si="275"/>
        <v>54235.1836760856</v>
      </c>
      <c r="V250" s="2">
        <f t="shared" si="276"/>
        <v>0.908758661553107</v>
      </c>
      <c r="W250" s="2">
        <f t="shared" si="277"/>
        <v>0.278344882070809</v>
      </c>
      <c r="X250" s="2">
        <f t="shared" si="278"/>
        <v>0.466362106423681</v>
      </c>
      <c r="Y250" s="2">
        <f t="shared" si="279"/>
        <v>1</v>
      </c>
      <c r="Z250" s="2">
        <f t="shared" si="280"/>
        <v>1</v>
      </c>
      <c r="AA250" s="2">
        <f t="shared" si="281"/>
        <v>1</v>
      </c>
      <c r="AB250" s="2">
        <f t="shared" si="282"/>
        <v>1</v>
      </c>
      <c r="AC250" s="2">
        <f t="shared" si="283"/>
        <v>1</v>
      </c>
      <c r="AD250" s="1">
        <f t="shared" si="284"/>
        <v>1.88644870585029</v>
      </c>
      <c r="AE250" s="2">
        <f t="shared" si="285"/>
        <v>1</v>
      </c>
      <c r="AF250" s="2">
        <f t="shared" si="286"/>
        <v>1.21087451401306</v>
      </c>
      <c r="AG250" s="2">
        <f t="shared" si="287"/>
        <v>1.37371649983425</v>
      </c>
      <c r="AH250" s="2">
        <f>MIN(1,_曲线基线!$L$3+AH$9*($H$10*H250+$I$10*I250+$J$10*J250+$K$10*K250+$L$10*L250))</f>
        <v>0.529739519379704</v>
      </c>
      <c r="AI250" s="2">
        <f>_曲线基线!$L$4+AI$9*($H$10*H250+$I$10*I250+$J$10*J250+$K$10*K250+$L$10*L250)</f>
        <v>3.33641723255775</v>
      </c>
      <c r="AJ250" s="2">
        <f t="shared" si="288"/>
        <v>2.0965474728679</v>
      </c>
      <c r="AK250" s="1">
        <f t="shared" si="289"/>
        <v>4.69142864366173</v>
      </c>
      <c r="AL250" s="1">
        <f t="shared" si="290"/>
        <v>2399944.70492433</v>
      </c>
      <c r="AM250" s="14">
        <f t="shared" si="291"/>
        <v>47.9922689391813</v>
      </c>
      <c r="AN250" s="14">
        <f>(((E250*模块规划!$D$10+G250*模块规划!$D$11+H250*模块规划!$D$13)*(1+模块规划!$G$14*H250)+(I250*模块规划!$D$15+J250*模块规划!$D$17+K250*模块规划!$D$16+L250*模块规划!$D$18))*(1+模块规划!$J$17*J250))*F250/(1-Q250)</f>
        <v>2886563.65497123</v>
      </c>
      <c r="AO250" s="1">
        <f t="shared" si="292"/>
        <v>115178791.717892</v>
      </c>
      <c r="AP250" s="1">
        <f>IF(AO250="","",_xlfn.XLOOKUP(AO250,_曲线基线!$E$3:$E$502,_曲线基线!$A$3:$A$502,500,1))</f>
        <v>299</v>
      </c>
      <c r="AQ250" s="15">
        <f t="shared" si="295"/>
        <v>5</v>
      </c>
    </row>
    <row r="251" customHeight="1" spans="1:43">
      <c r="A251" s="1" t="str">
        <f>IFERROR(_xlfn.XLOOKUP(B251,_曲线基线!$G$3:$G$107,_曲线基线!$J$3:$J$107,""),"")</f>
        <v/>
      </c>
      <c r="B251" s="1">
        <v>240</v>
      </c>
      <c r="C251" s="1">
        <f t="shared" si="333"/>
        <v>17</v>
      </c>
      <c r="D251" s="1">
        <f t="shared" si="334"/>
        <v>6</v>
      </c>
      <c r="E251" s="1">
        <f t="shared" si="270"/>
        <v>1</v>
      </c>
      <c r="F251" s="11">
        <f t="shared" si="293"/>
        <v>5</v>
      </c>
      <c r="G251" s="12">
        <f t="shared" ref="G251:L251" si="343">IF($B251&lt;G$8,0,G$3+(G$4-G$3)*(POWER(G$5,$B251-G$8)-1)/(POWER(G$5,$C$5-G$8)-1))</f>
        <v>0.889015965992871</v>
      </c>
      <c r="H251" s="12">
        <f t="shared" si="343"/>
        <v>0.696011503312994</v>
      </c>
      <c r="I251" s="12">
        <f t="shared" si="343"/>
        <v>0.639744900982984</v>
      </c>
      <c r="J251" s="12">
        <f t="shared" si="343"/>
        <v>0.595268120730375</v>
      </c>
      <c r="K251" s="12">
        <f t="shared" si="343"/>
        <v>0.628474295066084</v>
      </c>
      <c r="L251" s="12">
        <f t="shared" si="343"/>
        <v>0.695929710601929</v>
      </c>
      <c r="M251" s="2">
        <f>E251*模块规划!$F$10+G251*模块规划!$F$11+H251*模块规划!$F$13</f>
        <v>5267.27663676578</v>
      </c>
      <c r="N251" s="2">
        <f>I251*模块规划!$F$15+J251*模块规划!$F$17+K251*模块规划!$F$16+L251*模块规划!$F$18</f>
        <v>18321.1347385738</v>
      </c>
      <c r="O251" s="2">
        <f t="shared" si="272"/>
        <v>3.39041823648364</v>
      </c>
      <c r="P251" s="13">
        <f t="shared" si="273"/>
        <v>36179.4055044687</v>
      </c>
      <c r="Q251" s="7">
        <f>P251/(P251+_曲线基线!$L$2)</f>
        <v>0.601192471098475</v>
      </c>
      <c r="R251" s="2">
        <f>E251*模块规划!$E$10+G251*模块规划!$E$11+H251*模块规划!$E$13</f>
        <v>7900.91495514867</v>
      </c>
      <c r="S251" s="2">
        <f>I251*模块规划!$E$15+J251*模块规划!$E$17+K251*模块规划!$E$16+L251*模块规划!$E$18</f>
        <v>27481.7021078607</v>
      </c>
      <c r="T251" s="2">
        <f t="shared" si="274"/>
        <v>3.39041823648364</v>
      </c>
      <c r="U251" s="13">
        <f t="shared" si="275"/>
        <v>54269.108256703</v>
      </c>
      <c r="V251" s="2">
        <f t="shared" si="276"/>
        <v>0.908803450993898</v>
      </c>
      <c r="W251" s="2">
        <f t="shared" si="277"/>
        <v>0.278404601325197</v>
      </c>
      <c r="X251" s="2">
        <f t="shared" si="278"/>
        <v>0.466403163411073</v>
      </c>
      <c r="Y251" s="2">
        <f t="shared" si="279"/>
        <v>1</v>
      </c>
      <c r="Z251" s="2">
        <f t="shared" si="280"/>
        <v>1</v>
      </c>
      <c r="AA251" s="2">
        <f t="shared" si="281"/>
        <v>1</v>
      </c>
      <c r="AB251" s="2">
        <f t="shared" si="282"/>
        <v>1</v>
      </c>
      <c r="AC251" s="2">
        <f t="shared" si="283"/>
        <v>1</v>
      </c>
      <c r="AD251" s="1">
        <f t="shared" si="284"/>
        <v>1.88673455171388</v>
      </c>
      <c r="AE251" s="2">
        <f t="shared" si="285"/>
        <v>1</v>
      </c>
      <c r="AF251" s="2">
        <f t="shared" si="286"/>
        <v>1.21097618443459</v>
      </c>
      <c r="AG251" s="2">
        <f t="shared" si="287"/>
        <v>1.37389668241463</v>
      </c>
      <c r="AH251" s="2">
        <f>MIN(1,_曲线基线!$L$3+AH$9*($H$10*H251+$I$10*I251+$J$10*J251+$K$10*K251+$L$10*L251))</f>
        <v>0.529970819588688</v>
      </c>
      <c r="AI251" s="2">
        <f>_曲线基线!$L$4+AI$9*($H$10*H251+$I$10*I251+$J$10*J251+$K$10*K251+$L$10*L251)</f>
        <v>3.3370615688542</v>
      </c>
      <c r="AJ251" s="2">
        <f t="shared" si="288"/>
        <v>2.09707615905986</v>
      </c>
      <c r="AK251" s="1">
        <f t="shared" si="289"/>
        <v>4.69446107807644</v>
      </c>
      <c r="AL251" s="1">
        <f t="shared" si="290"/>
        <v>2403362.24861103</v>
      </c>
      <c r="AM251" s="14">
        <f t="shared" si="291"/>
        <v>48.135616268495</v>
      </c>
      <c r="AN251" s="14">
        <f>(((E251*模块规划!$D$10+G251*模块规划!$D$11+H251*模块规划!$D$13)*(1+模块规划!$G$14*H251)+(I251*模块规划!$D$15+J251*模块规划!$D$17+K251*模块规划!$D$16+L251*模块规划!$D$18))*(1+模块规划!$J$17*J251))*F251/(1-Q251)</f>
        <v>2889519.86353715</v>
      </c>
      <c r="AO251" s="1">
        <f t="shared" si="292"/>
        <v>115687322.953328</v>
      </c>
      <c r="AP251" s="1">
        <f>IF(AO251="","",_xlfn.XLOOKUP(AO251,_曲线基线!$E$3:$E$502,_曲线基线!$A$3:$A$502,500,1))</f>
        <v>299</v>
      </c>
      <c r="AQ251" s="15">
        <f t="shared" si="295"/>
        <v>5</v>
      </c>
    </row>
    <row r="252" customHeight="1" spans="1:43">
      <c r="A252" s="1" t="str">
        <f>IFERROR(_xlfn.XLOOKUP(B252,_曲线基线!$G$3:$G$107,_曲线基线!$J$3:$J$107,""),"")</f>
        <v/>
      </c>
      <c r="B252" s="1">
        <v>241</v>
      </c>
      <c r="C252" s="1">
        <f t="shared" si="333"/>
        <v>17</v>
      </c>
      <c r="D252" s="1">
        <f t="shared" si="334"/>
        <v>7</v>
      </c>
      <c r="E252" s="1">
        <f t="shared" si="270"/>
        <v>1</v>
      </c>
      <c r="F252" s="11">
        <f t="shared" si="293"/>
        <v>5</v>
      </c>
      <c r="G252" s="12">
        <f t="shared" ref="G252:L252" si="344">IF($B252&lt;G$8,0,G$3+(G$4-G$3)*(POWER(G$5,$B252-G$8)-1)/(POWER(G$5,$C$5-G$8)-1))</f>
        <v>0.889385916957474</v>
      </c>
      <c r="H252" s="12">
        <f t="shared" si="344"/>
        <v>0.696157815486245</v>
      </c>
      <c r="I252" s="12">
        <f t="shared" si="344"/>
        <v>0.640121094306392</v>
      </c>
      <c r="J252" s="12">
        <f t="shared" si="344"/>
        <v>0.595441702807492</v>
      </c>
      <c r="K252" s="12">
        <f t="shared" si="344"/>
        <v>0.629263934099736</v>
      </c>
      <c r="L252" s="12">
        <f t="shared" si="344"/>
        <v>0.696079023221276</v>
      </c>
      <c r="M252" s="2">
        <f>E252*模块规划!$F$10+G252*模块规划!$F$11+H252*模块规划!$F$13</f>
        <v>5269.05240139587</v>
      </c>
      <c r="N252" s="2">
        <f>I252*模块规划!$F$15+J252*模块规划!$F$17+K252*模块规划!$F$16+L252*模块规划!$F$18</f>
        <v>18331.3645032309</v>
      </c>
      <c r="O252" s="2">
        <f t="shared" si="272"/>
        <v>3.3915471512651</v>
      </c>
      <c r="P252" s="13">
        <f t="shared" si="273"/>
        <v>36201.6041650516</v>
      </c>
      <c r="Q252" s="7">
        <f>P252/(P252+_曲线基线!$L$2)</f>
        <v>0.601339526863761</v>
      </c>
      <c r="R252" s="2">
        <f>E252*模块规划!$E$10+G252*模块规划!$E$11+H252*模块规划!$E$13</f>
        <v>7903.57860209381</v>
      </c>
      <c r="S252" s="2">
        <f>I252*模块规划!$E$15+J252*模块规划!$E$17+K252*模块规划!$E$16+L252*模块规划!$E$18</f>
        <v>27497.0467548463</v>
      </c>
      <c r="T252" s="2">
        <f t="shared" si="274"/>
        <v>3.3915471512651</v>
      </c>
      <c r="U252" s="13">
        <f t="shared" si="275"/>
        <v>54302.4062475773</v>
      </c>
      <c r="V252" s="2">
        <f t="shared" si="276"/>
        <v>0.908847344645874</v>
      </c>
      <c r="W252" s="2">
        <f t="shared" si="277"/>
        <v>0.278463126194498</v>
      </c>
      <c r="X252" s="2">
        <f t="shared" si="278"/>
        <v>0.466443399258717</v>
      </c>
      <c r="Y252" s="2">
        <f t="shared" si="279"/>
        <v>1</v>
      </c>
      <c r="Z252" s="2">
        <f t="shared" si="280"/>
        <v>1</v>
      </c>
      <c r="AA252" s="2">
        <f t="shared" si="281"/>
        <v>1</v>
      </c>
      <c r="AB252" s="2">
        <f t="shared" si="282"/>
        <v>1</v>
      </c>
      <c r="AC252" s="2">
        <f t="shared" si="283"/>
        <v>1</v>
      </c>
      <c r="AD252" s="1">
        <f t="shared" si="284"/>
        <v>1.8870147067963</v>
      </c>
      <c r="AE252" s="2">
        <f t="shared" si="285"/>
        <v>1</v>
      </c>
      <c r="AF252" s="2">
        <f t="shared" si="286"/>
        <v>1.21107582144769</v>
      </c>
      <c r="AG252" s="2">
        <f t="shared" si="287"/>
        <v>1.37407326134341</v>
      </c>
      <c r="AH252" s="2">
        <f>MIN(1,_曲线基线!$L$3+AH$9*($H$10*H252+$I$10*I252+$J$10*J252+$K$10*K252+$L$10*L252))</f>
        <v>0.530197493793493</v>
      </c>
      <c r="AI252" s="2">
        <f>_曲线基线!$L$4+AI$9*($H$10*H252+$I$10*I252+$J$10*J252+$K$10*K252+$L$10*L252)</f>
        <v>3.33769301842473</v>
      </c>
      <c r="AJ252" s="2">
        <f t="shared" si="288"/>
        <v>2.09759427152798</v>
      </c>
      <c r="AK252" s="1">
        <f t="shared" si="289"/>
        <v>4.69743437510277</v>
      </c>
      <c r="AL252" s="1">
        <f t="shared" si="290"/>
        <v>2406717.3305626</v>
      </c>
      <c r="AM252" s="14">
        <f t="shared" si="291"/>
        <v>48.2803970711018</v>
      </c>
      <c r="AN252" s="14">
        <f>(((E252*模块规划!$D$10+G252*模块规划!$D$11+H252*模块规划!$D$13)*(1+模块规划!$G$14*H252)+(I252*模块规划!$D$15+J252*模块规划!$D$17+K252*模块规划!$D$16+L252*模块规划!$D$18))*(1+模块规划!$J$17*J252))*F252/(1-Q252)</f>
        <v>2892421.96580114</v>
      </c>
      <c r="AO252" s="1">
        <f t="shared" si="292"/>
        <v>116197268.357465</v>
      </c>
      <c r="AP252" s="1">
        <f>IF(AO252="","",_xlfn.XLOOKUP(AO252,_曲线基线!$E$3:$E$502,_曲线基线!$A$3:$A$502,500,1))</f>
        <v>299</v>
      </c>
      <c r="AQ252" s="15">
        <f t="shared" si="295"/>
        <v>5</v>
      </c>
    </row>
    <row r="253" customHeight="1" spans="1:43">
      <c r="A253" s="1" t="str">
        <f>IFERROR(_xlfn.XLOOKUP(B253,_曲线基线!$G$3:$G$107,_曲线基线!$J$3:$J$107,""),"")</f>
        <v/>
      </c>
      <c r="B253" s="1">
        <v>242</v>
      </c>
      <c r="C253" s="1">
        <f t="shared" si="333"/>
        <v>17</v>
      </c>
      <c r="D253" s="1">
        <f t="shared" si="334"/>
        <v>8</v>
      </c>
      <c r="E253" s="1">
        <f t="shared" si="270"/>
        <v>1</v>
      </c>
      <c r="F253" s="11">
        <f t="shared" si="293"/>
        <v>5</v>
      </c>
      <c r="G253" s="12">
        <f t="shared" ref="G253:L253" si="345">IF($B253&lt;G$8,0,G$3+(G$4-G$3)*(POWER(G$5,$B253-G$8)-1)/(POWER(G$5,$C$5-G$8)-1))</f>
        <v>0.889750318657608</v>
      </c>
      <c r="H253" s="12">
        <f t="shared" si="345"/>
        <v>0.696301201416032</v>
      </c>
      <c r="I253" s="12">
        <f t="shared" si="345"/>
        <v>0.640489763763333</v>
      </c>
      <c r="J253" s="12">
        <f t="shared" si="345"/>
        <v>0.595611813243066</v>
      </c>
      <c r="K253" s="12">
        <f t="shared" si="345"/>
        <v>0.630037780352715</v>
      </c>
      <c r="L253" s="12">
        <f t="shared" si="345"/>
        <v>0.696225349588237</v>
      </c>
      <c r="M253" s="2">
        <f>E253*模块规划!$F$10+G253*模块规划!$F$11+H253*模块规划!$F$13</f>
        <v>5270.80152955652</v>
      </c>
      <c r="N253" s="2">
        <f>I253*模块规划!$F$15+J253*模块规划!$F$17+K253*模块规划!$F$16+L253*模块规划!$F$18</f>
        <v>18341.3896725948</v>
      </c>
      <c r="O253" s="2">
        <f t="shared" si="272"/>
        <v>3.39265348775094</v>
      </c>
      <c r="P253" s="13">
        <f t="shared" si="273"/>
        <v>36223.3928650877</v>
      </c>
      <c r="Q253" s="7">
        <f>P253/(P253+_曲线基线!$L$2)</f>
        <v>0.601483761405394</v>
      </c>
      <c r="R253" s="2">
        <f>E253*模块规划!$E$10+G253*模块规划!$E$11+H253*模块规划!$E$13</f>
        <v>7906.20229433477</v>
      </c>
      <c r="S253" s="2">
        <f>I253*模块规划!$E$15+J253*模块规划!$E$17+K253*模块规划!$E$16+L253*模块规划!$E$18</f>
        <v>27512.0845088922</v>
      </c>
      <c r="T253" s="2">
        <f t="shared" si="274"/>
        <v>3.39265348775094</v>
      </c>
      <c r="U253" s="13">
        <f t="shared" si="275"/>
        <v>54335.0892976315</v>
      </c>
      <c r="V253" s="2">
        <f t="shared" si="276"/>
        <v>0.90889036042481</v>
      </c>
      <c r="W253" s="2">
        <f t="shared" si="277"/>
        <v>0.278520480566413</v>
      </c>
      <c r="X253" s="2">
        <f t="shared" si="278"/>
        <v>0.466482830389409</v>
      </c>
      <c r="Y253" s="2">
        <f t="shared" si="279"/>
        <v>1</v>
      </c>
      <c r="Z253" s="2">
        <f t="shared" si="280"/>
        <v>1</v>
      </c>
      <c r="AA253" s="2">
        <f t="shared" si="281"/>
        <v>1</v>
      </c>
      <c r="AB253" s="2">
        <f t="shared" si="282"/>
        <v>1</v>
      </c>
      <c r="AC253" s="2">
        <f t="shared" si="283"/>
        <v>1</v>
      </c>
      <c r="AD253" s="1">
        <f t="shared" si="284"/>
        <v>1.88728928387817</v>
      </c>
      <c r="AE253" s="2">
        <f t="shared" si="285"/>
        <v>1</v>
      </c>
      <c r="AF253" s="2">
        <f t="shared" si="286"/>
        <v>1.21117346572053</v>
      </c>
      <c r="AG253" s="2">
        <f t="shared" si="287"/>
        <v>1.37424630869361</v>
      </c>
      <c r="AH253" s="2">
        <f>MIN(1,_曲线基线!$L$3+AH$9*($H$10*H253+$I$10*I253+$J$10*J253+$K$10*K253+$L$10*L253))</f>
        <v>0.530419634514201</v>
      </c>
      <c r="AI253" s="2">
        <f>_曲线基线!$L$4+AI$9*($H$10*H253+$I$10*I253+$J$10*J253+$K$10*K253+$L$10*L253)</f>
        <v>3.33831183900385</v>
      </c>
      <c r="AJ253" s="2">
        <f t="shared" si="288"/>
        <v>2.09810202174675</v>
      </c>
      <c r="AK253" s="1">
        <f t="shared" si="289"/>
        <v>4.70034965807278</v>
      </c>
      <c r="AL253" s="1">
        <f t="shared" si="290"/>
        <v>2410011.02683381</v>
      </c>
      <c r="AM253" s="14">
        <f t="shared" si="291"/>
        <v>48.4266256817347</v>
      </c>
      <c r="AN253" s="14">
        <f>(((E253*模块规划!$D$10+G253*模块规划!$D$11+H253*模块规划!$D$13)*(1+模块规划!$G$14*H253)+(I253*模块规划!$D$15+J253*模块规划!$D$17+K253*模块规划!$D$16+L253*模块规划!$D$18))*(1+模块规划!$J$17*J253))*F253/(1-Q253)</f>
        <v>2895270.92765437</v>
      </c>
      <c r="AO253" s="1">
        <f t="shared" si="292"/>
        <v>116708701.885334</v>
      </c>
      <c r="AP253" s="1">
        <f>IF(AO253="","",_xlfn.XLOOKUP(AO253,_曲线基线!$E$3:$E$502,_曲线基线!$A$3:$A$502,500,1))</f>
        <v>300</v>
      </c>
      <c r="AQ253" s="15">
        <f t="shared" si="295"/>
        <v>5</v>
      </c>
    </row>
    <row r="254" customHeight="1" spans="1:43">
      <c r="A254" s="1" t="str">
        <f>IFERROR(_xlfn.XLOOKUP(B254,_曲线基线!$G$3:$G$107,_曲线基线!$J$3:$J$107,""),"")</f>
        <v/>
      </c>
      <c r="B254" s="1">
        <v>243</v>
      </c>
      <c r="C254" s="1">
        <f t="shared" si="333"/>
        <v>17</v>
      </c>
      <c r="D254" s="1">
        <f t="shared" si="334"/>
        <v>9</v>
      </c>
      <c r="E254" s="1">
        <f t="shared" si="270"/>
        <v>1</v>
      </c>
      <c r="F254" s="11">
        <f t="shared" si="293"/>
        <v>5</v>
      </c>
      <c r="G254" s="12">
        <f t="shared" ref="G254:L254" si="346">IF($B254&lt;G$8,0,G$3+(G$4-G$3)*(POWER(G$5,$B254-G$8)-1)/(POWER(G$5,$C$5-G$8)-1))</f>
        <v>0.890109254332239</v>
      </c>
      <c r="H254" s="12">
        <f t="shared" si="346"/>
        <v>0.696441719627222</v>
      </c>
      <c r="I254" s="12">
        <f t="shared" si="346"/>
        <v>0.640851059831134</v>
      </c>
      <c r="J254" s="12">
        <f t="shared" si="346"/>
        <v>0.595778521469928</v>
      </c>
      <c r="K254" s="12">
        <f t="shared" si="346"/>
        <v>0.630796149680634</v>
      </c>
      <c r="L254" s="12">
        <f t="shared" si="346"/>
        <v>0.696368749427858</v>
      </c>
      <c r="M254" s="2">
        <f>E254*模块规划!$F$10+G254*模块规划!$F$11+H254*模块规划!$F$13</f>
        <v>5272.52442079475</v>
      </c>
      <c r="N254" s="2">
        <f>I254*模块规划!$F$15+J254*模块规划!$F$17+K254*模块规划!$F$16+L254*模块规划!$F$18</f>
        <v>18351.2143385714</v>
      </c>
      <c r="O254" s="2">
        <f t="shared" si="272"/>
        <v>3.39373769750705</v>
      </c>
      <c r="P254" s="13">
        <f t="shared" si="273"/>
        <v>36244.7792264491</v>
      </c>
      <c r="Q254" s="7">
        <f>P254/(P254+_曲线基线!$L$2)</f>
        <v>0.60162523112935</v>
      </c>
      <c r="R254" s="2">
        <f>E254*模块规划!$E$10+G254*模块规划!$E$11+H254*模块规划!$E$13</f>
        <v>7908.78663119212</v>
      </c>
      <c r="S254" s="2">
        <f>I254*模块规划!$E$15+J254*模块规划!$E$17+K254*模块规划!$E$16+L254*模块规划!$E$18</f>
        <v>27526.8215078572</v>
      </c>
      <c r="T254" s="2">
        <f t="shared" si="274"/>
        <v>3.39373769750705</v>
      </c>
      <c r="U254" s="13">
        <f t="shared" si="275"/>
        <v>54367.1688396737</v>
      </c>
      <c r="V254" s="2">
        <f t="shared" si="276"/>
        <v>0.908932515888167</v>
      </c>
      <c r="W254" s="2">
        <f t="shared" si="277"/>
        <v>0.278576687850889</v>
      </c>
      <c r="X254" s="2">
        <f t="shared" si="278"/>
        <v>0.466521472897486</v>
      </c>
      <c r="Y254" s="2">
        <f t="shared" si="279"/>
        <v>1</v>
      </c>
      <c r="Z254" s="2">
        <f t="shared" si="280"/>
        <v>1</v>
      </c>
      <c r="AA254" s="2">
        <f t="shared" si="281"/>
        <v>1</v>
      </c>
      <c r="AB254" s="2">
        <f t="shared" si="282"/>
        <v>1</v>
      </c>
      <c r="AC254" s="2">
        <f t="shared" si="283"/>
        <v>1</v>
      </c>
      <c r="AD254" s="1">
        <f t="shared" si="284"/>
        <v>1.8875583935255</v>
      </c>
      <c r="AE254" s="2">
        <f t="shared" si="285"/>
        <v>1</v>
      </c>
      <c r="AF254" s="2">
        <f t="shared" si="286"/>
        <v>1.21126915710791</v>
      </c>
      <c r="AG254" s="2">
        <f t="shared" si="287"/>
        <v>1.3744158950968</v>
      </c>
      <c r="AH254" s="2">
        <f>MIN(1,_曲线基线!$L$3+AH$9*($H$10*H254+$I$10*I254+$J$10*J254+$K$10*K254+$L$10*L254))</f>
        <v>0.530637332420495</v>
      </c>
      <c r="AI254" s="2">
        <f>_曲线基线!$L$4+AI$9*($H$10*H254+$I$10*I254+$J$10*J254+$K$10*K254+$L$10*L254)</f>
        <v>3.33891828317138</v>
      </c>
      <c r="AJ254" s="2">
        <f t="shared" si="288"/>
        <v>2.09859961696113</v>
      </c>
      <c r="AK254" s="1">
        <f t="shared" si="289"/>
        <v>4.70320803017933</v>
      </c>
      <c r="AL254" s="1">
        <f t="shared" si="290"/>
        <v>2413244.39770273</v>
      </c>
      <c r="AM254" s="14">
        <f t="shared" si="291"/>
        <v>48.5743165784739</v>
      </c>
      <c r="AN254" s="14">
        <f>(((E254*模块规划!$D$10+G254*模块规划!$D$11+H254*模块规划!$D$13)*(1+模块规划!$G$14*H254)+(I254*模块规划!$D$15+J254*模块规划!$D$17+K254*模块规划!$D$16+L254*模块规划!$D$18))*(1+模块规划!$J$17*J254))*F254/(1-Q254)</f>
        <v>2898067.69893393</v>
      </c>
      <c r="AO254" s="1">
        <f t="shared" si="292"/>
        <v>117221697.355241</v>
      </c>
      <c r="AP254" s="1">
        <f>IF(AO254="","",_xlfn.XLOOKUP(AO254,_曲线基线!$E$3:$E$502,_曲线基线!$A$3:$A$502,500,1))</f>
        <v>300</v>
      </c>
      <c r="AQ254" s="15">
        <f t="shared" si="295"/>
        <v>5</v>
      </c>
    </row>
    <row r="255" customHeight="1" spans="1:43">
      <c r="A255" s="1" t="str">
        <f>IFERROR(_xlfn.XLOOKUP(B255,_曲线基线!$G$3:$G$107,_曲线基线!$J$3:$J$107,""),"")</f>
        <v/>
      </c>
      <c r="B255" s="1">
        <v>244</v>
      </c>
      <c r="C255" s="1">
        <f t="shared" si="333"/>
        <v>17</v>
      </c>
      <c r="D255" s="1">
        <f t="shared" si="334"/>
        <v>10</v>
      </c>
      <c r="E255" s="1">
        <f t="shared" si="270"/>
        <v>1</v>
      </c>
      <c r="F255" s="11">
        <f t="shared" si="293"/>
        <v>5</v>
      </c>
      <c r="G255" s="12">
        <f t="shared" ref="G255:L255" si="347">IF($B255&lt;G$8,0,G$3+(G$4-G$3)*(POWER(G$5,$B255-G$8)-1)/(POWER(G$5,$C$5-G$8)-1))</f>
        <v>0.890462805971752</v>
      </c>
      <c r="H255" s="12">
        <f t="shared" si="347"/>
        <v>0.696579427474189</v>
      </c>
      <c r="I255" s="12">
        <f t="shared" si="347"/>
        <v>0.64120512997758</v>
      </c>
      <c r="J255" s="12">
        <f t="shared" si="347"/>
        <v>0.595941895532254</v>
      </c>
      <c r="K255" s="12">
        <f t="shared" si="347"/>
        <v>0.631539351621995</v>
      </c>
      <c r="L255" s="12">
        <f t="shared" si="347"/>
        <v>0.696509281270686</v>
      </c>
      <c r="M255" s="2">
        <f>E255*模块规划!$F$10+G255*模块规划!$F$11+H255*模块规划!$F$13</f>
        <v>5274.22146866441</v>
      </c>
      <c r="N255" s="2">
        <f>I255*模块规划!$F$15+J255*模块规划!$F$17+K255*模块规划!$F$16+L255*模块规划!$F$18</f>
        <v>18360.8425112286</v>
      </c>
      <c r="O255" s="2">
        <f t="shared" si="272"/>
        <v>3.39480022306805</v>
      </c>
      <c r="P255" s="13">
        <f t="shared" si="273"/>
        <v>36265.7707295608</v>
      </c>
      <c r="Q255" s="7">
        <f>P255/(P255+_曲线基线!$L$2)</f>
        <v>0.601763991243079</v>
      </c>
      <c r="R255" s="2">
        <f>E255*模块规划!$E$10+G255*模块规划!$E$11+H255*模块规划!$E$13</f>
        <v>7911.33220299661</v>
      </c>
      <c r="S255" s="2">
        <f>I255*模块规划!$E$15+J255*模块规划!$E$17+K255*模块规划!$E$16+L255*模块规划!$E$18</f>
        <v>27541.2637668429</v>
      </c>
      <c r="T255" s="2">
        <f t="shared" si="274"/>
        <v>3.39480022306805</v>
      </c>
      <c r="U255" s="13">
        <f t="shared" si="275"/>
        <v>54398.6560943412</v>
      </c>
      <c r="V255" s="2">
        <f t="shared" si="276"/>
        <v>0.908973828242257</v>
      </c>
      <c r="W255" s="2">
        <f t="shared" si="277"/>
        <v>0.278631770989676</v>
      </c>
      <c r="X255" s="2">
        <f t="shared" si="278"/>
        <v>0.466559342555402</v>
      </c>
      <c r="Y255" s="2">
        <f t="shared" si="279"/>
        <v>1</v>
      </c>
      <c r="Z255" s="2">
        <f t="shared" si="280"/>
        <v>1</v>
      </c>
      <c r="AA255" s="2">
        <f t="shared" si="281"/>
        <v>1</v>
      </c>
      <c r="AB255" s="2">
        <f t="shared" si="282"/>
        <v>1</v>
      </c>
      <c r="AC255" s="2">
        <f t="shared" si="283"/>
        <v>1</v>
      </c>
      <c r="AD255" s="1">
        <f t="shared" si="284"/>
        <v>1.88782214413235</v>
      </c>
      <c r="AE255" s="2">
        <f t="shared" si="285"/>
        <v>1</v>
      </c>
      <c r="AF255" s="2">
        <f t="shared" si="286"/>
        <v>1.21136293466754</v>
      </c>
      <c r="AG255" s="2">
        <f t="shared" si="287"/>
        <v>1.37458208977193</v>
      </c>
      <c r="AH255" s="2">
        <f>MIN(1,_曲线基线!$L$3+AH$9*($H$10*H255+$I$10*I255+$J$10*J255+$K$10*K255+$L$10*L255))</f>
        <v>0.530850676368663</v>
      </c>
      <c r="AI255" s="2">
        <f>_曲线基线!$L$4+AI$9*($H$10*H255+$I$10*I255+$J$10*J255+$K$10*K255+$L$10*L255)</f>
        <v>3.33951259845556</v>
      </c>
      <c r="AJ255" s="2">
        <f t="shared" si="288"/>
        <v>2.09908726027123</v>
      </c>
      <c r="AK255" s="1">
        <f t="shared" si="289"/>
        <v>4.70601057478824</v>
      </c>
      <c r="AL255" s="1">
        <f t="shared" si="290"/>
        <v>2416418.48778585</v>
      </c>
      <c r="AM255" s="14">
        <f t="shared" si="291"/>
        <v>48.7234843841805</v>
      </c>
      <c r="AN255" s="14">
        <f>(((E255*模块规划!$D$10+G255*模块规划!$D$11+H255*模块规划!$D$13)*(1+模块规划!$G$14*H255)+(I255*模块规划!$D$15+J255*模块规划!$D$17+K255*模块规划!$D$16+L255*模块规划!$D$18))*(1+模块规划!$J$17*J255))*F255/(1-Q255)</f>
        <v>2900813.21363885</v>
      </c>
      <c r="AO255" s="1">
        <f t="shared" si="292"/>
        <v>117736328.455279</v>
      </c>
      <c r="AP255" s="1">
        <f>IF(AO255="","",_xlfn.XLOOKUP(AO255,_曲线基线!$E$3:$E$502,_曲线基线!$A$3:$A$502,500,1))</f>
        <v>300</v>
      </c>
      <c r="AQ255" s="15">
        <f t="shared" si="295"/>
        <v>5</v>
      </c>
    </row>
    <row r="256" customHeight="1" spans="1:43">
      <c r="A256" s="1" t="str">
        <f>IFERROR(_xlfn.XLOOKUP(B256,_曲线基线!$G$3:$G$107,_曲线基线!$J$3:$J$107,""),"")</f>
        <v/>
      </c>
      <c r="B256" s="1">
        <v>245</v>
      </c>
      <c r="C256" s="1">
        <f t="shared" si="333"/>
        <v>17</v>
      </c>
      <c r="D256" s="1">
        <f t="shared" si="334"/>
        <v>11</v>
      </c>
      <c r="E256" s="1">
        <f t="shared" si="270"/>
        <v>1</v>
      </c>
      <c r="F256" s="11">
        <f t="shared" si="293"/>
        <v>5</v>
      </c>
      <c r="G256" s="12">
        <f t="shared" ref="G256:L256" si="348">IF($B256&lt;G$8,0,G$3+(G$4-G$3)*(POWER(G$5,$B256-G$8)-1)/(POWER(G$5,$C$5-G$8)-1))</f>
        <v>0.890811054336671</v>
      </c>
      <c r="H256" s="12">
        <f t="shared" si="348"/>
        <v>0.696714381164217</v>
      </c>
      <c r="I256" s="12">
        <f t="shared" si="348"/>
        <v>0.641552118721096</v>
      </c>
      <c r="J256" s="12">
        <f t="shared" si="348"/>
        <v>0.596102002113333</v>
      </c>
      <c r="K256" s="12">
        <f t="shared" si="348"/>
        <v>0.632267689524529</v>
      </c>
      <c r="L256" s="12">
        <f t="shared" si="348"/>
        <v>0.696647002476658</v>
      </c>
      <c r="M256" s="2">
        <f>E256*模块规划!$F$10+G256*模块规划!$F$11+H256*模块规划!$F$13</f>
        <v>5275.89306081602</v>
      </c>
      <c r="N256" s="2">
        <f>I256*模块规划!$F$15+J256*模块规划!$F$17+K256*模块规划!$F$16+L256*模块规划!$F$18</f>
        <v>18370.2781204326</v>
      </c>
      <c r="O256" s="2">
        <f t="shared" si="272"/>
        <v>3.39584149811782</v>
      </c>
      <c r="P256" s="13">
        <f t="shared" si="273"/>
        <v>36286.3747159834</v>
      </c>
      <c r="Q256" s="7">
        <f>P256/(P256+_曲线基线!$L$2)</f>
        <v>0.601900095783385</v>
      </c>
      <c r="R256" s="2">
        <f>E256*模块规划!$E$10+G256*模块规划!$E$11+H256*模块规划!$E$13</f>
        <v>7913.83959122403</v>
      </c>
      <c r="S256" s="2">
        <f>I256*模块规划!$E$15+J256*模块规划!$E$17+K256*模块规划!$E$16+L256*模块规划!$E$18</f>
        <v>27555.4171806488</v>
      </c>
      <c r="T256" s="2">
        <f t="shared" si="274"/>
        <v>3.39584149811782</v>
      </c>
      <c r="U256" s="13">
        <f t="shared" si="275"/>
        <v>54429.5620739752</v>
      </c>
      <c r="V256" s="2">
        <f t="shared" si="276"/>
        <v>0.909014314349265</v>
      </c>
      <c r="W256" s="2">
        <f t="shared" si="277"/>
        <v>0.278685752465687</v>
      </c>
      <c r="X256" s="2">
        <f t="shared" si="278"/>
        <v>0.46659645482016</v>
      </c>
      <c r="Y256" s="2">
        <f t="shared" si="279"/>
        <v>1</v>
      </c>
      <c r="Z256" s="2">
        <f t="shared" si="280"/>
        <v>1</v>
      </c>
      <c r="AA256" s="2">
        <f t="shared" si="281"/>
        <v>1</v>
      </c>
      <c r="AB256" s="2">
        <f t="shared" si="282"/>
        <v>1</v>
      </c>
      <c r="AC256" s="2">
        <f t="shared" si="283"/>
        <v>1</v>
      </c>
      <c r="AD256" s="1">
        <f t="shared" si="284"/>
        <v>1.88808064196268</v>
      </c>
      <c r="AE256" s="2">
        <f t="shared" si="285"/>
        <v>1</v>
      </c>
      <c r="AF256" s="2">
        <f t="shared" si="286"/>
        <v>1.21145483667599</v>
      </c>
      <c r="AG256" s="2">
        <f t="shared" si="287"/>
        <v>1.37474496055356</v>
      </c>
      <c r="AH256" s="2">
        <f>MIN(1,_曲线基线!$L$3+AH$9*($H$10*H256+$I$10*I256+$J$10*J256+$K$10*K256+$L$10*L256))</f>
        <v>0.531059753437868</v>
      </c>
      <c r="AI256" s="2">
        <f>_曲线基线!$L$4+AI$9*($H$10*H256+$I$10*I256+$J$10*J256+$K$10*K256+$L$10*L256)</f>
        <v>3.34009502743406</v>
      </c>
      <c r="AJ256" s="2">
        <f t="shared" si="288"/>
        <v>2.09956515071513</v>
      </c>
      <c r="AK256" s="1">
        <f t="shared" si="289"/>
        <v>4.70875835574763</v>
      </c>
      <c r="AL256" s="1">
        <f t="shared" si="290"/>
        <v>2419534.32615778</v>
      </c>
      <c r="AM256" s="14">
        <f t="shared" si="291"/>
        <v>48.8741438679442</v>
      </c>
      <c r="AN256" s="14">
        <f>(((E256*模块规划!$D$10+G256*模块规划!$D$11+H256*模块规划!$D$13)*(1+模块规划!$G$14*H256)+(I256*模块规划!$D$15+J256*模块规划!$D$17+K256*模块规划!$D$16+L256*模块规划!$D$18))*(1+模块规划!$J$17*J256))*F256/(1-Q256)</f>
        <v>2903508.39014534</v>
      </c>
      <c r="AO256" s="1">
        <f t="shared" si="292"/>
        <v>118252668.750065</v>
      </c>
      <c r="AP256" s="1">
        <f>IF(AO256="","",_xlfn.XLOOKUP(AO256,_曲线基线!$E$3:$E$502,_曲线基线!$A$3:$A$502,500,1))</f>
        <v>301</v>
      </c>
      <c r="AQ256" s="15">
        <f t="shared" si="295"/>
        <v>5</v>
      </c>
    </row>
    <row r="257" customHeight="1" spans="1:43">
      <c r="A257" s="1" t="str">
        <f>IFERROR(_xlfn.XLOOKUP(B257,_曲线基线!$G$3:$G$107,_曲线基线!$J$3:$J$107,""),"")</f>
        <v/>
      </c>
      <c r="B257" s="1">
        <v>246</v>
      </c>
      <c r="C257" s="1">
        <f t="shared" si="333"/>
        <v>17</v>
      </c>
      <c r="D257" s="1">
        <f t="shared" si="334"/>
        <v>12</v>
      </c>
      <c r="E257" s="1">
        <f t="shared" si="270"/>
        <v>1</v>
      </c>
      <c r="F257" s="11">
        <f t="shared" si="293"/>
        <v>5</v>
      </c>
      <c r="G257" s="12">
        <f t="shared" ref="G257:L257" si="349">IF($B257&lt;G$8,0,G$3+(G$4-G$3)*(POWER(G$5,$B257-G$8)-1)/(POWER(G$5,$C$5-G$8)-1))</f>
        <v>0.891154078976117</v>
      </c>
      <c r="H257" s="12">
        <f t="shared" si="349"/>
        <v>0.696846635780444</v>
      </c>
      <c r="I257" s="12">
        <f t="shared" si="349"/>
        <v>0.641892167689742</v>
      </c>
      <c r="J257" s="12">
        <f t="shared" si="349"/>
        <v>0.59625890656279</v>
      </c>
      <c r="K257" s="12">
        <f t="shared" si="349"/>
        <v>0.632981460669012</v>
      </c>
      <c r="L257" s="12">
        <f t="shared" si="349"/>
        <v>0.696781969258511</v>
      </c>
      <c r="M257" s="2">
        <f>E257*模块规划!$F$10+G257*模块规划!$F$11+H257*模块规划!$F$13</f>
        <v>5277.53957908536</v>
      </c>
      <c r="N257" s="2">
        <f>I257*模块规划!$F$15+J257*模块规划!$F$17+K257*模块规划!$F$16+L257*模块规划!$F$18</f>
        <v>18379.5250174525</v>
      </c>
      <c r="O257" s="2">
        <f t="shared" si="272"/>
        <v>3.3968619476666</v>
      </c>
      <c r="P257" s="13">
        <f t="shared" si="273"/>
        <v>36306.5983909519</v>
      </c>
      <c r="Q257" s="7">
        <f>P257/(P257+_曲线基线!$L$2)</f>
        <v>0.60203359764359</v>
      </c>
      <c r="R257" s="2">
        <f>E257*模块规划!$E$10+G257*模块规划!$E$11+H257*模块规划!$E$13</f>
        <v>7916.30936862804</v>
      </c>
      <c r="S257" s="2">
        <f>I257*模块规划!$E$15+J257*模块规划!$E$17+K257*模块规划!$E$16+L257*模块规划!$E$18</f>
        <v>27569.2875261787</v>
      </c>
      <c r="T257" s="2">
        <f t="shared" si="274"/>
        <v>3.3968619476666</v>
      </c>
      <c r="U257" s="13">
        <f t="shared" si="275"/>
        <v>54459.8975864279</v>
      </c>
      <c r="V257" s="2">
        <f t="shared" si="276"/>
        <v>0.909053990734133</v>
      </c>
      <c r="W257" s="2">
        <f t="shared" si="277"/>
        <v>0.278738654312177</v>
      </c>
      <c r="X257" s="2">
        <f t="shared" si="278"/>
        <v>0.466632824839622</v>
      </c>
      <c r="Y257" s="2">
        <f t="shared" si="279"/>
        <v>1</v>
      </c>
      <c r="Z257" s="2">
        <f t="shared" si="280"/>
        <v>1</v>
      </c>
      <c r="AA257" s="2">
        <f t="shared" si="281"/>
        <v>1</v>
      </c>
      <c r="AB257" s="2">
        <f t="shared" si="282"/>
        <v>1</v>
      </c>
      <c r="AC257" s="2">
        <f t="shared" si="283"/>
        <v>1</v>
      </c>
      <c r="AD257" s="1">
        <f t="shared" si="284"/>
        <v>1.88833399119149</v>
      </c>
      <c r="AE257" s="2">
        <f t="shared" si="285"/>
        <v>1</v>
      </c>
      <c r="AF257" s="2">
        <f t="shared" si="286"/>
        <v>1.21154490064426</v>
      </c>
      <c r="AG257" s="2">
        <f t="shared" si="287"/>
        <v>1.37490457391955</v>
      </c>
      <c r="AH257" s="2">
        <f>MIN(1,_曲线基线!$L$3+AH$9*($H$10*H257+$I$10*I257+$J$10*J257+$K$10*K257+$L$10*L257))</f>
        <v>0.531264648965689</v>
      </c>
      <c r="AI257" s="2">
        <f>_曲线基线!$L$4+AI$9*($H$10*H257+$I$10*I257+$J$10*J257+$K$10*K257+$L$10*L257)</f>
        <v>3.34066580783299</v>
      </c>
      <c r="AJ257" s="2">
        <f t="shared" si="288"/>
        <v>2.10003348335015</v>
      </c>
      <c r="AK257" s="1">
        <f t="shared" si="289"/>
        <v>4.7114524176945</v>
      </c>
      <c r="AL257" s="1">
        <f t="shared" si="290"/>
        <v>2422592.92647547</v>
      </c>
      <c r="AM257" s="14">
        <f t="shared" si="291"/>
        <v>49.0263099465455</v>
      </c>
      <c r="AN257" s="14">
        <f>(((E257*模块规划!$D$10+G257*模块规划!$D$11+H257*模块规划!$D$13)*(1+模块规划!$G$14*H257)+(I257*模块规划!$D$15+J257*模块规划!$D$17+K257*模块规划!$D$16+L257*模块规划!$D$18))*(1+模块规划!$J$17*J257))*F257/(1-Q257)</f>
        <v>2906154.13142132</v>
      </c>
      <c r="AO257" s="1">
        <f t="shared" si="292"/>
        <v>118770791.687695</v>
      </c>
      <c r="AP257" s="1">
        <f>IF(AO257="","",_xlfn.XLOOKUP(AO257,_曲线基线!$E$3:$E$502,_曲线基线!$A$3:$A$502,500,1))</f>
        <v>301</v>
      </c>
      <c r="AQ257" s="15">
        <f t="shared" si="295"/>
        <v>5</v>
      </c>
    </row>
    <row r="258" customHeight="1" spans="1:43">
      <c r="A258" s="1" t="str">
        <f>IFERROR(_xlfn.XLOOKUP(B258,_曲线基线!$G$3:$G$107,_曲线基线!$J$3:$J$107,""),"")</f>
        <v/>
      </c>
      <c r="B258" s="1">
        <v>247</v>
      </c>
      <c r="C258" s="1">
        <f t="shared" si="333"/>
        <v>17</v>
      </c>
      <c r="D258" s="1">
        <f t="shared" si="334"/>
        <v>13</v>
      </c>
      <c r="E258" s="1">
        <f t="shared" si="270"/>
        <v>1</v>
      </c>
      <c r="F258" s="11">
        <f t="shared" si="293"/>
        <v>5</v>
      </c>
      <c r="G258" s="12">
        <f t="shared" ref="G258:L258" si="350">IF($B258&lt;G$8,0,G$3+(G$4-G$3)*(POWER(G$5,$B258-G$8)-1)/(POWER(G$5,$C$5-G$8)-1))</f>
        <v>0.891491958245971</v>
      </c>
      <c r="H258" s="12">
        <f t="shared" si="350"/>
        <v>0.696976245304346</v>
      </c>
      <c r="I258" s="12">
        <f t="shared" si="350"/>
        <v>0.642225415679016</v>
      </c>
      <c r="J258" s="12">
        <f t="shared" si="350"/>
        <v>0.596412672923258</v>
      </c>
      <c r="K258" s="12">
        <f t="shared" si="350"/>
        <v>0.633680956390605</v>
      </c>
      <c r="L258" s="12">
        <f t="shared" si="350"/>
        <v>0.696914236704726</v>
      </c>
      <c r="M258" s="2">
        <f>E258*模块规划!$F$10+G258*模块规划!$F$11+H258*模块规划!$F$13</f>
        <v>5279.16139958066</v>
      </c>
      <c r="N258" s="2">
        <f>I258*模块规划!$F$15+J258*模块规划!$F$17+K258*模块规划!$F$16+L258*模块规划!$F$18</f>
        <v>18388.586976532</v>
      </c>
      <c r="O258" s="2">
        <f t="shared" si="272"/>
        <v>3.39786198822441</v>
      </c>
      <c r="P258" s="13">
        <f t="shared" si="273"/>
        <v>36326.4488258687</v>
      </c>
      <c r="Q258" s="7">
        <f>P258/(P258+_曲线基线!$L$2)</f>
        <v>0.602164548599974</v>
      </c>
      <c r="R258" s="2">
        <f>E258*模块规划!$E$10+G258*模块规划!$E$11+H258*模块规划!$E$13</f>
        <v>7918.74209937099</v>
      </c>
      <c r="S258" s="2">
        <f>I258*模块规划!$E$15+J258*模块规划!$E$17+K258*模块规划!$E$16+L258*模块规划!$E$18</f>
        <v>27582.880464798</v>
      </c>
      <c r="T258" s="2">
        <f t="shared" si="274"/>
        <v>3.39786198822441</v>
      </c>
      <c r="U258" s="13">
        <f t="shared" si="275"/>
        <v>54489.673238803</v>
      </c>
      <c r="V258" s="2">
        <f t="shared" si="276"/>
        <v>0.909092873591304</v>
      </c>
      <c r="W258" s="2">
        <f t="shared" si="277"/>
        <v>0.278790498121739</v>
      </c>
      <c r="X258" s="2">
        <f t="shared" si="278"/>
        <v>0.466668467458695</v>
      </c>
      <c r="Y258" s="2">
        <f t="shared" si="279"/>
        <v>1</v>
      </c>
      <c r="Z258" s="2">
        <f t="shared" si="280"/>
        <v>1</v>
      </c>
      <c r="AA258" s="2">
        <f t="shared" si="281"/>
        <v>1</v>
      </c>
      <c r="AB258" s="2">
        <f t="shared" si="282"/>
        <v>1</v>
      </c>
      <c r="AC258" s="2">
        <f t="shared" si="283"/>
        <v>1</v>
      </c>
      <c r="AD258" s="1">
        <f t="shared" si="284"/>
        <v>1.88858229394516</v>
      </c>
      <c r="AE258" s="2">
        <f t="shared" si="285"/>
        <v>1</v>
      </c>
      <c r="AF258" s="2">
        <f t="shared" si="286"/>
        <v>1.21163316333317</v>
      </c>
      <c r="AG258" s="2">
        <f t="shared" si="287"/>
        <v>1.37506099501823</v>
      </c>
      <c r="AH258" s="2">
        <f>MIN(1,_曲线基线!$L$3+AH$9*($H$10*H258+$I$10*I258+$J$10*J258+$K$10*K258+$L$10*L258))</f>
        <v>0.531465446582953</v>
      </c>
      <c r="AI258" s="2">
        <f>_曲线基线!$L$4+AI$9*($H$10*H258+$I$10*I258+$J$10*J258+$K$10*K258+$L$10*L258)</f>
        <v>3.34122517262394</v>
      </c>
      <c r="AJ258" s="2">
        <f t="shared" si="288"/>
        <v>2.10049244933246</v>
      </c>
      <c r="AK258" s="1">
        <f t="shared" si="289"/>
        <v>4.71409378635835</v>
      </c>
      <c r="AL258" s="1">
        <f t="shared" si="290"/>
        <v>2425595.2871064</v>
      </c>
      <c r="AM258" s="14">
        <f t="shared" si="291"/>
        <v>49.1799976859328</v>
      </c>
      <c r="AN258" s="14">
        <f>(((E258*模块规划!$D$10+G258*模块规划!$D$11+H258*模块规划!$D$13)*(1+模块规划!$G$14*H258)+(I258*模块规划!$D$15+J258*模块规划!$D$17+K258*模块规划!$D$16+L258*模块规划!$D$18))*(1+模块规划!$J$17*J258))*F258/(1-Q258)</f>
        <v>2908751.32523996</v>
      </c>
      <c r="AO258" s="1">
        <f t="shared" si="292"/>
        <v>119290770.606902</v>
      </c>
      <c r="AP258" s="1">
        <f>IF(AO258="","",_xlfn.XLOOKUP(AO258,_曲线基线!$E$3:$E$502,_曲线基线!$A$3:$A$502,500,1))</f>
        <v>302</v>
      </c>
      <c r="AQ258" s="15">
        <f t="shared" si="295"/>
        <v>5</v>
      </c>
    </row>
    <row r="259" customHeight="1" spans="1:43">
      <c r="A259" s="1" t="str">
        <f>IFERROR(_xlfn.XLOOKUP(B259,_曲线基线!$G$3:$G$107,_曲线基线!$J$3:$J$107,""),"")</f>
        <v/>
      </c>
      <c r="B259" s="1">
        <v>248</v>
      </c>
      <c r="C259" s="1">
        <f t="shared" si="333"/>
        <v>17</v>
      </c>
      <c r="D259" s="1">
        <f t="shared" si="334"/>
        <v>14</v>
      </c>
      <c r="E259" s="1">
        <f t="shared" si="270"/>
        <v>1</v>
      </c>
      <c r="F259" s="11">
        <f t="shared" si="293"/>
        <v>5</v>
      </c>
      <c r="G259" s="12">
        <f t="shared" ref="G259:L259" si="351">IF($B259&lt;G$8,0,G$3+(G$4-G$3)*(POWER(G$5,$B259-G$8)-1)/(POWER(G$5,$C$5-G$8)-1))</f>
        <v>0.891824769326777</v>
      </c>
      <c r="H259" s="12">
        <f t="shared" si="351"/>
        <v>0.697103262637771</v>
      </c>
      <c r="I259" s="12">
        <f t="shared" si="351"/>
        <v>0.642551998708504</v>
      </c>
      <c r="J259" s="12">
        <f t="shared" si="351"/>
        <v>0.596563363956517</v>
      </c>
      <c r="K259" s="12">
        <f t="shared" si="351"/>
        <v>0.634366462197766</v>
      </c>
      <c r="L259" s="12">
        <f t="shared" si="351"/>
        <v>0.697043858802017</v>
      </c>
      <c r="M259" s="2">
        <f>E259*模块规划!$F$10+G259*模块规划!$F$11+H259*模块规划!$F$13</f>
        <v>5280.75889276853</v>
      </c>
      <c r="N259" s="2">
        <f>I259*模块规划!$F$15+J259*模块规划!$F$17+K259*模块规划!$F$16+L259*模块规划!$F$18</f>
        <v>18397.4676964299</v>
      </c>
      <c r="O259" s="2">
        <f t="shared" si="272"/>
        <v>3.39884202797105</v>
      </c>
      <c r="P259" s="13">
        <f t="shared" si="273"/>
        <v>36345.9329607534</v>
      </c>
      <c r="Q259" s="7">
        <f>P259/(P259+_曲线基线!$L$2)</f>
        <v>0.602292999337526</v>
      </c>
      <c r="R259" s="2">
        <f>E259*模块规划!$E$10+G259*模块规划!$E$11+H259*模块规划!$E$13</f>
        <v>7921.1383391528</v>
      </c>
      <c r="S259" s="2">
        <f>I259*模块规划!$E$15+J259*模块规划!$E$17+K259*模块规划!$E$16+L259*模块规划!$E$18</f>
        <v>27596.2015446448</v>
      </c>
      <c r="T259" s="2">
        <f t="shared" si="274"/>
        <v>3.39884202797105</v>
      </c>
      <c r="U259" s="13">
        <f t="shared" si="275"/>
        <v>54518.8994411302</v>
      </c>
      <c r="V259" s="2">
        <f t="shared" si="276"/>
        <v>0.909130978791331</v>
      </c>
      <c r="W259" s="2">
        <f t="shared" si="277"/>
        <v>0.278841305055108</v>
      </c>
      <c r="X259" s="2">
        <f t="shared" si="278"/>
        <v>0.466703397225387</v>
      </c>
      <c r="Y259" s="2">
        <f t="shared" si="279"/>
        <v>1</v>
      </c>
      <c r="Z259" s="2">
        <f t="shared" si="280"/>
        <v>1</v>
      </c>
      <c r="AA259" s="2">
        <f t="shared" si="281"/>
        <v>1</v>
      </c>
      <c r="AB259" s="2">
        <f t="shared" si="282"/>
        <v>1</v>
      </c>
      <c r="AC259" s="2">
        <f t="shared" si="283"/>
        <v>1</v>
      </c>
      <c r="AD259" s="1">
        <f t="shared" si="284"/>
        <v>1.88882565034101</v>
      </c>
      <c r="AE259" s="2">
        <f t="shared" si="285"/>
        <v>1</v>
      </c>
      <c r="AF259" s="2">
        <f t="shared" si="286"/>
        <v>1.2117196607683</v>
      </c>
      <c r="AG259" s="2">
        <f t="shared" si="287"/>
        <v>1.37521428769493</v>
      </c>
      <c r="AH259" s="2">
        <f>MIN(1,_曲线基线!$L$3+AH$9*($H$10*H259+$I$10*I259+$J$10*J259+$K$10*K259+$L$10*L259))</f>
        <v>0.531662228247872</v>
      </c>
      <c r="AI259" s="2">
        <f>_曲线基线!$L$4+AI$9*($H$10*H259+$I$10*I259+$J$10*J259+$K$10*K259+$L$10*L259)</f>
        <v>3.34177335011907</v>
      </c>
      <c r="AJ259" s="2">
        <f t="shared" si="288"/>
        <v>2.10094223599514</v>
      </c>
      <c r="AK259" s="1">
        <f t="shared" si="289"/>
        <v>4.71668346886191</v>
      </c>
      <c r="AL259" s="1">
        <f t="shared" si="290"/>
        <v>2428542.39126053</v>
      </c>
      <c r="AM259" s="14">
        <f t="shared" si="291"/>
        <v>49.335222302714</v>
      </c>
      <c r="AN259" s="14">
        <f>(((E259*模块规划!$D$10+G259*模块规划!$D$11+H259*模块规划!$D$13)*(1+模块规划!$G$14*H259)+(I259*模块规划!$D$15+J259*模块规划!$D$17+K259*模块规划!$D$16+L259*模块规划!$D$18))*(1+模块规划!$J$17*J259))*F259/(1-Q259)</f>
        <v>2911300.84439226</v>
      </c>
      <c r="AO259" s="1">
        <f t="shared" si="292"/>
        <v>119812678.744403</v>
      </c>
      <c r="AP259" s="1">
        <f>IF(AO259="","",_xlfn.XLOOKUP(AO259,_曲线基线!$E$3:$E$502,_曲线基线!$A$3:$A$502,500,1))</f>
        <v>302</v>
      </c>
      <c r="AQ259" s="15">
        <f t="shared" si="295"/>
        <v>5</v>
      </c>
    </row>
    <row r="260" customHeight="1" spans="1:43">
      <c r="A260" s="1" t="str">
        <f>IFERROR(_xlfn.XLOOKUP(B260,_曲线基线!$G$3:$G$107,_曲线基线!$J$3:$J$107,""),"")</f>
        <v/>
      </c>
      <c r="B260" s="1">
        <v>249</v>
      </c>
      <c r="C260" s="1">
        <f t="shared" si="333"/>
        <v>17</v>
      </c>
      <c r="D260" s="1">
        <f t="shared" si="334"/>
        <v>15</v>
      </c>
      <c r="E260" s="1">
        <f t="shared" si="270"/>
        <v>1</v>
      </c>
      <c r="F260" s="11">
        <f t="shared" si="293"/>
        <v>5</v>
      </c>
      <c r="G260" s="12">
        <f t="shared" ref="G260:L260" si="352">IF($B260&lt;G$8,0,G$3+(G$4-G$3)*(POWER(G$5,$B260-G$8)-1)/(POWER(G$5,$C$5-G$8)-1))</f>
        <v>0.892152588241371</v>
      </c>
      <c r="H260" s="12">
        <f t="shared" si="352"/>
        <v>0.697227739624527</v>
      </c>
      <c r="I260" s="12">
        <f t="shared" si="352"/>
        <v>0.642872050077402</v>
      </c>
      <c r="J260" s="12">
        <f t="shared" si="352"/>
        <v>0.59671104116911</v>
      </c>
      <c r="K260" s="12">
        <f t="shared" si="352"/>
        <v>0.635038257888785</v>
      </c>
      <c r="L260" s="12">
        <f t="shared" si="352"/>
        <v>0.697170888457363</v>
      </c>
      <c r="M260" s="2">
        <f>E260*模块规划!$F$10+G260*模块规划!$F$11+H260*模块规划!$F$13</f>
        <v>5282.33242355858</v>
      </c>
      <c r="N260" s="2">
        <f>I260*模块规划!$F$15+J260*模块规划!$F$17+K260*模块规划!$F$16+L260*模块规划!$F$18</f>
        <v>18406.1708019298</v>
      </c>
      <c r="O260" s="2">
        <f t="shared" si="272"/>
        <v>3.39980246692277</v>
      </c>
      <c r="P260" s="13">
        <f t="shared" si="273"/>
        <v>36365.0576066504</v>
      </c>
      <c r="Q260" s="7">
        <f>P260/(P260+_曲线基线!$L$2)</f>
        <v>0.602418999475022</v>
      </c>
      <c r="R260" s="2">
        <f>E260*模块规划!$E$10+G260*模块规划!$E$11+H260*模块规划!$E$13</f>
        <v>7923.49863533787</v>
      </c>
      <c r="S260" s="2">
        <f>I260*模块规划!$E$15+J260*模块规划!$E$17+K260*模块规划!$E$16+L260*模块规划!$E$18</f>
        <v>27609.2562028948</v>
      </c>
      <c r="T260" s="2">
        <f t="shared" si="274"/>
        <v>3.39980246692277</v>
      </c>
      <c r="U260" s="13">
        <f t="shared" si="275"/>
        <v>54547.5864099757</v>
      </c>
      <c r="V260" s="2">
        <f t="shared" si="276"/>
        <v>0.909168321887358</v>
      </c>
      <c r="W260" s="2">
        <f t="shared" si="277"/>
        <v>0.278891095849811</v>
      </c>
      <c r="X260" s="2">
        <f t="shared" si="278"/>
        <v>0.466737628396745</v>
      </c>
      <c r="Y260" s="2">
        <f t="shared" si="279"/>
        <v>1</v>
      </c>
      <c r="Z260" s="2">
        <f t="shared" si="280"/>
        <v>1</v>
      </c>
      <c r="AA260" s="2">
        <f t="shared" si="281"/>
        <v>1</v>
      </c>
      <c r="AB260" s="2">
        <f t="shared" si="282"/>
        <v>1</v>
      </c>
      <c r="AC260" s="2">
        <f t="shared" si="283"/>
        <v>1</v>
      </c>
      <c r="AD260" s="1">
        <f t="shared" si="284"/>
        <v>1.88906415852619</v>
      </c>
      <c r="AE260" s="2">
        <f t="shared" si="285"/>
        <v>1</v>
      </c>
      <c r="AF260" s="2">
        <f t="shared" si="286"/>
        <v>1.21180442825472</v>
      </c>
      <c r="AG260" s="2">
        <f t="shared" si="287"/>
        <v>1.37536451451809</v>
      </c>
      <c r="AH260" s="2">
        <f>MIN(1,_曲线基线!$L$3+AH$9*($H$10*H260+$I$10*I260+$J$10*J260+$K$10*K260+$L$10*L260))</f>
        <v>0.531855074279493</v>
      </c>
      <c r="AI260" s="2">
        <f>_曲线基线!$L$4+AI$9*($H$10*H260+$I$10*I260+$J$10*J260+$K$10*K260+$L$10*L260)</f>
        <v>3.3423105640643</v>
      </c>
      <c r="AJ260" s="2">
        <f t="shared" si="288"/>
        <v>2.10138302692456</v>
      </c>
      <c r="AK260" s="1">
        <f t="shared" si="289"/>
        <v>4.71922245401883</v>
      </c>
      <c r="AL260" s="1">
        <f t="shared" si="290"/>
        <v>2431435.2071258</v>
      </c>
      <c r="AM260" s="14">
        <f t="shared" si="291"/>
        <v>49.491999165663</v>
      </c>
      <c r="AN260" s="14">
        <f>(((E260*模块规划!$D$10+G260*模块规划!$D$11+H260*模块规划!$D$13)*(1+模块规划!$G$14*H260)+(I260*模块规划!$D$15+J260*模块规划!$D$17+K260*模块规划!$D$16+L260*模块规划!$D$18))*(1+模块规划!$J$17*J260))*F260/(1-Q260)</f>
        <v>2913803.54689852</v>
      </c>
      <c r="AO260" s="1">
        <f t="shared" si="292"/>
        <v>120336589.242434</v>
      </c>
      <c r="AP260" s="1">
        <f>IF(AO260="","",_xlfn.XLOOKUP(AO260,_曲线基线!$E$3:$E$502,_曲线基线!$A$3:$A$502,500,1))</f>
        <v>302</v>
      </c>
      <c r="AQ260" s="15">
        <f t="shared" si="295"/>
        <v>5</v>
      </c>
    </row>
    <row r="261" customHeight="1" spans="1:43">
      <c r="A261" s="1" t="str">
        <f>IFERROR(_xlfn.XLOOKUP(B261,_曲线基线!$G$3:$G$107,_曲线基线!$J$3:$J$107,""),"")</f>
        <v/>
      </c>
      <c r="B261" s="1">
        <v>250</v>
      </c>
      <c r="C261" s="1">
        <f t="shared" si="333"/>
        <v>18</v>
      </c>
      <c r="D261" s="1">
        <f t="shared" si="334"/>
        <v>1</v>
      </c>
      <c r="E261" s="1">
        <f t="shared" si="270"/>
        <v>1</v>
      </c>
      <c r="F261" s="11">
        <f t="shared" si="293"/>
        <v>5</v>
      </c>
      <c r="G261" s="12">
        <f t="shared" ref="G261:L261" si="353">IF($B261&lt;G$8,0,G$3+(G$4-G$3)*(POWER(G$5,$B261-G$8)-1)/(POWER(G$5,$C$5-G$8)-1))</f>
        <v>0.892475489872247</v>
      </c>
      <c r="H261" s="12">
        <f t="shared" si="353"/>
        <v>0.697349727071547</v>
      </c>
      <c r="I261" s="12">
        <f t="shared" si="353"/>
        <v>0.643185700418922</v>
      </c>
      <c r="J261" s="12">
        <f t="shared" si="353"/>
        <v>0.596855764837452</v>
      </c>
      <c r="K261" s="12">
        <f t="shared" si="353"/>
        <v>0.635696617665983</v>
      </c>
      <c r="L261" s="12">
        <f t="shared" si="353"/>
        <v>0.697295377519601</v>
      </c>
      <c r="M261" s="2">
        <f>E261*模块规划!$F$10+G261*模块规划!$F$11+H261*模块规划!$F$13</f>
        <v>5283.88235138678</v>
      </c>
      <c r="N261" s="2">
        <f>I261*模块规划!$F$15+J261*模块规划!$F$17+K261*模块规划!$F$16+L261*模块规划!$F$18</f>
        <v>18414.6998453198</v>
      </c>
      <c r="O261" s="2">
        <f t="shared" si="272"/>
        <v>3.40074369709545</v>
      </c>
      <c r="P261" s="13">
        <f t="shared" si="273"/>
        <v>36383.8294479923</v>
      </c>
      <c r="Q261" s="7">
        <f>P261/(P261+_曲线基线!$L$2)</f>
        <v>0.602542597589461</v>
      </c>
      <c r="R261" s="2">
        <f>E261*模块规划!$E$10+G261*模块规划!$E$11+H261*模块规划!$E$13</f>
        <v>7925.82352708018</v>
      </c>
      <c r="S261" s="2">
        <f>I261*模块规划!$E$15+J261*模块规划!$E$17+K261*模块规划!$E$16+L261*模块规划!$E$18</f>
        <v>27622.0497679797</v>
      </c>
      <c r="T261" s="2">
        <f t="shared" si="274"/>
        <v>3.40074369709545</v>
      </c>
      <c r="U261" s="13">
        <f t="shared" si="275"/>
        <v>54575.7441719885</v>
      </c>
      <c r="V261" s="2">
        <f t="shared" si="276"/>
        <v>0.909204918121464</v>
      </c>
      <c r="W261" s="2">
        <f t="shared" si="277"/>
        <v>0.278939890828619</v>
      </c>
      <c r="X261" s="2">
        <f t="shared" si="278"/>
        <v>0.466771174944676</v>
      </c>
      <c r="Y261" s="2">
        <f t="shared" si="279"/>
        <v>1</v>
      </c>
      <c r="Z261" s="2">
        <f t="shared" si="280"/>
        <v>1</v>
      </c>
      <c r="AA261" s="2">
        <f t="shared" si="281"/>
        <v>1</v>
      </c>
      <c r="AB261" s="2">
        <f t="shared" si="282"/>
        <v>1</v>
      </c>
      <c r="AC261" s="2">
        <f t="shared" si="283"/>
        <v>1</v>
      </c>
      <c r="AD261" s="1">
        <f t="shared" si="284"/>
        <v>1.88929791471578</v>
      </c>
      <c r="AE261" s="2">
        <f t="shared" si="285"/>
        <v>1</v>
      </c>
      <c r="AF261" s="2">
        <f t="shared" si="286"/>
        <v>1.21188750039142</v>
      </c>
      <c r="AG261" s="2">
        <f t="shared" si="287"/>
        <v>1.3755117368048</v>
      </c>
      <c r="AH261" s="2">
        <f>MIN(1,_曲线基线!$L$3+AH$9*($H$10*H261+$I$10*I261+$J$10*J261+$K$10*K261+$L$10*L261))</f>
        <v>0.532044063390481</v>
      </c>
      <c r="AI261" s="2">
        <f>_曲线基线!$L$4+AI$9*($H$10*H261+$I$10*I261+$J$10*J261+$K$10*K261+$L$10*L261)</f>
        <v>3.34283703373063</v>
      </c>
      <c r="AJ261" s="2">
        <f t="shared" si="288"/>
        <v>2.10181500203539</v>
      </c>
      <c r="AK261" s="1">
        <f t="shared" si="289"/>
        <v>4.72171171262829</v>
      </c>
      <c r="AL261" s="1">
        <f t="shared" si="290"/>
        <v>2434274.68800673</v>
      </c>
      <c r="AM261" s="14">
        <f t="shared" si="291"/>
        <v>49.6503437972415</v>
      </c>
      <c r="AN261" s="14">
        <f>(((E261*模块规划!$D$10+G261*模块规划!$D$11+H261*模块规划!$D$13)*(1+模块规划!$G$14*H261)+(I261*模块规划!$D$15+J261*模块规划!$D$17+K261*模块规划!$D$16+L261*模块规划!$D$18))*(1+模块规划!$J$17*J261))*F261/(1-Q261)</f>
        <v>2916260.27621858</v>
      </c>
      <c r="AO261" s="1">
        <f t="shared" si="292"/>
        <v>120862575.156457</v>
      </c>
      <c r="AP261" s="1">
        <f>IF(AO261="","",_xlfn.XLOOKUP(AO261,_曲线基线!$E$3:$E$502,_曲线基线!$A$3:$A$502,500,1))</f>
        <v>303</v>
      </c>
      <c r="AQ261" s="15">
        <f t="shared" si="295"/>
        <v>5</v>
      </c>
    </row>
    <row r="262" customHeight="1" spans="1:43">
      <c r="A262" s="1" t="str">
        <f>IFERROR(_xlfn.XLOOKUP(B262,_曲线基线!$G$3:$G$107,_曲线基线!$J$3:$J$107,""),"")</f>
        <v/>
      </c>
      <c r="B262" s="1">
        <v>251</v>
      </c>
      <c r="C262" s="1">
        <f t="shared" si="333"/>
        <v>18</v>
      </c>
      <c r="D262" s="1">
        <f t="shared" si="334"/>
        <v>2</v>
      </c>
      <c r="E262" s="1">
        <f t="shared" si="270"/>
        <v>1</v>
      </c>
      <c r="F262" s="11">
        <f t="shared" si="293"/>
        <v>5</v>
      </c>
      <c r="G262" s="12">
        <f t="shared" ref="G262:L262" si="354">IF($B262&lt;G$8,0,G$3+(G$4-G$3)*(POWER(G$5,$B262-G$8)-1)/(POWER(G$5,$C$5-G$8)-1))</f>
        <v>0.892793547978659</v>
      </c>
      <c r="H262" s="12">
        <f t="shared" si="354"/>
        <v>0.697469274769628</v>
      </c>
      <c r="I262" s="12">
        <f t="shared" si="354"/>
        <v>0.643493077753612</v>
      </c>
      <c r="J262" s="12">
        <f t="shared" si="354"/>
        <v>0.596997594032427</v>
      </c>
      <c r="K262" s="12">
        <f t="shared" si="354"/>
        <v>0.636341810247636</v>
      </c>
      <c r="L262" s="12">
        <f t="shared" si="354"/>
        <v>0.697417376800595</v>
      </c>
      <c r="M262" s="2">
        <f>E262*模块规划!$F$10+G262*模块规划!$F$11+H262*模块规划!$F$13</f>
        <v>5285.40903029756</v>
      </c>
      <c r="N262" s="2">
        <f>I262*模块规划!$F$15+J262*模块规划!$F$17+K262*模块规划!$F$16+L262*模块规划!$F$18</f>
        <v>18423.058307842</v>
      </c>
      <c r="O262" s="2">
        <f t="shared" si="272"/>
        <v>3.40166610266468</v>
      </c>
      <c r="P262" s="13">
        <f t="shared" si="273"/>
        <v>36402.255044923</v>
      </c>
      <c r="Q262" s="7">
        <f>P262/(P262+_曲线基线!$L$2)</f>
        <v>0.60266384123986</v>
      </c>
      <c r="R262" s="2">
        <f>E262*模块规划!$E$10+G262*模块规划!$E$11+H262*模块规划!$E$13</f>
        <v>7928.11354544634</v>
      </c>
      <c r="S262" s="2">
        <f>I262*模块规划!$E$15+J262*模块规划!$E$17+K262*模块规划!$E$16+L262*模块规划!$E$18</f>
        <v>27634.5874617629</v>
      </c>
      <c r="T262" s="2">
        <f t="shared" si="274"/>
        <v>3.40166610266468</v>
      </c>
      <c r="U262" s="13">
        <f t="shared" si="275"/>
        <v>54603.3825673844</v>
      </c>
      <c r="V262" s="2">
        <f t="shared" si="276"/>
        <v>0.909240782430888</v>
      </c>
      <c r="W262" s="2">
        <f t="shared" si="277"/>
        <v>0.278987709907851</v>
      </c>
      <c r="X262" s="2">
        <f t="shared" si="278"/>
        <v>0.466804050561648</v>
      </c>
      <c r="Y262" s="2">
        <f t="shared" si="279"/>
        <v>1</v>
      </c>
      <c r="Z262" s="2">
        <f t="shared" si="280"/>
        <v>1</v>
      </c>
      <c r="AA262" s="2">
        <f t="shared" si="281"/>
        <v>1</v>
      </c>
      <c r="AB262" s="2">
        <f t="shared" si="282"/>
        <v>1</v>
      </c>
      <c r="AC262" s="2">
        <f t="shared" si="283"/>
        <v>1</v>
      </c>
      <c r="AD262" s="1">
        <f t="shared" si="284"/>
        <v>1.88952701323025</v>
      </c>
      <c r="AE262" s="2">
        <f t="shared" si="285"/>
        <v>1</v>
      </c>
      <c r="AF262" s="2">
        <f t="shared" si="286"/>
        <v>1.21196891108538</v>
      </c>
      <c r="AG262" s="2">
        <f t="shared" si="287"/>
        <v>1.37565601464577</v>
      </c>
      <c r="AH262" s="2">
        <f>MIN(1,_曲线基线!$L$3+AH$9*($H$10*H262+$I$10*I262+$J$10*J262+$K$10*K262+$L$10*L262))</f>
        <v>0.53222927271925</v>
      </c>
      <c r="AI262" s="2">
        <f>_曲线基线!$L$4+AI$9*($H$10*H262+$I$10*I262+$J$10*J262+$K$10*K262+$L$10*L262)</f>
        <v>3.34335297400362</v>
      </c>
      <c r="AJ262" s="2">
        <f t="shared" si="288"/>
        <v>2.102238337644</v>
      </c>
      <c r="AK262" s="1">
        <f t="shared" si="289"/>
        <v>4.72415219776651</v>
      </c>
      <c r="AL262" s="1">
        <f t="shared" si="290"/>
        <v>2437061.77246603</v>
      </c>
      <c r="AM262" s="14">
        <f t="shared" si="291"/>
        <v>49.8102718751358</v>
      </c>
      <c r="AN262" s="14">
        <f>(((E262*模块规划!$D$10+G262*模块规划!$D$11+H262*模块规划!$D$13)*(1+模块规划!$G$14*H262)+(I262*模块规划!$D$15+J262*模块规划!$D$17+K262*模块规划!$D$16+L262*模块规划!$D$18))*(1+模块规划!$J$17*J262))*F262/(1-Q262)</f>
        <v>2918671.8614608</v>
      </c>
      <c r="AO262" s="1">
        <f t="shared" si="292"/>
        <v>121390709.463033</v>
      </c>
      <c r="AP262" s="1">
        <f>IF(AO262="","",_xlfn.XLOOKUP(AO262,_曲线基线!$E$3:$E$502,_曲线基线!$A$3:$A$502,500,1))</f>
        <v>303</v>
      </c>
      <c r="AQ262" s="15">
        <f t="shared" si="295"/>
        <v>5</v>
      </c>
    </row>
    <row r="263" customHeight="1" spans="1:43">
      <c r="A263" s="1" t="str">
        <f>IFERROR(_xlfn.XLOOKUP(B263,_曲线基线!$G$3:$G$107,_曲线基线!$J$3:$J$107,""),"")</f>
        <v/>
      </c>
      <c r="B263" s="1">
        <v>252</v>
      </c>
      <c r="C263" s="1">
        <f t="shared" si="333"/>
        <v>18</v>
      </c>
      <c r="D263" s="1">
        <f t="shared" si="334"/>
        <v>3</v>
      </c>
      <c r="E263" s="1">
        <f t="shared" si="270"/>
        <v>1</v>
      </c>
      <c r="F263" s="11">
        <f t="shared" si="293"/>
        <v>5</v>
      </c>
      <c r="G263" s="12">
        <f t="shared" ref="G263:L263" si="355">IF($B263&lt;G$8,0,G$3+(G$4-G$3)*(POWER(G$5,$B263-G$8)-1)/(POWER(G$5,$C$5-G$8)-1))</f>
        <v>0.893106835213475</v>
      </c>
      <c r="H263" s="12">
        <f t="shared" si="355"/>
        <v>0.697586431513747</v>
      </c>
      <c r="I263" s="12">
        <f t="shared" si="355"/>
        <v>0.643794307541608</v>
      </c>
      <c r="J263" s="12">
        <f t="shared" si="355"/>
        <v>0.597136586643502</v>
      </c>
      <c r="K263" s="12">
        <f t="shared" si="355"/>
        <v>0.636974098977657</v>
      </c>
      <c r="L263" s="12">
        <f t="shared" si="355"/>
        <v>0.697536936095968</v>
      </c>
      <c r="M263" s="2">
        <f>E263*模块规划!$F$10+G263*模块规划!$F$11+H263*模块规划!$F$13</f>
        <v>5286.91280902468</v>
      </c>
      <c r="N263" s="2">
        <f>I263*模块规划!$F$15+J263*模块规划!$F$17+K263*模块规划!$F$16+L263*模块规划!$F$18</f>
        <v>18431.2496011137</v>
      </c>
      <c r="O263" s="2">
        <f t="shared" si="272"/>
        <v>3.40257006012252</v>
      </c>
      <c r="P263" s="13">
        <f t="shared" si="273"/>
        <v>36420.3408355793</v>
      </c>
      <c r="Q263" s="7">
        <f>P263/(P263+_曲线基线!$L$2)</f>
        <v>0.602782776990439</v>
      </c>
      <c r="R263" s="2">
        <f>E263*模块规划!$E$10+G263*模块规划!$E$11+H263*模块规划!$E$13</f>
        <v>7930.36921353702</v>
      </c>
      <c r="S263" s="2">
        <f>I263*模块规划!$E$15+J263*模块规划!$E$17+K263*模块规划!$E$16+L263*模块规划!$E$18</f>
        <v>27646.8744016705</v>
      </c>
      <c r="T263" s="2">
        <f t="shared" si="274"/>
        <v>3.40257006012252</v>
      </c>
      <c r="U263" s="13">
        <f t="shared" si="275"/>
        <v>54630.5112533689</v>
      </c>
      <c r="V263" s="2">
        <f t="shared" si="276"/>
        <v>0.909275929454124</v>
      </c>
      <c r="W263" s="2">
        <f t="shared" si="277"/>
        <v>0.279034572605499</v>
      </c>
      <c r="X263" s="2">
        <f t="shared" si="278"/>
        <v>0.46683626866628</v>
      </c>
      <c r="Y263" s="2">
        <f t="shared" si="279"/>
        <v>1</v>
      </c>
      <c r="Z263" s="2">
        <f t="shared" si="280"/>
        <v>1</v>
      </c>
      <c r="AA263" s="2">
        <f t="shared" si="281"/>
        <v>1</v>
      </c>
      <c r="AB263" s="2">
        <f t="shared" si="282"/>
        <v>1</v>
      </c>
      <c r="AC263" s="2">
        <f t="shared" si="283"/>
        <v>1</v>
      </c>
      <c r="AD263" s="1">
        <f t="shared" si="284"/>
        <v>1.88975154653213</v>
      </c>
      <c r="AE263" s="2">
        <f t="shared" si="285"/>
        <v>1</v>
      </c>
      <c r="AF263" s="2">
        <f t="shared" si="286"/>
        <v>1.21204869356547</v>
      </c>
      <c r="AG263" s="2">
        <f t="shared" si="287"/>
        <v>1.37579740692992</v>
      </c>
      <c r="AH263" s="2">
        <f>MIN(1,_曲线基线!$L$3+AH$9*($H$10*H263+$I$10*I263+$J$10*J263+$K$10*K263+$L$10*L263))</f>
        <v>0.532410777861443</v>
      </c>
      <c r="AI263" s="2">
        <f>_曲线基线!$L$4+AI$9*($H$10*H263+$I$10*I263+$J$10*J263+$K$10*K263+$L$10*L263)</f>
        <v>3.34385859547116</v>
      </c>
      <c r="AJ263" s="2">
        <f t="shared" si="288"/>
        <v>2.10265320654044</v>
      </c>
      <c r="AK263" s="1">
        <f t="shared" si="289"/>
        <v>4.72654484507507</v>
      </c>
      <c r="AL263" s="1">
        <f t="shared" si="290"/>
        <v>2439797.38446879</v>
      </c>
      <c r="AM263" s="14">
        <f t="shared" si="291"/>
        <v>49.9717992338091</v>
      </c>
      <c r="AN263" s="14">
        <f>(((E263*模块规划!$D$10+G263*模块规划!$D$11+H263*模块规划!$D$13)*(1+模块规划!$G$14*H263)+(I263*模块规划!$D$15+J263*模块规划!$D$17+K263*模块规划!$D$16+L263*模块规划!$D$18))*(1+模块规划!$J$17*J263))*F263/(1-Q263)</f>
        <v>2921039.11758967</v>
      </c>
      <c r="AO263" s="1">
        <f t="shared" si="292"/>
        <v>121921065.067847</v>
      </c>
      <c r="AP263" s="1">
        <f>IF(AO263="","",_xlfn.XLOOKUP(AO263,_曲线基线!$E$3:$E$502,_曲线基线!$A$3:$A$502,500,1))</f>
        <v>303</v>
      </c>
      <c r="AQ263" s="15">
        <f t="shared" si="295"/>
        <v>5</v>
      </c>
    </row>
    <row r="264" customHeight="1" spans="1:43">
      <c r="A264" s="1" t="str">
        <f>IFERROR(_xlfn.XLOOKUP(B264,_曲线基线!$G$3:$G$107,_曲线基线!$J$3:$J$107,""),"")</f>
        <v/>
      </c>
      <c r="B264" s="1">
        <v>253</v>
      </c>
      <c r="C264" s="1">
        <f t="shared" si="333"/>
        <v>18</v>
      </c>
      <c r="D264" s="1">
        <f t="shared" si="334"/>
        <v>4</v>
      </c>
      <c r="E264" s="1">
        <f t="shared" si="270"/>
        <v>1</v>
      </c>
      <c r="F264" s="11">
        <f t="shared" si="293"/>
        <v>5</v>
      </c>
      <c r="G264" s="12">
        <f t="shared" ref="G264:L264" si="356">IF($B264&lt;G$8,0,G$3+(G$4-G$3)*(POWER(G$5,$B264-G$8)-1)/(POWER(G$5,$C$5-G$8)-1))</f>
        <v>0.893415423139769</v>
      </c>
      <c r="H264" s="12">
        <f t="shared" si="356"/>
        <v>0.697701245122983</v>
      </c>
      <c r="I264" s="12">
        <f t="shared" si="356"/>
        <v>0.644089512733844</v>
      </c>
      <c r="J264" s="12">
        <f t="shared" si="356"/>
        <v>0.597272799402356</v>
      </c>
      <c r="K264" s="12">
        <f t="shared" si="356"/>
        <v>0.637593741933078</v>
      </c>
      <c r="L264" s="12">
        <f t="shared" si="356"/>
        <v>0.697654104205435</v>
      </c>
      <c r="M264" s="2">
        <f>E264*模块规划!$F$10+G264*模块规划!$F$11+H264*模块规划!$F$13</f>
        <v>5288.39403107089</v>
      </c>
      <c r="N264" s="2">
        <f>I264*模块规划!$F$15+J264*模块规划!$F$17+K264*模块规划!$F$16+L264*模块规划!$F$18</f>
        <v>18439.27706852</v>
      </c>
      <c r="O264" s="2">
        <f t="shared" si="272"/>
        <v>3.40345593843121</v>
      </c>
      <c r="P264" s="13">
        <f t="shared" si="273"/>
        <v>36438.0931383323</v>
      </c>
      <c r="Q264" s="7">
        <f>P264/(P264+_曲线基线!$L$2)</f>
        <v>0.60289945043322</v>
      </c>
      <c r="R264" s="2">
        <f>E264*模块规划!$E$10+G264*模块规划!$E$11+H264*模块规划!$E$13</f>
        <v>7932.59104660633</v>
      </c>
      <c r="S264" s="2">
        <f>I264*模块规划!$E$15+J264*模块规划!$E$17+K264*模块规划!$E$16+L264*模块规划!$E$18</f>
        <v>27658.9156027799</v>
      </c>
      <c r="T264" s="2">
        <f t="shared" si="274"/>
        <v>3.40345593843121</v>
      </c>
      <c r="U264" s="13">
        <f t="shared" si="275"/>
        <v>54657.1397074985</v>
      </c>
      <c r="V264" s="2">
        <f t="shared" si="276"/>
        <v>0.909310373536895</v>
      </c>
      <c r="W264" s="2">
        <f t="shared" si="277"/>
        <v>0.279080498049193</v>
      </c>
      <c r="X264" s="2">
        <f t="shared" si="278"/>
        <v>0.46686784240882</v>
      </c>
      <c r="Y264" s="2">
        <f t="shared" si="279"/>
        <v>1</v>
      </c>
      <c r="Z264" s="2">
        <f t="shared" si="280"/>
        <v>1</v>
      </c>
      <c r="AA264" s="2">
        <f t="shared" si="281"/>
        <v>1</v>
      </c>
      <c r="AB264" s="2">
        <f t="shared" si="282"/>
        <v>1</v>
      </c>
      <c r="AC264" s="2">
        <f t="shared" si="283"/>
        <v>1</v>
      </c>
      <c r="AD264" s="1">
        <f t="shared" si="284"/>
        <v>1.88997160526205</v>
      </c>
      <c r="AE264" s="2">
        <f t="shared" si="285"/>
        <v>1</v>
      </c>
      <c r="AF264" s="2">
        <f t="shared" si="286"/>
        <v>1.21212688039595</v>
      </c>
      <c r="AG264" s="2">
        <f t="shared" si="287"/>
        <v>1.37593597136839</v>
      </c>
      <c r="AH264" s="2">
        <f>MIN(1,_曲线基线!$L$3+AH$9*($H$10*H264+$I$10*I264+$J$10*J264+$K$10*K264+$L$10*L264))</f>
        <v>0.532588652900792</v>
      </c>
      <c r="AI264" s="2">
        <f>_曲线基线!$L$4+AI$9*($H$10*H264+$I$10*I264+$J$10*J264+$K$10*K264+$L$10*L264)</f>
        <v>3.34435410450935</v>
      </c>
      <c r="AJ264" s="2">
        <f t="shared" si="288"/>
        <v>2.10305977805895</v>
      </c>
      <c r="AK264" s="1">
        <f t="shared" si="289"/>
        <v>4.72889057304606</v>
      </c>
      <c r="AL264" s="1">
        <f t="shared" si="290"/>
        <v>2442482.43352917</v>
      </c>
      <c r="AM264" s="14">
        <f t="shared" si="291"/>
        <v>50.134941866069</v>
      </c>
      <c r="AN264" s="14">
        <f>(((E264*模块规划!$D$10+G264*模块规划!$D$11+H264*模块规划!$D$13)*(1+模块规划!$G$14*H264)+(I264*模块规划!$D$15+J264*模块规划!$D$17+K264*模块规划!$D$16+L264*模块规划!$D$18))*(1+模块规划!$J$17*J264))*F264/(1-Q264)</f>
        <v>2923362.84563203</v>
      </c>
      <c r="AO264" s="1">
        <f t="shared" si="292"/>
        <v>122453714.813879</v>
      </c>
      <c r="AP264" s="1">
        <f>IF(AO264="","",_xlfn.XLOOKUP(AO264,_曲线基线!$E$3:$E$502,_曲线基线!$A$3:$A$502,500,1))</f>
        <v>304</v>
      </c>
      <c r="AQ264" s="15">
        <f t="shared" si="295"/>
        <v>5</v>
      </c>
    </row>
    <row r="265" customHeight="1" spans="1:43">
      <c r="A265" s="1" t="str">
        <f>IFERROR(_xlfn.XLOOKUP(B265,_曲线基线!$G$3:$G$107,_曲线基线!$J$3:$J$107,""),"")</f>
        <v/>
      </c>
      <c r="B265" s="1">
        <v>254</v>
      </c>
      <c r="C265" s="1">
        <f t="shared" si="333"/>
        <v>18</v>
      </c>
      <c r="D265" s="1">
        <f t="shared" si="334"/>
        <v>5</v>
      </c>
      <c r="E265" s="1">
        <f t="shared" si="270"/>
        <v>1</v>
      </c>
      <c r="F265" s="11">
        <f t="shared" si="293"/>
        <v>5</v>
      </c>
      <c r="G265" s="12">
        <f t="shared" ref="G265:L265" si="357">IF($B265&lt;G$8,0,G$3+(G$4-G$3)*(POWER(G$5,$B265-G$8)-1)/(POWER(G$5,$C$5-G$8)-1))</f>
        <v>0.893719382247168</v>
      </c>
      <c r="H265" s="12">
        <f t="shared" si="357"/>
        <v>0.697813762460035</v>
      </c>
      <c r="I265" s="12">
        <f t="shared" si="357"/>
        <v>0.644378813822235</v>
      </c>
      <c r="J265" s="12">
        <f t="shared" si="357"/>
        <v>0.597406287906033</v>
      </c>
      <c r="K265" s="12">
        <f t="shared" si="357"/>
        <v>0.63820099202939</v>
      </c>
      <c r="L265" s="12">
        <f t="shared" si="357"/>
        <v>0.697768928952712</v>
      </c>
      <c r="M265" s="2">
        <f>E265*模块规划!$F$10+G265*模块规划!$F$11+H265*模块规划!$F$13</f>
        <v>5289.85303478641</v>
      </c>
      <c r="N265" s="2">
        <f>I265*模块规划!$F$15+J265*模块规划!$F$17+K265*模块规划!$F$16+L265*模块规划!$F$18</f>
        <v>18447.1439865781</v>
      </c>
      <c r="O265" s="2">
        <f t="shared" si="272"/>
        <v>3.40432409917372</v>
      </c>
      <c r="P265" s="13">
        <f t="shared" si="273"/>
        <v>36455.5181539887</v>
      </c>
      <c r="Q265" s="7">
        <f>P265/(P265+_曲线基线!$L$2)</f>
        <v>0.60301390621004</v>
      </c>
      <c r="R265" s="2">
        <f>E265*模块规划!$E$10+G265*模块规划!$E$11+H265*模块规划!$E$13</f>
        <v>7934.77955217961</v>
      </c>
      <c r="S265" s="2">
        <f>I265*模块规划!$E$15+J265*模块规划!$E$17+K265*模块规划!$E$16+L265*模块规划!$E$18</f>
        <v>27670.7159798672</v>
      </c>
      <c r="T265" s="2">
        <f t="shared" si="274"/>
        <v>3.40432409917372</v>
      </c>
      <c r="U265" s="13">
        <f t="shared" si="275"/>
        <v>54683.2772309831</v>
      </c>
      <c r="V265" s="2">
        <f t="shared" si="276"/>
        <v>0.90934412873801</v>
      </c>
      <c r="W265" s="2">
        <f t="shared" si="277"/>
        <v>0.279125504984014</v>
      </c>
      <c r="X265" s="2">
        <f t="shared" si="278"/>
        <v>0.46689878467651</v>
      </c>
      <c r="Y265" s="2">
        <f t="shared" si="279"/>
        <v>1</v>
      </c>
      <c r="Z265" s="2">
        <f t="shared" si="280"/>
        <v>1</v>
      </c>
      <c r="AA265" s="2">
        <f t="shared" si="281"/>
        <v>1</v>
      </c>
      <c r="AB265" s="2">
        <f t="shared" si="282"/>
        <v>1</v>
      </c>
      <c r="AC265" s="2">
        <f t="shared" si="283"/>
        <v>1</v>
      </c>
      <c r="AD265" s="1">
        <f t="shared" si="284"/>
        <v>1.89018727827415</v>
      </c>
      <c r="AE265" s="2">
        <f t="shared" si="285"/>
        <v>1</v>
      </c>
      <c r="AF265" s="2">
        <f t="shared" si="286"/>
        <v>1.21220350348983</v>
      </c>
      <c r="AG265" s="2">
        <f t="shared" si="287"/>
        <v>1.37607176451808</v>
      </c>
      <c r="AH265" s="2">
        <f>MIN(1,_曲线基线!$L$3+AH$9*($H$10*H265+$I$10*I265+$J$10*J265+$K$10*K265+$L$10*L265))</f>
        <v>0.532762970439354</v>
      </c>
      <c r="AI265" s="2">
        <f>_曲线基线!$L$4+AI$9*($H$10*H265+$I$10*I265+$J$10*J265+$K$10*K265+$L$10*L265)</f>
        <v>3.34483970336677</v>
      </c>
      <c r="AJ265" s="2">
        <f t="shared" si="288"/>
        <v>2.1034582181471</v>
      </c>
      <c r="AK265" s="1">
        <f t="shared" si="289"/>
        <v>4.73119028330395</v>
      </c>
      <c r="AL265" s="1">
        <f t="shared" si="290"/>
        <v>2445117.81485929</v>
      </c>
      <c r="AM265" s="14">
        <f t="shared" si="291"/>
        <v>50.2997159246516</v>
      </c>
      <c r="AN265" s="14">
        <f>(((E265*模块规划!$D$10+G265*模块规划!$D$11+H265*模块规划!$D$13)*(1+模块规划!$G$14*H265)+(I265*模块规划!$D$15+J265*模块规划!$D$17+K265*模块规划!$D$16+L265*模块规划!$D$18))*(1+模块规划!$J$17*J265))*F265/(1-Q265)</f>
        <v>2925643.83288171</v>
      </c>
      <c r="AO265" s="1">
        <f t="shared" si="292"/>
        <v>122988731.489727</v>
      </c>
      <c r="AP265" s="1">
        <f>IF(AO265="","",_xlfn.XLOOKUP(AO265,_曲线基线!$E$3:$E$502,_曲线基线!$A$3:$A$502,500,1))</f>
        <v>304</v>
      </c>
      <c r="AQ265" s="15">
        <f t="shared" si="295"/>
        <v>5</v>
      </c>
    </row>
    <row r="266" customHeight="1" spans="1:43">
      <c r="A266" s="1" t="str">
        <f>IFERROR(_xlfn.XLOOKUP(B266,_曲线基线!$G$3:$G$107,_曲线基线!$J$3:$J$107,""),"")</f>
        <v/>
      </c>
      <c r="B266" s="1">
        <v>255</v>
      </c>
      <c r="C266" s="1">
        <f t="shared" si="333"/>
        <v>18</v>
      </c>
      <c r="D266" s="1">
        <f t="shared" si="334"/>
        <v>6</v>
      </c>
      <c r="E266" s="1">
        <f t="shared" si="270"/>
        <v>1</v>
      </c>
      <c r="F266" s="11">
        <f t="shared" si="293"/>
        <v>5</v>
      </c>
      <c r="G266" s="12">
        <f t="shared" ref="G266:L266" si="358">IF($B266&lt;G$8,0,G$3+(G$4-G$3)*(POWER(G$5,$B266-G$8)-1)/(POWER(G$5,$C$5-G$8)-1))</f>
        <v>0.894018781967956</v>
      </c>
      <c r="H266" s="12">
        <f t="shared" si="358"/>
        <v>0.697924029450345</v>
      </c>
      <c r="I266" s="12">
        <f t="shared" si="358"/>
        <v>0.644662328888859</v>
      </c>
      <c r="J266" s="12">
        <f t="shared" si="358"/>
        <v>0.597537106639636</v>
      </c>
      <c r="K266" s="12">
        <f t="shared" si="358"/>
        <v>0.638796097123775</v>
      </c>
      <c r="L266" s="12">
        <f t="shared" si="358"/>
        <v>0.697881457205043</v>
      </c>
      <c r="M266" s="2">
        <f>E266*模块规划!$F$10+G266*模块规划!$F$11+H266*模块规划!$F$13</f>
        <v>5291.29015344619</v>
      </c>
      <c r="N266" s="2">
        <f>I266*模块规划!$F$15+J266*模块规划!$F$17+K266*模块规划!$F$16+L266*模块规划!$F$18</f>
        <v>18454.8535662751</v>
      </c>
      <c r="O266" s="2">
        <f t="shared" si="272"/>
        <v>3.40517489670138</v>
      </c>
      <c r="P266" s="13">
        <f t="shared" si="273"/>
        <v>36472.6219679533</v>
      </c>
      <c r="Q266" s="7">
        <f>P266/(P266+_曲线基线!$L$2)</f>
        <v>0.603126188034008</v>
      </c>
      <c r="R266" s="2">
        <f>E266*模块规划!$E$10+G266*模块规划!$E$11+H266*模块规划!$E$13</f>
        <v>7936.93523016928</v>
      </c>
      <c r="S266" s="2">
        <f>I266*模块规划!$E$15+J266*模块规划!$E$17+K266*模块规划!$E$16+L266*模块规划!$E$18</f>
        <v>27682.2803494126</v>
      </c>
      <c r="T266" s="2">
        <f t="shared" si="274"/>
        <v>3.40517489670138</v>
      </c>
      <c r="U266" s="13">
        <f t="shared" si="275"/>
        <v>54708.9329519299</v>
      </c>
      <c r="V266" s="2">
        <f t="shared" si="276"/>
        <v>0.909377208835104</v>
      </c>
      <c r="W266" s="2">
        <f t="shared" si="277"/>
        <v>0.279169611780138</v>
      </c>
      <c r="X266" s="2">
        <f t="shared" si="278"/>
        <v>0.466929108098845</v>
      </c>
      <c r="Y266" s="2">
        <f t="shared" si="279"/>
        <v>1</v>
      </c>
      <c r="Z266" s="2">
        <f t="shared" si="280"/>
        <v>1</v>
      </c>
      <c r="AA266" s="2">
        <f t="shared" si="281"/>
        <v>1</v>
      </c>
      <c r="AB266" s="2">
        <f t="shared" si="282"/>
        <v>1</v>
      </c>
      <c r="AC266" s="2">
        <f t="shared" si="283"/>
        <v>1</v>
      </c>
      <c r="AD266" s="1">
        <f t="shared" si="284"/>
        <v>1.89039865267069</v>
      </c>
      <c r="AE266" s="2">
        <f t="shared" si="285"/>
        <v>1</v>
      </c>
      <c r="AF266" s="2">
        <f t="shared" si="286"/>
        <v>1.21227859412182</v>
      </c>
      <c r="AG266" s="2">
        <f t="shared" si="287"/>
        <v>1.37620484180479</v>
      </c>
      <c r="AH266" s="2">
        <f>MIN(1,_曲线基线!$L$3+AH$9*($H$10*H266+$I$10*I266+$J$10*J266+$K$10*K266+$L$10*L266))</f>
        <v>0.532933801627145</v>
      </c>
      <c r="AI266" s="2">
        <f>_曲线基线!$L$4+AI$9*($H$10*H266+$I$10*I266+$J$10*J266+$K$10*K266+$L$10*L266)</f>
        <v>3.34531559024705</v>
      </c>
      <c r="AJ266" s="2">
        <f t="shared" si="288"/>
        <v>2.10384868943348</v>
      </c>
      <c r="AK266" s="1">
        <f t="shared" si="289"/>
        <v>4.73344486088425</v>
      </c>
      <c r="AL266" s="1">
        <f t="shared" si="290"/>
        <v>2447704.40952005</v>
      </c>
      <c r="AM266" s="14">
        <f t="shared" si="291"/>
        <v>50.46613772382</v>
      </c>
      <c r="AN266" s="14">
        <f>(((E266*模块规划!$D$10+G266*模块规划!$D$11+H266*模块规划!$D$13)*(1+模块规划!$G$14*H266)+(I266*模块规划!$D$15+J266*模块规划!$D$17+K266*模块规划!$D$16+L266*模块规划!$D$18))*(1+模块规划!$J$17*J266))*F266/(1-Q266)</f>
        <v>2927882.85310272</v>
      </c>
      <c r="AO266" s="1">
        <f t="shared" si="292"/>
        <v>123526187.83804</v>
      </c>
      <c r="AP266" s="1">
        <f>IF(AO266="","",_xlfn.XLOOKUP(AO266,_曲线基线!$E$3:$E$502,_曲线基线!$A$3:$A$502,500,1))</f>
        <v>304</v>
      </c>
      <c r="AQ266" s="15">
        <f t="shared" si="295"/>
        <v>5</v>
      </c>
    </row>
    <row r="267" customHeight="1" spans="1:43">
      <c r="A267" s="1" t="str">
        <f>IFERROR(_xlfn.XLOOKUP(B267,_曲线基线!$G$3:$G$107,_曲线基线!$J$3:$J$107,""),"")</f>
        <v/>
      </c>
      <c r="B267" s="1">
        <v>256</v>
      </c>
      <c r="C267" s="1">
        <f t="shared" si="333"/>
        <v>18</v>
      </c>
      <c r="D267" s="1">
        <f t="shared" si="334"/>
        <v>7</v>
      </c>
      <c r="E267" s="1">
        <f t="shared" si="270"/>
        <v>1</v>
      </c>
      <c r="F267" s="11">
        <f t="shared" si="293"/>
        <v>5</v>
      </c>
      <c r="G267" s="12">
        <f t="shared" ref="G267:L267" si="359">IF($B267&lt;G$8,0,G$3+(G$4-G$3)*(POWER(G$5,$B267-G$8)-1)/(POWER(G$5,$C$5-G$8)-1))</f>
        <v>0.894313690692933</v>
      </c>
      <c r="H267" s="12">
        <f t="shared" si="359"/>
        <v>0.69803209110085</v>
      </c>
      <c r="I267" s="12">
        <f t="shared" si="359"/>
        <v>0.64494017365415</v>
      </c>
      <c r="J267" s="12">
        <f t="shared" si="359"/>
        <v>0.597665308998567</v>
      </c>
      <c r="K267" s="12">
        <f t="shared" si="359"/>
        <v>0.639379300116273</v>
      </c>
      <c r="L267" s="12">
        <f t="shared" si="359"/>
        <v>0.697991734892328</v>
      </c>
      <c r="M267" s="2">
        <f>E267*模块规划!$F$10+G267*模块规划!$F$11+H267*模块规划!$F$13</f>
        <v>5292.70571532608</v>
      </c>
      <c r="N267" s="2">
        <f>I267*模块规划!$F$15+J267*模块规划!$F$17+K267*模块规划!$F$16+L267*模块规划!$F$18</f>
        <v>18462.4089543781</v>
      </c>
      <c r="O267" s="2">
        <f t="shared" si="272"/>
        <v>3.40600867827849</v>
      </c>
      <c r="P267" s="13">
        <f t="shared" si="273"/>
        <v>36489.4105523529</v>
      </c>
      <c r="Q267" s="7">
        <f>P267/(P267+_曲线基线!$L$2)</f>
        <v>0.603236338710422</v>
      </c>
      <c r="R267" s="2">
        <f>E267*模块规划!$E$10+G267*模块规划!$E$11+H267*模块规划!$E$13</f>
        <v>7939.05857298912</v>
      </c>
      <c r="S267" s="2">
        <f>I267*模块规划!$E$15+J267*模块规划!$E$17+K267*模块规划!$E$16+L267*模块规划!$E$18</f>
        <v>27693.6134315672</v>
      </c>
      <c r="T267" s="2">
        <f t="shared" si="274"/>
        <v>3.40600867827849</v>
      </c>
      <c r="U267" s="13">
        <f t="shared" si="275"/>
        <v>54734.1158285294</v>
      </c>
      <c r="V267" s="2">
        <f t="shared" si="276"/>
        <v>0.909409627330255</v>
      </c>
      <c r="W267" s="2">
        <f t="shared" si="277"/>
        <v>0.27921283644034</v>
      </c>
      <c r="X267" s="2">
        <f t="shared" si="278"/>
        <v>0.466958825052734</v>
      </c>
      <c r="Y267" s="2">
        <f t="shared" si="279"/>
        <v>1</v>
      </c>
      <c r="Z267" s="2">
        <f t="shared" si="280"/>
        <v>1</v>
      </c>
      <c r="AA267" s="2">
        <f t="shared" si="281"/>
        <v>1</v>
      </c>
      <c r="AB267" s="2">
        <f t="shared" si="282"/>
        <v>1</v>
      </c>
      <c r="AC267" s="2">
        <f t="shared" si="283"/>
        <v>1</v>
      </c>
      <c r="AD267" s="1">
        <f t="shared" si="284"/>
        <v>1.89060581383612</v>
      </c>
      <c r="AE267" s="2">
        <f t="shared" si="285"/>
        <v>1</v>
      </c>
      <c r="AF267" s="2">
        <f t="shared" si="286"/>
        <v>1.21235218294118</v>
      </c>
      <c r="AG267" s="2">
        <f t="shared" si="287"/>
        <v>1.37633525754576</v>
      </c>
      <c r="AH267" s="2">
        <f>MIN(1,_曲线基线!$L$3+AH$9*($H$10*H267+$I$10*I267+$J$10*J267+$K$10*K267+$L$10*L267))</f>
        <v>0.533101216191181</v>
      </c>
      <c r="AI267" s="2">
        <f>_曲线基线!$L$4+AI$9*($H$10*H267+$I$10*I267+$J$10*J267+$K$10*K267+$L$10*L267)</f>
        <v>3.34578195938972</v>
      </c>
      <c r="AJ267" s="2">
        <f t="shared" si="288"/>
        <v>2.10423135129413</v>
      </c>
      <c r="AK267" s="1">
        <f t="shared" si="289"/>
        <v>4.73565517450884</v>
      </c>
      <c r="AL267" s="1">
        <f t="shared" si="290"/>
        <v>2450243.08457371</v>
      </c>
      <c r="AM267" s="14">
        <f t="shared" si="291"/>
        <v>50.63422374098</v>
      </c>
      <c r="AN267" s="14">
        <f>(((E267*模块规划!$D$10+G267*模块规划!$D$11+H267*模块规划!$D$13)*(1+模块规划!$G$14*H267)+(I267*模块规划!$D$15+J267*模块规划!$D$17+K267*模块规划!$D$16+L267*模块规划!$D$18))*(1+模块规划!$J$17*J267))*F267/(1-Q267)</f>
        <v>2930080.66673069</v>
      </c>
      <c r="AO267" s="1">
        <f t="shared" si="292"/>
        <v>124066156.564094</v>
      </c>
      <c r="AP267" s="1">
        <f>IF(AO267="","",_xlfn.XLOOKUP(AO267,_曲线基线!$E$3:$E$502,_曲线基线!$A$3:$A$502,500,1))</f>
        <v>305</v>
      </c>
      <c r="AQ267" s="15">
        <f t="shared" si="295"/>
        <v>5</v>
      </c>
    </row>
    <row r="268" customHeight="1" spans="1:43">
      <c r="A268" s="1" t="str">
        <f>IFERROR(_xlfn.XLOOKUP(B268,_曲线基线!$G$3:$G$107,_曲线基线!$J$3:$J$107,""),"")</f>
        <v/>
      </c>
      <c r="B268" s="1">
        <v>257</v>
      </c>
      <c r="C268" s="1">
        <f t="shared" si="333"/>
        <v>18</v>
      </c>
      <c r="D268" s="1">
        <f t="shared" si="334"/>
        <v>8</v>
      </c>
      <c r="E268" s="1">
        <f t="shared" ref="E268:E290" si="360">IF($B268&lt;E$8,0,E$3+(E$4-E$3)*(POWER(E$5,$B268-E$8)-1)/(POWER(E$5,$C$5-E$8)-1))</f>
        <v>1</v>
      </c>
      <c r="F268" s="11">
        <f t="shared" si="293"/>
        <v>5</v>
      </c>
      <c r="G268" s="12">
        <f t="shared" ref="G268:L268" si="361">IF($B268&lt;G$8,0,G$3+(G$4-G$3)*(POWER(G$5,$B268-G$8)-1)/(POWER(G$5,$C$5-G$8)-1))</f>
        <v>0.894604175787035</v>
      </c>
      <c r="H268" s="12">
        <f t="shared" si="361"/>
        <v>0.698137991518344</v>
      </c>
      <c r="I268" s="12">
        <f t="shared" si="361"/>
        <v>0.645212461524135</v>
      </c>
      <c r="J268" s="12">
        <f t="shared" si="361"/>
        <v>0.59779094731032</v>
      </c>
      <c r="K268" s="12">
        <f t="shared" si="361"/>
        <v>0.639950839048921</v>
      </c>
      <c r="L268" s="12">
        <f t="shared" si="361"/>
        <v>0.698099807025867</v>
      </c>
      <c r="M268" s="2">
        <f>E268*模块规划!$F$10+G268*模块规划!$F$11+H268*模块规划!$F$13</f>
        <v>5294.10004377777</v>
      </c>
      <c r="N268" s="2">
        <f>I268*模块规划!$F$15+J268*模块规划!$F$17+K268*模块规划!$F$16+L268*模块规划!$F$18</f>
        <v>18469.8132347191</v>
      </c>
      <c r="O268" s="2">
        <f t="shared" ref="O268:O290" si="362">1+O$9*SUMPRODUCT($H$10:$L$10,H268:L268)/SUM($H$10:$L$10)</f>
        <v>3.40682578422405</v>
      </c>
      <c r="P268" s="13">
        <f t="shared" ref="P268:P290" si="363">M268*O268+N268</f>
        <v>36505.8897681229</v>
      </c>
      <c r="Q268" s="7">
        <f>P268/(P268+_曲线基线!$L$2)</f>
        <v>0.603344400157153</v>
      </c>
      <c r="R268" s="2">
        <f>E268*模块规划!$E$10+G268*模块规划!$E$11+H268*模块规划!$E$13</f>
        <v>7941.15006566665</v>
      </c>
      <c r="S268" s="2">
        <f>I268*模块规划!$E$15+J268*模块规划!$E$17+K268*模块规划!$E$16+L268*模块规划!$E$18</f>
        <v>27704.7198520787</v>
      </c>
      <c r="T268" s="2">
        <f t="shared" ref="T268:T290" si="364">1+T$9*SUMPRODUCT($H$10:$L$10,H268:L268)/SUM($H$10:$L$10)</f>
        <v>3.40682578422405</v>
      </c>
      <c r="U268" s="13">
        <f t="shared" ref="U268:U290" si="365">R268*T268+S268</f>
        <v>54758.8346521844</v>
      </c>
      <c r="V268" s="2">
        <f t="shared" ref="V268:V290" si="366">V$8+(V$9-V$8)*H268</f>
        <v>0.909441397455503</v>
      </c>
      <c r="W268" s="2">
        <f t="shared" ref="W268:W290" si="367">IF(B268&lt;$H$8,0,W$8+(W$9-W$8)*H268)</f>
        <v>0.279255196607338</v>
      </c>
      <c r="X268" s="2">
        <f t="shared" ref="X268:X290" si="368">X$8+(X$9-X$8)*H268</f>
        <v>0.466987947667545</v>
      </c>
      <c r="Y268" s="2">
        <f t="shared" ref="Y268:Y290" si="369">Y$8+(Y$9-Y$8)*G268</f>
        <v>1</v>
      </c>
      <c r="Z268" s="2">
        <f t="shared" ref="Z268:Z290" si="370">Z$8+(Z$9-Z$8)*H268</f>
        <v>1</v>
      </c>
      <c r="AA268" s="2">
        <f t="shared" ref="AA268:AA290" si="371">AA$8+(AA$9-AA$8)*I268</f>
        <v>1</v>
      </c>
      <c r="AB268" s="2">
        <f t="shared" ref="AB268:AB290" si="372">AB$8+(AB$9-AB$8)*J268</f>
        <v>1</v>
      </c>
      <c r="AC268" s="2">
        <f t="shared" ref="AC268:AC290" si="373">AC$8+(AC$9-AC$8)*MAX(K268,L268)</f>
        <v>1</v>
      </c>
      <c r="AD268" s="1">
        <f t="shared" ref="AD268:AD290" si="374">(V268*AE268+W268*AF268+X268*AG268)*PRODUCT(Y268:AC268)</f>
        <v>1.8908088454705</v>
      </c>
      <c r="AE268" s="2">
        <f t="shared" ref="AE268:AE290" si="375">1+AE$9*($H$10*H268+$I$10*I268+$J$10*J268+$K$10*K268+$L$10*L268)</f>
        <v>1</v>
      </c>
      <c r="AF268" s="2">
        <f t="shared" ref="AF268:AF290" si="376">1+AF$9*($H$10*H268+$I$10*I268+$J$10*J268+$K$10*K268+$L$10*L268)</f>
        <v>1.21242429998415</v>
      </c>
      <c r="AG268" s="2">
        <f t="shared" ref="AG268:AG290" si="377">1+AG$9*($H$10*H268+$I$10*I268+$J$10*J268+$K$10*K268+$L$10*L268)</f>
        <v>1.37646306497191</v>
      </c>
      <c r="AH268" s="2">
        <f>MIN(1,_曲线基线!$L$3+AH$9*($H$10*H268+$I$10*I268+$J$10*J268+$K$10*K268+$L$10*L268))</f>
        <v>0.533265282463935</v>
      </c>
      <c r="AI268" s="2">
        <f>_曲线基线!$L$4+AI$9*($H$10*H268+$I$10*I268+$J$10*J268+$K$10*K268+$L$10*L268)</f>
        <v>3.34623900114953</v>
      </c>
      <c r="AJ268" s="2">
        <f t="shared" ref="AJ268:AJ290" si="378">1+AJ$9*($H$10*H268+$I$10*I268+$J$10*J268+$K$10*K268+$L$10*L268)</f>
        <v>2.10460635991757</v>
      </c>
      <c r="AK268" s="1">
        <f t="shared" ref="AK268:AK290" si="379">(1+AH268*(AI268-1))*AJ268</f>
        <v>4.73782207685797</v>
      </c>
      <c r="AL268" s="1">
        <f t="shared" ref="AL268:AL290" si="380">U268*AD268*AK268*F268</f>
        <v>2452734.69323812</v>
      </c>
      <c r="AM268" s="14">
        <f t="shared" ref="AM268:AM290" si="381">IF($B268&lt;AM$8,0,AM$3+(AM$4-AM$3)*(POWER(AM$5,$B268-AM$8)-1)/(POWER(AM$5,$C$5-AM$8)-1))</f>
        <v>50.8039906183117</v>
      </c>
      <c r="AN268" s="14">
        <f>(((E268*模块规划!$D$10+G268*模块规划!$D$11+H268*模块规划!$D$13)*(1+模块规划!$G$14*H268)+(I268*模块规划!$D$15+J268*模块规划!$D$17+K268*模块规划!$D$16+L268*模块规划!$D$18))*(1+模块规划!$J$17*J268))*F268/(1-Q268)</f>
        <v>2932238.02107277</v>
      </c>
      <c r="AO268" s="1">
        <f t="shared" ref="AO268:AO290" si="382">AL268*AM268</f>
        <v>124608710.344477</v>
      </c>
      <c r="AP268" s="1">
        <f>IF(AO268="","",_xlfn.XLOOKUP(AO268,_曲线基线!$E$3:$E$502,_曲线基线!$A$3:$A$502,500,1))</f>
        <v>305</v>
      </c>
      <c r="AQ268" s="15">
        <f t="shared" si="295"/>
        <v>5</v>
      </c>
    </row>
    <row r="269" customHeight="1" spans="1:43">
      <c r="A269" s="1" t="str">
        <f>IFERROR(_xlfn.XLOOKUP(B269,_曲线基线!$G$3:$G$107,_曲线基线!$J$3:$J$107,""),"")</f>
        <v/>
      </c>
      <c r="B269" s="1">
        <v>258</v>
      </c>
      <c r="C269" s="1">
        <f t="shared" si="333"/>
        <v>18</v>
      </c>
      <c r="D269" s="1">
        <f t="shared" si="334"/>
        <v>9</v>
      </c>
      <c r="E269" s="1">
        <f t="shared" si="360"/>
        <v>1</v>
      </c>
      <c r="F269" s="11">
        <f t="shared" ref="F269:F290" si="383">1+IF(B269&lt;3,0,MIN(1,(B269-2)/4))+IF(B269&lt;7,0,MIN(1,(B269-6)/3))+IF(B269&lt;10,0,MIN(1,(B269-9)/5))+IF(B269&lt;20,0,MIN(1,(B269-19)/10))</f>
        <v>5</v>
      </c>
      <c r="G269" s="12">
        <f t="shared" ref="G269:L269" si="384">IF($B269&lt;G$8,0,G$3+(G$4-G$3)*(POWER(G$5,$B269-G$8)-1)/(POWER(G$5,$C$5-G$8)-1))</f>
        <v>0.894890303604725</v>
      </c>
      <c r="H269" s="12">
        <f t="shared" si="384"/>
        <v>0.698241773927489</v>
      </c>
      <c r="I269" s="12">
        <f t="shared" si="384"/>
        <v>0.64547930363672</v>
      </c>
      <c r="J269" s="12">
        <f t="shared" si="384"/>
        <v>0.597914072855837</v>
      </c>
      <c r="K269" s="12">
        <f t="shared" si="384"/>
        <v>0.640510947202917</v>
      </c>
      <c r="L269" s="12">
        <f t="shared" si="384"/>
        <v>0.698205717716736</v>
      </c>
      <c r="M269" s="2">
        <f>E269*模块规划!$F$10+G269*模块规划!$F$11+H269*模块规划!$F$13</f>
        <v>5295.47345730268</v>
      </c>
      <c r="N269" s="2">
        <f>I269*模块规划!$F$15+J269*模块规划!$F$17+K269*模块规划!$F$16+L269*模块规划!$F$18</f>
        <v>18477.0694294533</v>
      </c>
      <c r="O269" s="2">
        <f t="shared" si="362"/>
        <v>3.40762654805071</v>
      </c>
      <c r="P269" s="13">
        <f t="shared" si="363"/>
        <v>36522.0653670558</v>
      </c>
      <c r="Q269" s="7">
        <f>P269/(P269+_曲线基线!$L$2)</f>
        <v>0.603450413424523</v>
      </c>
      <c r="R269" s="2">
        <f>E269*模块规划!$E$10+G269*模块规划!$E$11+H269*模块规划!$E$13</f>
        <v>7943.21018595402</v>
      </c>
      <c r="S269" s="2">
        <f>I269*模块规划!$E$15+J269*模块规划!$E$17+K269*模块规划!$E$16+L269*模块规划!$E$18</f>
        <v>27715.60414418</v>
      </c>
      <c r="T269" s="2">
        <f t="shared" si="364"/>
        <v>3.40762654805071</v>
      </c>
      <c r="U269" s="13">
        <f t="shared" si="365"/>
        <v>54783.0980505837</v>
      </c>
      <c r="V269" s="2">
        <f t="shared" si="366"/>
        <v>0.909472532178247</v>
      </c>
      <c r="W269" s="2">
        <f t="shared" si="367"/>
        <v>0.279296709570995</v>
      </c>
      <c r="X269" s="2">
        <f t="shared" si="368"/>
        <v>0.467016487830059</v>
      </c>
      <c r="Y269" s="2">
        <f t="shared" si="369"/>
        <v>1</v>
      </c>
      <c r="Z269" s="2">
        <f t="shared" si="370"/>
        <v>1</v>
      </c>
      <c r="AA269" s="2">
        <f t="shared" si="371"/>
        <v>1</v>
      </c>
      <c r="AB269" s="2">
        <f t="shared" si="372"/>
        <v>1</v>
      </c>
      <c r="AC269" s="2">
        <f t="shared" si="373"/>
        <v>1</v>
      </c>
      <c r="AD269" s="1">
        <f t="shared" si="374"/>
        <v>1.89100782962224</v>
      </c>
      <c r="AE269" s="2">
        <f t="shared" si="375"/>
        <v>1</v>
      </c>
      <c r="AF269" s="2">
        <f t="shared" si="376"/>
        <v>1.21249497468626</v>
      </c>
      <c r="AG269" s="2">
        <f t="shared" si="377"/>
        <v>1.37658831624954</v>
      </c>
      <c r="AH269" s="2">
        <f>MIN(1,_曲线基线!$L$3+AH$9*($H$10*H269+$I$10*I269+$J$10*J269+$K$10*K269+$L$10*L269))</f>
        <v>0.533426067411235</v>
      </c>
      <c r="AI269" s="2">
        <f>_曲线基线!$L$4+AI$9*($H$10*H269+$I$10*I269+$J$10*J269+$K$10*K269+$L$10*L269)</f>
        <v>3.34668690207415</v>
      </c>
      <c r="AJ269" s="2">
        <f t="shared" si="378"/>
        <v>2.10497386836854</v>
      </c>
      <c r="AK269" s="1">
        <f t="shared" si="379"/>
        <v>4.73994640483899</v>
      </c>
      <c r="AL269" s="1">
        <f t="shared" si="380"/>
        <v>2455180.07504225</v>
      </c>
      <c r="AM269" s="14">
        <f t="shared" si="381"/>
        <v>50.9754551644167</v>
      </c>
      <c r="AN269" s="14">
        <f>(((E269*模块规划!$D$10+G269*模块规划!$D$11+H269*模块规划!$D$13)*(1+模块规划!$G$14*H269)+(I269*模块规划!$D$15+J269*模块规划!$D$17+K269*模块规划!$D$16+L269*模块规划!$D$18))*(1+模块规划!$J$17*J269))*F269/(1-Q269)</f>
        <v>2934355.65050569</v>
      </c>
      <c r="AO269" s="1">
        <f t="shared" si="382"/>
        <v>125153921.835885</v>
      </c>
      <c r="AP269" s="1">
        <f>IF(AO269="","",_xlfn.XLOOKUP(AO269,_曲线基线!$E$3:$E$502,_曲线基线!$A$3:$A$502,500,1))</f>
        <v>305</v>
      </c>
      <c r="AQ269" s="15">
        <f t="shared" ref="AQ269:AQ290" si="385">IF(B269&lt;=2,1,IF(B269&lt;=6,2,IF(B269&lt;=9,3,IF(B269&lt;=19,4,5))))</f>
        <v>5</v>
      </c>
    </row>
    <row r="270" customHeight="1" spans="1:43">
      <c r="A270" s="1" t="str">
        <f>IFERROR(_xlfn.XLOOKUP(B270,_曲线基线!$G$3:$G$107,_曲线基线!$J$3:$J$107,""),"")</f>
        <v/>
      </c>
      <c r="B270" s="1">
        <v>259</v>
      </c>
      <c r="C270" s="1">
        <f t="shared" si="333"/>
        <v>18</v>
      </c>
      <c r="D270" s="1">
        <f t="shared" si="334"/>
        <v>10</v>
      </c>
      <c r="E270" s="1">
        <f t="shared" si="360"/>
        <v>1</v>
      </c>
      <c r="F270" s="11">
        <f t="shared" si="383"/>
        <v>5</v>
      </c>
      <c r="G270" s="12">
        <f t="shared" ref="G270:L270" si="386">IF($B270&lt;G$8,0,G$3+(G$4-G$3)*(POWER(G$5,$B270-G$8)-1)/(POWER(G$5,$C$5-G$8)-1))</f>
        <v>0.89517213950515</v>
      </c>
      <c r="H270" s="12">
        <f t="shared" si="386"/>
        <v>0.69834348068845</v>
      </c>
      <c r="I270" s="12">
        <f t="shared" si="386"/>
        <v>0.645740808907054</v>
      </c>
      <c r="J270" s="12">
        <f t="shared" si="386"/>
        <v>0.598034735890444</v>
      </c>
      <c r="K270" s="12">
        <f t="shared" si="386"/>
        <v>0.641059853193832</v>
      </c>
      <c r="L270" s="12">
        <f t="shared" si="386"/>
        <v>0.698309510193787</v>
      </c>
      <c r="M270" s="2">
        <f>E270*模块规划!$F$10+G270*模块规划!$F$11+H270*模块规划!$F$13</f>
        <v>5296.82626962472</v>
      </c>
      <c r="N270" s="2">
        <f>I270*模块规划!$F$15+J270*模块规划!$F$17+K270*模块规划!$F$16+L270*模块规划!$F$18</f>
        <v>18484.1805002928</v>
      </c>
      <c r="O270" s="2">
        <f t="shared" si="362"/>
        <v>3.40841129660083</v>
      </c>
      <c r="P270" s="13">
        <f t="shared" si="363"/>
        <v>36537.9429938137</v>
      </c>
      <c r="Q270" s="7">
        <f>P270/(P270+_曲线基线!$L$2)</f>
        <v>0.603554418714681</v>
      </c>
      <c r="R270" s="2">
        <f>E270*模块规划!$E$10+G270*模块规划!$E$11+H270*模块规划!$E$13</f>
        <v>7945.23940443708</v>
      </c>
      <c r="S270" s="2">
        <f>I270*模块规划!$E$15+J270*模块规划!$E$17+K270*模块规划!$E$16+L270*模块规划!$E$18</f>
        <v>27726.2707504392</v>
      </c>
      <c r="T270" s="2">
        <f t="shared" si="364"/>
        <v>3.40841129660083</v>
      </c>
      <c r="U270" s="13">
        <f t="shared" si="365"/>
        <v>54806.9144907206</v>
      </c>
      <c r="V270" s="2">
        <f t="shared" si="366"/>
        <v>0.909503044206535</v>
      </c>
      <c r="W270" s="2">
        <f t="shared" si="367"/>
        <v>0.27933739227538</v>
      </c>
      <c r="X270" s="2">
        <f t="shared" si="368"/>
        <v>0.467044457189324</v>
      </c>
      <c r="Y270" s="2">
        <f t="shared" si="369"/>
        <v>1</v>
      </c>
      <c r="Z270" s="2">
        <f t="shared" si="370"/>
        <v>1</v>
      </c>
      <c r="AA270" s="2">
        <f t="shared" si="371"/>
        <v>1</v>
      </c>
      <c r="AB270" s="2">
        <f t="shared" si="372"/>
        <v>1</v>
      </c>
      <c r="AC270" s="2">
        <f t="shared" si="373"/>
        <v>1</v>
      </c>
      <c r="AD270" s="1">
        <f t="shared" si="374"/>
        <v>1.89120284672025</v>
      </c>
      <c r="AE270" s="2">
        <f t="shared" si="375"/>
        <v>1</v>
      </c>
      <c r="AF270" s="2">
        <f t="shared" si="376"/>
        <v>1.21256423589432</v>
      </c>
      <c r="AG270" s="2">
        <f t="shared" si="377"/>
        <v>1.37671106250161</v>
      </c>
      <c r="AH270" s="2">
        <f>MIN(1,_曲线基线!$L$3+AH$9*($H$10*H270+$I$10*I270+$J$10*J270+$K$10*K270+$L$10*L270))</f>
        <v>0.533583636659588</v>
      </c>
      <c r="AI270" s="2">
        <f>_曲线基线!$L$4+AI$9*($H$10*H270+$I$10*I270+$J$10*J270+$K$10*K270+$L$10*L270)</f>
        <v>3.34712584498028</v>
      </c>
      <c r="AJ270" s="2">
        <f t="shared" si="378"/>
        <v>2.10533402665049</v>
      </c>
      <c r="AK270" s="1">
        <f t="shared" si="379"/>
        <v>4.74202897985167</v>
      </c>
      <c r="AL270" s="1">
        <f t="shared" si="380"/>
        <v>2457580.05598288</v>
      </c>
      <c r="AM270" s="14">
        <f t="shared" si="381"/>
        <v>51.1486343559827</v>
      </c>
      <c r="AN270" s="14">
        <f>(((E270*模块规划!$D$10+G270*模块规划!$D$11+H270*模块规划!$D$13)*(1+模块规划!$G$14*H270)+(I270*模块规划!$D$15+J270*模块规划!$D$17+K270*模块规划!$D$16+L270*模块规划!$D$18))*(1+模块规划!$J$17*J270))*F270/(1-Q270)</f>
        <v>2936434.27667212</v>
      </c>
      <c r="AO270" s="1">
        <f t="shared" si="382"/>
        <v>125701863.684024</v>
      </c>
      <c r="AP270" s="1">
        <f>IF(AO270="","",_xlfn.XLOOKUP(AO270,_曲线基线!$E$3:$E$502,_曲线基线!$A$3:$A$502,500,1))</f>
        <v>306</v>
      </c>
      <c r="AQ270" s="15">
        <f t="shared" si="385"/>
        <v>5</v>
      </c>
    </row>
    <row r="271" customHeight="1" spans="1:43">
      <c r="A271" s="1" t="str">
        <f>IFERROR(_xlfn.XLOOKUP(B271,_曲线基线!$G$3:$G$107,_曲线基线!$J$3:$J$107,""),"")</f>
        <v/>
      </c>
      <c r="B271" s="1">
        <v>260</v>
      </c>
      <c r="C271" s="1">
        <f t="shared" si="333"/>
        <v>18</v>
      </c>
      <c r="D271" s="1">
        <f t="shared" si="334"/>
        <v>11</v>
      </c>
      <c r="E271" s="1">
        <f t="shared" si="360"/>
        <v>1</v>
      </c>
      <c r="F271" s="11">
        <f t="shared" si="383"/>
        <v>5</v>
      </c>
      <c r="G271" s="12">
        <f t="shared" ref="G271:L271" si="387">IF($B271&lt;G$8,0,G$3+(G$4-G$3)*(POWER(G$5,$B271-G$8)-1)/(POWER(G$5,$C$5-G$8)-1))</f>
        <v>0.895449747867068</v>
      </c>
      <c r="H271" s="12">
        <f t="shared" si="387"/>
        <v>0.698443153314193</v>
      </c>
      <c r="I271" s="12">
        <f t="shared" si="387"/>
        <v>0.645997084071981</v>
      </c>
      <c r="J271" s="12">
        <f t="shared" si="387"/>
        <v>0.598152985664359</v>
      </c>
      <c r="K271" s="12">
        <f t="shared" si="387"/>
        <v>0.641597781064929</v>
      </c>
      <c r="L271" s="12">
        <f t="shared" si="387"/>
        <v>0.698411226821297</v>
      </c>
      <c r="M271" s="2">
        <f>E271*模块规划!$F$10+G271*模块规划!$F$11+H271*模块规划!$F$13</f>
        <v>5298.15878976193</v>
      </c>
      <c r="N271" s="2">
        <f>I271*模块规划!$F$15+J271*模块规划!$F$17+K271*模块规划!$F$16+L271*模块规划!$F$18</f>
        <v>18491.1493497155</v>
      </c>
      <c r="O271" s="2">
        <f t="shared" si="362"/>
        <v>3.40918035017995</v>
      </c>
      <c r="P271" s="13">
        <f t="shared" si="363"/>
        <v>36553.5281879051</v>
      </c>
      <c r="Q271" s="7">
        <f>P271/(P271+_曲线基线!$L$2)</f>
        <v>0.603656455400501</v>
      </c>
      <c r="R271" s="2">
        <f>E271*模块规划!$E$10+G271*模块规划!$E$11+H271*模块规划!$E$13</f>
        <v>7947.23818464289</v>
      </c>
      <c r="S271" s="2">
        <f>I271*模块规划!$E$15+J271*模块规划!$E$17+K271*模块规划!$E$16+L271*模块规划!$E$18</f>
        <v>27736.7240245732</v>
      </c>
      <c r="T271" s="2">
        <f t="shared" si="364"/>
        <v>3.40918035017995</v>
      </c>
      <c r="U271" s="13">
        <f t="shared" si="365"/>
        <v>54830.2922818576</v>
      </c>
      <c r="V271" s="2">
        <f t="shared" si="366"/>
        <v>0.909532945994258</v>
      </c>
      <c r="W271" s="2">
        <f t="shared" si="367"/>
        <v>0.279377261325677</v>
      </c>
      <c r="X271" s="2">
        <f t="shared" si="368"/>
        <v>0.467071867161403</v>
      </c>
      <c r="Y271" s="2">
        <f t="shared" si="369"/>
        <v>1</v>
      </c>
      <c r="Z271" s="2">
        <f t="shared" si="370"/>
        <v>1</v>
      </c>
      <c r="AA271" s="2">
        <f t="shared" si="371"/>
        <v>1</v>
      </c>
      <c r="AB271" s="2">
        <f t="shared" si="372"/>
        <v>1</v>
      </c>
      <c r="AC271" s="2">
        <f t="shared" si="373"/>
        <v>1</v>
      </c>
      <c r="AD271" s="1">
        <f t="shared" si="374"/>
        <v>1.89139397560548</v>
      </c>
      <c r="AE271" s="2">
        <f t="shared" si="375"/>
        <v>1</v>
      </c>
      <c r="AF271" s="2">
        <f t="shared" si="376"/>
        <v>1.21263211187823</v>
      </c>
      <c r="AG271" s="2">
        <f t="shared" si="377"/>
        <v>1.37683135382865</v>
      </c>
      <c r="AH271" s="2">
        <f>MIN(1,_曲线基线!$L$3+AH$9*($H$10*H271+$I$10*I271+$J$10*J271+$K$10*K271+$L$10*L271))</f>
        <v>0.533738054522975</v>
      </c>
      <c r="AI271" s="2">
        <f>_曲线基线!$L$4+AI$9*($H$10*H271+$I$10*I271+$J$10*J271+$K$10*K271+$L$10*L271)</f>
        <v>3.34755600902829</v>
      </c>
      <c r="AJ271" s="2">
        <f t="shared" si="378"/>
        <v>2.1056869817668</v>
      </c>
      <c r="AK271" s="1">
        <f t="shared" si="379"/>
        <v>4.74407060805017</v>
      </c>
      <c r="AL271" s="1">
        <f t="shared" si="380"/>
        <v>2459935.44868238</v>
      </c>
      <c r="AM271" s="14">
        <f t="shared" si="381"/>
        <v>51.3235453394644</v>
      </c>
      <c r="AN271" s="14">
        <f>(((E271*模块规划!$D$10+G271*模块规划!$D$11+H271*模块规划!$D$13)*(1+模块规划!$G$14*H271)+(I271*模块规划!$D$15+J271*模块规划!$D$17+K271*模块规划!$D$16+L271*模块规划!$D$18))*(1+模块规划!$J$17*J271))*F271/(1-Q271)</f>
        <v>2938474.60867522</v>
      </c>
      <c r="AO271" s="1">
        <f t="shared" si="382"/>
        <v>126252608.532606</v>
      </c>
      <c r="AP271" s="1">
        <f>IF(AO271="","",_xlfn.XLOOKUP(AO271,_曲线基线!$E$3:$E$502,_曲线基线!$A$3:$A$502,500,1))</f>
        <v>306</v>
      </c>
      <c r="AQ271" s="15">
        <f t="shared" si="385"/>
        <v>5</v>
      </c>
    </row>
    <row r="272" customHeight="1" spans="1:43">
      <c r="A272" s="1" t="str">
        <f>IFERROR(_xlfn.XLOOKUP(B272,_曲线基线!$G$3:$G$107,_曲线基线!$J$3:$J$107,""),"")</f>
        <v/>
      </c>
      <c r="B272" s="1">
        <v>261</v>
      </c>
      <c r="C272" s="1">
        <f t="shared" si="333"/>
        <v>18</v>
      </c>
      <c r="D272" s="1">
        <f t="shared" si="334"/>
        <v>12</v>
      </c>
      <c r="E272" s="1">
        <f t="shared" si="360"/>
        <v>1</v>
      </c>
      <c r="F272" s="11">
        <f t="shared" si="383"/>
        <v>5</v>
      </c>
      <c r="G272" s="12">
        <f t="shared" ref="G272:L272" si="388">IF($B272&lt;G$8,0,G$3+(G$4-G$3)*(POWER(G$5,$B272-G$8)-1)/(POWER(G$5,$C$5-G$8)-1))</f>
        <v>0.895723192103558</v>
      </c>
      <c r="H272" s="12">
        <f t="shared" si="388"/>
        <v>0.69854083248742</v>
      </c>
      <c r="I272" s="12">
        <f t="shared" si="388"/>
        <v>0.64624823373361</v>
      </c>
      <c r="J272" s="12">
        <f t="shared" si="388"/>
        <v>0.598268870442796</v>
      </c>
      <c r="K272" s="12">
        <f t="shared" si="388"/>
        <v>0.642124950378604</v>
      </c>
      <c r="L272" s="12">
        <f t="shared" si="388"/>
        <v>0.698510909116256</v>
      </c>
      <c r="M272" s="2">
        <f>E272*模块规划!$F$10+G272*模块规划!$F$11+H272*模块规划!$F$13</f>
        <v>5299.47132209708</v>
      </c>
      <c r="N272" s="2">
        <f>I272*模块规划!$F$15+J272*模块规划!$F$17+K272*模块规划!$F$16+L272*模块规划!$F$18</f>
        <v>18497.9788221497</v>
      </c>
      <c r="O272" s="2">
        <f t="shared" si="362"/>
        <v>3.40993402268749</v>
      </c>
      <c r="P272" s="13">
        <f t="shared" si="363"/>
        <v>36568.8263856252</v>
      </c>
      <c r="Q272" s="7">
        <f>P272/(P272+_曲线基线!$L$2)</f>
        <v>0.603756562044004</v>
      </c>
      <c r="R272" s="2">
        <f>E272*模块规划!$E$10+G272*模块规划!$E$11+H272*模块规划!$E$13</f>
        <v>7949.20698314562</v>
      </c>
      <c r="S272" s="2">
        <f>I272*模块规划!$E$15+J272*模块规划!$E$17+K272*模块规划!$E$16+L272*模块规划!$E$18</f>
        <v>27746.9682332246</v>
      </c>
      <c r="T272" s="2">
        <f t="shared" si="364"/>
        <v>3.40993402268749</v>
      </c>
      <c r="U272" s="13">
        <f t="shared" si="365"/>
        <v>54853.2395784378</v>
      </c>
      <c r="V272" s="2">
        <f t="shared" si="366"/>
        <v>0.909562249746226</v>
      </c>
      <c r="W272" s="2">
        <f t="shared" si="367"/>
        <v>0.279416332994968</v>
      </c>
      <c r="X272" s="2">
        <f t="shared" si="368"/>
        <v>0.467098728934041</v>
      </c>
      <c r="Y272" s="2">
        <f t="shared" si="369"/>
        <v>1</v>
      </c>
      <c r="Z272" s="2">
        <f t="shared" si="370"/>
        <v>1</v>
      </c>
      <c r="AA272" s="2">
        <f t="shared" si="371"/>
        <v>1</v>
      </c>
      <c r="AB272" s="2">
        <f t="shared" si="372"/>
        <v>1</v>
      </c>
      <c r="AC272" s="2">
        <f t="shared" si="373"/>
        <v>1</v>
      </c>
      <c r="AD272" s="1">
        <f t="shared" si="374"/>
        <v>1.89158129356187</v>
      </c>
      <c r="AE272" s="2">
        <f t="shared" si="375"/>
        <v>1</v>
      </c>
      <c r="AF272" s="2">
        <f t="shared" si="376"/>
        <v>1.21269863034246</v>
      </c>
      <c r="AG272" s="2">
        <f t="shared" si="377"/>
        <v>1.37694923932914</v>
      </c>
      <c r="AH272" s="2">
        <f>MIN(1,_曲线基线!$L$3+AH$9*($H$10*H272+$I$10*I272+$J$10*J272+$K$10*K272+$L$10*L272))</f>
        <v>0.533889384029093</v>
      </c>
      <c r="AI272" s="2">
        <f>_曲线基线!$L$4+AI$9*($H$10*H272+$I$10*I272+$J$10*J272+$K$10*K272+$L$10*L272)</f>
        <v>3.34797756979533</v>
      </c>
      <c r="AJ272" s="2">
        <f t="shared" si="378"/>
        <v>2.10603287778078</v>
      </c>
      <c r="AK272" s="1">
        <f t="shared" si="379"/>
        <v>4.74607208060172</v>
      </c>
      <c r="AL272" s="1">
        <f t="shared" si="380"/>
        <v>2462247.05254735</v>
      </c>
      <c r="AM272" s="14">
        <f t="shared" si="381"/>
        <v>51.5002054327809</v>
      </c>
      <c r="AN272" s="14">
        <f>(((E272*模块规划!$D$10+G272*模块规划!$D$11+H272*模块规划!$D$13)*(1+模块规划!$G$14*H272)+(I272*模块规划!$D$15+J272*模块规划!$D$17+K272*模块规划!$D$16+L272*模块规划!$D$18))*(1+模块规划!$J$17*J272))*F272/(1-Q272)</f>
        <v>2940477.3432713</v>
      </c>
      <c r="AO272" s="1">
        <f t="shared" si="382"/>
        <v>126806229.032448</v>
      </c>
      <c r="AP272" s="1">
        <f>IF(AO272="","",_xlfn.XLOOKUP(AO272,_曲线基线!$E$3:$E$502,_曲线基线!$A$3:$A$502,500,1))</f>
        <v>306</v>
      </c>
      <c r="AQ272" s="15">
        <f t="shared" si="385"/>
        <v>5</v>
      </c>
    </row>
    <row r="273" customHeight="1" spans="1:43">
      <c r="A273" s="1" t="str">
        <f>IFERROR(_xlfn.XLOOKUP(B273,_曲线基线!$G$3:$G$107,_曲线基线!$J$3:$J$107,""),"")</f>
        <v/>
      </c>
      <c r="B273" s="1">
        <v>262</v>
      </c>
      <c r="C273" s="1">
        <f t="shared" si="333"/>
        <v>18</v>
      </c>
      <c r="D273" s="1">
        <f t="shared" si="334"/>
        <v>13</v>
      </c>
      <c r="E273" s="1">
        <f t="shared" si="360"/>
        <v>1</v>
      </c>
      <c r="F273" s="11">
        <f t="shared" si="383"/>
        <v>5</v>
      </c>
      <c r="G273" s="12">
        <f t="shared" ref="G273:L273" si="389">IF($B273&lt;G$8,0,G$3+(G$4-G$3)*(POWER(G$5,$B273-G$8)-1)/(POWER(G$5,$C$5-G$8)-1))</f>
        <v>0.895992534676501</v>
      </c>
      <c r="H273" s="12">
        <f t="shared" si="389"/>
        <v>0.698636558077183</v>
      </c>
      <c r="I273" s="12">
        <f t="shared" si="389"/>
        <v>0.646494360402006</v>
      </c>
      <c r="J273" s="12">
        <f t="shared" si="389"/>
        <v>0.598382437525664</v>
      </c>
      <c r="K273" s="12">
        <f t="shared" si="389"/>
        <v>0.642641576306005</v>
      </c>
      <c r="L273" s="12">
        <f t="shared" si="389"/>
        <v>0.698608597765317</v>
      </c>
      <c r="M273" s="2">
        <f>E273*模块规划!$F$10+G273*模块规划!$F$11+H273*模块规划!$F$13</f>
        <v>5300.7641664472</v>
      </c>
      <c r="N273" s="2">
        <f>I273*模块规划!$F$15+J273*模块规划!$F$17+K273*模块规划!$F$16+L273*模块规划!$F$18</f>
        <v>18504.6717051353</v>
      </c>
      <c r="O273" s="2">
        <f t="shared" si="362"/>
        <v>3.41067262174487</v>
      </c>
      <c r="P273" s="13">
        <f t="shared" si="363"/>
        <v>36583.842921963</v>
      </c>
      <c r="Q273" s="7">
        <f>P273/(P273+_曲线基线!$L$2)</f>
        <v>0.603854776414333</v>
      </c>
      <c r="R273" s="2">
        <f>E273*模块规划!$E$10+G273*模块规划!$E$11+H273*模块规划!$E$13</f>
        <v>7951.1462496708</v>
      </c>
      <c r="S273" s="2">
        <f>I273*模块规划!$E$15+J273*模块规划!$E$17+K273*模块规划!$E$16+L273*模块规划!$E$18</f>
        <v>27757.007557703</v>
      </c>
      <c r="T273" s="2">
        <f t="shared" si="364"/>
        <v>3.41067262174487</v>
      </c>
      <c r="U273" s="13">
        <f t="shared" si="365"/>
        <v>54875.7643829446</v>
      </c>
      <c r="V273" s="2">
        <f t="shared" si="366"/>
        <v>0.909590967423155</v>
      </c>
      <c r="W273" s="2">
        <f t="shared" si="367"/>
        <v>0.279454623230873</v>
      </c>
      <c r="X273" s="2">
        <f t="shared" si="368"/>
        <v>0.467125053471225</v>
      </c>
      <c r="Y273" s="2">
        <f t="shared" si="369"/>
        <v>1</v>
      </c>
      <c r="Z273" s="2">
        <f t="shared" si="370"/>
        <v>1</v>
      </c>
      <c r="AA273" s="2">
        <f t="shared" si="371"/>
        <v>1</v>
      </c>
      <c r="AB273" s="2">
        <f t="shared" si="372"/>
        <v>1</v>
      </c>
      <c r="AC273" s="2">
        <f t="shared" si="373"/>
        <v>1</v>
      </c>
      <c r="AD273" s="1">
        <f t="shared" si="374"/>
        <v>1.89176487634671</v>
      </c>
      <c r="AE273" s="2">
        <f t="shared" si="375"/>
        <v>1</v>
      </c>
      <c r="AF273" s="2">
        <f t="shared" si="376"/>
        <v>1.2127638184374</v>
      </c>
      <c r="AG273" s="2">
        <f t="shared" si="377"/>
        <v>1.37706476711962</v>
      </c>
      <c r="AH273" s="2">
        <f>MIN(1,_曲线基线!$L$3+AH$9*($H$10*H273+$I$10*I273+$J$10*J273+$K$10*K273+$L$10*L273))</f>
        <v>0.534037686945089</v>
      </c>
      <c r="AI273" s="2">
        <f>_曲线基线!$L$4+AI$9*($H$10*H273+$I$10*I273+$J$10*J273+$K$10*K273+$L$10*L273)</f>
        <v>3.34839069934703</v>
      </c>
      <c r="AJ273" s="2">
        <f t="shared" si="378"/>
        <v>2.10637185587449</v>
      </c>
      <c r="AK273" s="1">
        <f t="shared" si="379"/>
        <v>4.7480341739418</v>
      </c>
      <c r="AL273" s="1">
        <f t="shared" si="380"/>
        <v>2464515.65392785</v>
      </c>
      <c r="AM273" s="14">
        <f t="shared" si="381"/>
        <v>51.6786321270306</v>
      </c>
      <c r="AN273" s="14">
        <f>(((E273*模块规划!$D$10+G273*模块规划!$D$11+H273*模块规划!$D$13)*(1+模块规划!$G$14*H273)+(I273*模块规划!$D$15+J273*模块规划!$D$17+K273*模块规划!$D$16+L273*模块规划!$D$18))*(1+模块规划!$J$17*J273))*F273/(1-Q273)</f>
        <v>2942443.16506058</v>
      </c>
      <c r="AO273" s="1">
        <f t="shared" si="382"/>
        <v>127362797.850646</v>
      </c>
      <c r="AP273" s="1">
        <f>IF(AO273="","",_xlfn.XLOOKUP(AO273,_曲线基线!$E$3:$E$502,_曲线基线!$A$3:$A$502,500,1))</f>
        <v>307</v>
      </c>
      <c r="AQ273" s="15">
        <f t="shared" si="385"/>
        <v>5</v>
      </c>
    </row>
    <row r="274" customHeight="1" spans="1:43">
      <c r="A274" s="1" t="str">
        <f>IFERROR(_xlfn.XLOOKUP(B274,_曲线基线!$G$3:$G$107,_曲线基线!$J$3:$J$107,""),"")</f>
        <v/>
      </c>
      <c r="B274" s="1">
        <v>263</v>
      </c>
      <c r="C274" s="1">
        <f t="shared" si="333"/>
        <v>18</v>
      </c>
      <c r="D274" s="1">
        <f t="shared" si="334"/>
        <v>14</v>
      </c>
      <c r="E274" s="1">
        <f t="shared" si="360"/>
        <v>1</v>
      </c>
      <c r="F274" s="11">
        <f t="shared" si="383"/>
        <v>5</v>
      </c>
      <c r="G274" s="12">
        <f t="shared" ref="G274:L274" si="390">IF($B274&lt;G$8,0,G$3+(G$4-G$3)*(POWER(G$5,$B274-G$8)-1)/(POWER(G$5,$C$5-G$8)-1))</f>
        <v>0.896257837110849</v>
      </c>
      <c r="H274" s="12">
        <f t="shared" si="390"/>
        <v>0.698730369155151</v>
      </c>
      <c r="I274" s="12">
        <f t="shared" si="390"/>
        <v>0.646735564537034</v>
      </c>
      <c r="J274" s="12">
        <f t="shared" si="390"/>
        <v>0.598493733266875</v>
      </c>
      <c r="K274" s="12">
        <f t="shared" si="390"/>
        <v>0.643147869714858</v>
      </c>
      <c r="L274" s="12">
        <f t="shared" si="390"/>
        <v>0.698704332641396</v>
      </c>
      <c r="M274" s="2">
        <f>E274*模块规划!$F$10+G274*模块规划!$F$11+H274*模块规划!$F$13</f>
        <v>5302.03761813208</v>
      </c>
      <c r="N274" s="2">
        <f>I274*模块规划!$F$15+J274*模块规划!$F$17+K274*模块规划!$F$16+L274*模块规划!$F$18</f>
        <v>18511.2307304611</v>
      </c>
      <c r="O274" s="2">
        <f t="shared" si="362"/>
        <v>3.41139644882111</v>
      </c>
      <c r="P274" s="13">
        <f t="shared" si="363"/>
        <v>36598.5830324729</v>
      </c>
      <c r="Q274" s="7">
        <f>P274/(P274+_曲线基线!$L$2)</f>
        <v>0.603951135505278</v>
      </c>
      <c r="R274" s="2">
        <f>E274*模块规划!$E$10+G274*模块规划!$E$11+H274*模块规划!$E$13</f>
        <v>7953.05642719811</v>
      </c>
      <c r="S274" s="2">
        <f>I274*模块规划!$E$15+J274*模块规划!$E$17+K274*模块规划!$E$16+L274*模块规划!$E$18</f>
        <v>27766.8460956917</v>
      </c>
      <c r="T274" s="2">
        <f t="shared" si="364"/>
        <v>3.41139644882111</v>
      </c>
      <c r="U274" s="13">
        <f t="shared" si="365"/>
        <v>54897.8745487093</v>
      </c>
      <c r="V274" s="2">
        <f t="shared" si="366"/>
        <v>0.909619110746545</v>
      </c>
      <c r="W274" s="2">
        <f t="shared" si="367"/>
        <v>0.27949214766206</v>
      </c>
      <c r="X274" s="2">
        <f t="shared" si="368"/>
        <v>0.467150851517666</v>
      </c>
      <c r="Y274" s="2">
        <f t="shared" si="369"/>
        <v>1</v>
      </c>
      <c r="Z274" s="2">
        <f t="shared" si="370"/>
        <v>1</v>
      </c>
      <c r="AA274" s="2">
        <f t="shared" si="371"/>
        <v>1</v>
      </c>
      <c r="AB274" s="2">
        <f t="shared" si="372"/>
        <v>1</v>
      </c>
      <c r="AC274" s="2">
        <f t="shared" si="373"/>
        <v>1</v>
      </c>
      <c r="AD274" s="1">
        <f t="shared" si="374"/>
        <v>1.89194479822039</v>
      </c>
      <c r="AE274" s="2">
        <f t="shared" si="375"/>
        <v>1</v>
      </c>
      <c r="AF274" s="2">
        <f t="shared" si="376"/>
        <v>1.21282770277045</v>
      </c>
      <c r="AG274" s="2">
        <f t="shared" si="377"/>
        <v>1.37717798435429</v>
      </c>
      <c r="AH274" s="2">
        <f>MIN(1,_曲线基线!$L$3+AH$9*($H$10*H274+$I$10*I274+$J$10*J274+$K$10*K274+$L$10*L274))</f>
        <v>0.534183023802766</v>
      </c>
      <c r="AI274" s="2">
        <f>_曲线基线!$L$4+AI$9*($H$10*H274+$I$10*I274+$J$10*J274+$K$10*K274+$L$10*L274)</f>
        <v>3.3487955663077</v>
      </c>
      <c r="AJ274" s="2">
        <f t="shared" si="378"/>
        <v>2.10670405440632</v>
      </c>
      <c r="AK274" s="1">
        <f t="shared" si="379"/>
        <v>4.74995765002608</v>
      </c>
      <c r="AL274" s="1">
        <f t="shared" si="380"/>
        <v>2466742.02627728</v>
      </c>
      <c r="AM274" s="14">
        <f t="shared" si="381"/>
        <v>51.8588430882228</v>
      </c>
      <c r="AN274" s="14">
        <f>(((E274*模块规划!$D$10+G274*模块规划!$D$11+H274*模块规划!$D$13)*(1+模块规划!$G$14*H274)+(I274*模块规划!$D$15+J274*模块规划!$D$17+K274*模块规划!$D$16+L274*模块规划!$D$18))*(1+模块规划!$J$17*J274))*F274/(1-Q274)</f>
        <v>2944372.74667614</v>
      </c>
      <c r="AO274" s="1">
        <f t="shared" si="382"/>
        <v>127922387.679838</v>
      </c>
      <c r="AP274" s="1">
        <f>IF(AO274="","",_xlfn.XLOOKUP(AO274,_曲线基线!$E$3:$E$502,_曲线基线!$A$3:$A$502,500,1))</f>
        <v>307</v>
      </c>
      <c r="AQ274" s="15">
        <f t="shared" si="385"/>
        <v>5</v>
      </c>
    </row>
    <row r="275" customHeight="1" spans="1:43">
      <c r="A275" s="1" t="str">
        <f>IFERROR(_xlfn.XLOOKUP(B275,_曲线基线!$G$3:$G$107,_曲线基线!$J$3:$J$107,""),"")</f>
        <v/>
      </c>
      <c r="B275" s="1">
        <v>264</v>
      </c>
      <c r="C275" s="1">
        <f t="shared" si="333"/>
        <v>18</v>
      </c>
      <c r="D275" s="1">
        <f t="shared" si="334"/>
        <v>15</v>
      </c>
      <c r="E275" s="1">
        <f t="shared" si="360"/>
        <v>1</v>
      </c>
      <c r="F275" s="11">
        <f t="shared" si="383"/>
        <v>5</v>
      </c>
      <c r="G275" s="12">
        <f t="shared" ref="G275:L275" si="391">IF($B275&lt;G$8,0,G$3+(G$4-G$3)*(POWER(G$5,$B275-G$8)-1)/(POWER(G$5,$C$5-G$8)-1))</f>
        <v>0.896519160008682</v>
      </c>
      <c r="H275" s="12">
        <f t="shared" si="391"/>
        <v>0.698822304011559</v>
      </c>
      <c r="I275" s="12">
        <f t="shared" si="391"/>
        <v>0.646971944589361</v>
      </c>
      <c r="J275" s="12">
        <f t="shared" si="391"/>
        <v>0.598602803093261</v>
      </c>
      <c r="K275" s="12">
        <f t="shared" si="391"/>
        <v>0.643644037255535</v>
      </c>
      <c r="L275" s="12">
        <f t="shared" si="391"/>
        <v>0.698798152819954</v>
      </c>
      <c r="M275" s="2">
        <f>E275*模块规划!$F$10+G275*模块规划!$F$11+H275*模块规划!$F$13</f>
        <v>5303.29196804167</v>
      </c>
      <c r="N275" s="2">
        <f>I275*模块规划!$F$15+J275*模块规划!$F$17+K275*模块规划!$F$16+L275*模块规划!$F$18</f>
        <v>18517.6585752805</v>
      </c>
      <c r="O275" s="2">
        <f t="shared" si="362"/>
        <v>3.41210579935583</v>
      </c>
      <c r="P275" s="13">
        <f t="shared" si="363"/>
        <v>36613.0518551127</v>
      </c>
      <c r="Q275" s="7">
        <f>P275/(P275+_曲线基线!$L$2)</f>
        <v>0.604045675552375</v>
      </c>
      <c r="R275" s="2">
        <f>E275*模块规划!$E$10+G275*模块规划!$E$11+H275*模块规划!$E$13</f>
        <v>7954.93795206251</v>
      </c>
      <c r="S275" s="2">
        <f>I275*模块规划!$E$15+J275*模块规划!$E$17+K275*模块规划!$E$16+L275*模块规划!$E$18</f>
        <v>27776.4878629207</v>
      </c>
      <c r="T275" s="2">
        <f t="shared" si="364"/>
        <v>3.41210579935583</v>
      </c>
      <c r="U275" s="13">
        <f t="shared" si="365"/>
        <v>54919.577782669</v>
      </c>
      <c r="V275" s="2">
        <f t="shared" si="366"/>
        <v>0.909646691203468</v>
      </c>
      <c r="W275" s="2">
        <f t="shared" si="367"/>
        <v>0.279528921604624</v>
      </c>
      <c r="X275" s="2">
        <f t="shared" si="368"/>
        <v>0.467176133603179</v>
      </c>
      <c r="Y275" s="2">
        <f t="shared" si="369"/>
        <v>1</v>
      </c>
      <c r="Z275" s="2">
        <f t="shared" si="370"/>
        <v>1</v>
      </c>
      <c r="AA275" s="2">
        <f t="shared" si="371"/>
        <v>1</v>
      </c>
      <c r="AB275" s="2">
        <f t="shared" si="372"/>
        <v>1</v>
      </c>
      <c r="AC275" s="2">
        <f t="shared" si="373"/>
        <v>1</v>
      </c>
      <c r="AD275" s="1">
        <f t="shared" si="374"/>
        <v>1.89212113197566</v>
      </c>
      <c r="AE275" s="2">
        <f t="shared" si="375"/>
        <v>1</v>
      </c>
      <c r="AF275" s="2">
        <f t="shared" si="376"/>
        <v>1.21289030941683</v>
      </c>
      <c r="AG275" s="2">
        <f t="shared" si="377"/>
        <v>1.37728893724427</v>
      </c>
      <c r="AH275" s="2">
        <f>MIN(1,_曲线基线!$L$3+AH$9*($H$10*H275+$I$10*I275+$J$10*J275+$K$10*K275+$L$10*L275))</f>
        <v>0.534325453923289</v>
      </c>
      <c r="AI275" s="2">
        <f>_曲线基线!$L$4+AI$9*($H$10*H275+$I$10*I275+$J$10*J275+$K$10*K275+$L$10*L275)</f>
        <v>3.34919233592916</v>
      </c>
      <c r="AJ275" s="2">
        <f t="shared" si="378"/>
        <v>2.10702960896752</v>
      </c>
      <c r="AK275" s="1">
        <f t="shared" si="379"/>
        <v>4.75184325657888</v>
      </c>
      <c r="AL275" s="1">
        <f t="shared" si="380"/>
        <v>2468926.93031261</v>
      </c>
      <c r="AM275" s="14">
        <f t="shared" si="381"/>
        <v>52.0408561590269</v>
      </c>
      <c r="AN275" s="14">
        <f>(((E275*模块规划!$D$10+G275*模块规划!$D$11+H275*模块规划!$D$13)*(1+模块规划!$G$14*H275)+(I275*模块规划!$D$15+J275*模块规划!$D$17+K275*模块规划!$D$16+L275*模块规划!$D$18))*(1+模块规划!$J$17*J275))*F275/(1-Q275)</f>
        <v>2946266.74897081</v>
      </c>
      <c r="AO275" s="1">
        <f t="shared" si="382"/>
        <v>128485071.247547</v>
      </c>
      <c r="AP275" s="1">
        <f>IF(AO275="","",_xlfn.XLOOKUP(AO275,_曲线基线!$E$3:$E$502,_曲线基线!$A$3:$A$502,500,1))</f>
        <v>308</v>
      </c>
      <c r="AQ275" s="15">
        <f t="shared" si="385"/>
        <v>5</v>
      </c>
    </row>
    <row r="276" customHeight="1" spans="1:43">
      <c r="A276" s="1" t="str">
        <f>IFERROR(_xlfn.XLOOKUP(B276,_曲线基线!$G$3:$G$107,_曲线基线!$J$3:$J$107,""),"")</f>
        <v/>
      </c>
      <c r="B276" s="1">
        <v>265</v>
      </c>
      <c r="C276" s="1">
        <f t="shared" si="333"/>
        <v>19</v>
      </c>
      <c r="D276" s="1">
        <f t="shared" si="334"/>
        <v>1</v>
      </c>
      <c r="E276" s="1">
        <f t="shared" si="360"/>
        <v>1</v>
      </c>
      <c r="F276" s="11">
        <f t="shared" si="383"/>
        <v>5</v>
      </c>
      <c r="G276" s="12">
        <f t="shared" ref="G276:L276" si="392">IF($B276&lt;G$8,0,G$3+(G$4-G$3)*(POWER(G$5,$B276-G$8)-1)/(POWER(G$5,$C$5-G$8)-1))</f>
        <v>0.896776563063048</v>
      </c>
      <c r="H276" s="12">
        <f t="shared" si="392"/>
        <v>0.698912400170839</v>
      </c>
      <c r="I276" s="12">
        <f t="shared" si="392"/>
        <v>0.647203597040642</v>
      </c>
      <c r="J276" s="12">
        <f t="shared" si="392"/>
        <v>0.59870969152312</v>
      </c>
      <c r="K276" s="12">
        <f t="shared" si="392"/>
        <v>0.644130281445398</v>
      </c>
      <c r="L276" s="12">
        <f t="shared" si="392"/>
        <v>0.698890096594941</v>
      </c>
      <c r="M276" s="2">
        <f>E276*模块规划!$F$10+G276*模块规划!$F$11+H276*模块规划!$F$13</f>
        <v>5304.52750270263</v>
      </c>
      <c r="N276" s="2">
        <f>I276*模块规划!$F$15+J276*模块规划!$F$17+K276*模块规划!$F$16+L276*模块规划!$F$18</f>
        <v>18523.9578632034</v>
      </c>
      <c r="O276" s="2">
        <f t="shared" si="362"/>
        <v>3.41280096287985</v>
      </c>
      <c r="P276" s="13">
        <f t="shared" si="363"/>
        <v>36627.2544320496</v>
      </c>
      <c r="Q276" s="7">
        <f>P276/(P276+_曲线基线!$L$2)</f>
        <v>0.604138432049583</v>
      </c>
      <c r="R276" s="2">
        <f>E276*模块规划!$E$10+G276*模块规划!$E$11+H276*模块规划!$E$13</f>
        <v>7956.79125405394</v>
      </c>
      <c r="S276" s="2">
        <f>I276*模块规划!$E$15+J276*模块规划!$E$17+K276*模块规划!$E$16+L276*模块规划!$E$18</f>
        <v>27785.9367948051</v>
      </c>
      <c r="T276" s="2">
        <f t="shared" si="364"/>
        <v>3.41280096287985</v>
      </c>
      <c r="U276" s="13">
        <f t="shared" si="365"/>
        <v>54940.8816480744</v>
      </c>
      <c r="V276" s="2">
        <f t="shared" si="366"/>
        <v>0.909673720051252</v>
      </c>
      <c r="W276" s="2">
        <f t="shared" si="367"/>
        <v>0.279564960068336</v>
      </c>
      <c r="X276" s="2">
        <f t="shared" si="368"/>
        <v>0.467200910046981</v>
      </c>
      <c r="Y276" s="2">
        <f t="shared" si="369"/>
        <v>1</v>
      </c>
      <c r="Z276" s="2">
        <f t="shared" si="370"/>
        <v>1</v>
      </c>
      <c r="AA276" s="2">
        <f t="shared" si="371"/>
        <v>1</v>
      </c>
      <c r="AB276" s="2">
        <f t="shared" si="372"/>
        <v>1</v>
      </c>
      <c r="AC276" s="2">
        <f t="shared" si="373"/>
        <v>1</v>
      </c>
      <c r="AD276" s="1">
        <f t="shared" si="374"/>
        <v>1.89229394896625</v>
      </c>
      <c r="AE276" s="2">
        <f t="shared" si="375"/>
        <v>1</v>
      </c>
      <c r="AF276" s="2">
        <f t="shared" si="376"/>
        <v>1.21295166393029</v>
      </c>
      <c r="AG276" s="2">
        <f t="shared" si="377"/>
        <v>1.37739767107645</v>
      </c>
      <c r="AH276" s="2">
        <f>MIN(1,_曲线基线!$L$3+AH$9*($H$10*H276+$I$10*I276+$J$10*J276+$K$10*K276+$L$10*L276))</f>
        <v>0.534465035441401</v>
      </c>
      <c r="AI276" s="2">
        <f>_曲线基线!$L$4+AI$9*($H$10*H276+$I$10*I276+$J$10*J276+$K$10*K276+$L$10*L276)</f>
        <v>3.34958117015819</v>
      </c>
      <c r="AJ276" s="2">
        <f t="shared" si="378"/>
        <v>2.10734865243749</v>
      </c>
      <c r="AK276" s="1">
        <f t="shared" si="379"/>
        <v>4.75369172733833</v>
      </c>
      <c r="AL276" s="1">
        <f t="shared" si="380"/>
        <v>2471071.11417487</v>
      </c>
      <c r="AM276" s="14">
        <f t="shared" si="381"/>
        <v>52.224689360539</v>
      </c>
      <c r="AN276" s="14">
        <f>(((E276*模块规划!$D$10+G276*模块规划!$D$11+H276*模块规划!$D$13)*(1+模块规划!$G$14*H276)+(I276*模块规划!$D$15+J276*模块规划!$D$17+K276*模块规划!$D$16+L276*模块规划!$D$18))*(1+模块规划!$J$17*J276))*F276/(1-Q276)</f>
        <v>2948125.82120211</v>
      </c>
      <c r="AO276" s="1">
        <f t="shared" si="382"/>
        <v>129050921.325584</v>
      </c>
      <c r="AP276" s="1">
        <f>IF(AO276="","",_xlfn.XLOOKUP(AO276,_曲线基线!$E$3:$E$502,_曲线基线!$A$3:$A$502,500,1))</f>
        <v>308</v>
      </c>
      <c r="AQ276" s="15">
        <f t="shared" si="385"/>
        <v>5</v>
      </c>
    </row>
    <row r="277" customHeight="1" spans="1:43">
      <c r="A277" s="1" t="str">
        <f>IFERROR(_xlfn.XLOOKUP(B277,_曲线基线!$G$3:$G$107,_曲线基线!$J$3:$J$107,""),"")</f>
        <v/>
      </c>
      <c r="B277" s="1">
        <v>266</v>
      </c>
      <c r="C277" s="1">
        <f t="shared" si="333"/>
        <v>19</v>
      </c>
      <c r="D277" s="1">
        <f t="shared" si="334"/>
        <v>2</v>
      </c>
      <c r="E277" s="1">
        <f t="shared" si="360"/>
        <v>1</v>
      </c>
      <c r="F277" s="11">
        <f t="shared" si="383"/>
        <v>5</v>
      </c>
      <c r="G277" s="12">
        <f t="shared" ref="G277:L277" si="393">IF($B277&lt;G$8,0,G$3+(G$4-G$3)*(POWER(G$5,$B277-G$8)-1)/(POWER(G$5,$C$5-G$8)-1))</f>
        <v>0.897030105071598</v>
      </c>
      <c r="H277" s="12">
        <f t="shared" si="393"/>
        <v>0.699000694406934</v>
      </c>
      <c r="I277" s="12">
        <f t="shared" si="393"/>
        <v>0.647430616442898</v>
      </c>
      <c r="J277" s="12">
        <f t="shared" si="393"/>
        <v>0.598814442184381</v>
      </c>
      <c r="K277" s="12">
        <f t="shared" si="393"/>
        <v>0.644606800751463</v>
      </c>
      <c r="L277" s="12">
        <f t="shared" si="393"/>
        <v>0.698980201494427</v>
      </c>
      <c r="M277" s="2">
        <f>E277*模块规划!$F$10+G277*模块规划!$F$11+H277*模块规划!$F$13</f>
        <v>5305.74450434367</v>
      </c>
      <c r="N277" s="2">
        <f>I277*模块规划!$F$15+J277*模块规划!$F$17+K277*模块规划!$F$16+L277*模块规划!$F$18</f>
        <v>18530.1311653679</v>
      </c>
      <c r="O277" s="2">
        <f t="shared" si="362"/>
        <v>3.41348222313339</v>
      </c>
      <c r="P277" s="13">
        <f t="shared" si="363"/>
        <v>36641.1957114327</v>
      </c>
      <c r="Q277" s="7">
        <f>P277/(P277+_曲线基线!$L$2)</f>
        <v>0.604229439765561</v>
      </c>
      <c r="R277" s="2">
        <f>E277*模块规划!$E$10+G277*模块规划!$E$11+H277*模块规划!$E$13</f>
        <v>7958.6167565155</v>
      </c>
      <c r="S277" s="2">
        <f>I277*模块规划!$E$15+J277*模块规划!$E$17+K277*模块规划!$E$16+L277*模块规划!$E$18</f>
        <v>27795.1967480519</v>
      </c>
      <c r="T277" s="2">
        <f t="shared" si="364"/>
        <v>3.41348222313339</v>
      </c>
      <c r="U277" s="13">
        <f t="shared" si="365"/>
        <v>54961.793567149</v>
      </c>
      <c r="V277" s="2">
        <f t="shared" si="366"/>
        <v>0.90970020832208</v>
      </c>
      <c r="W277" s="2">
        <f t="shared" si="367"/>
        <v>0.279600277762774</v>
      </c>
      <c r="X277" s="2">
        <f t="shared" si="368"/>
        <v>0.467225190961907</v>
      </c>
      <c r="Y277" s="2">
        <f t="shared" si="369"/>
        <v>1</v>
      </c>
      <c r="Z277" s="2">
        <f t="shared" si="370"/>
        <v>1</v>
      </c>
      <c r="AA277" s="2">
        <f t="shared" si="371"/>
        <v>1</v>
      </c>
      <c r="AB277" s="2">
        <f t="shared" si="372"/>
        <v>1</v>
      </c>
      <c r="AC277" s="2">
        <f t="shared" si="373"/>
        <v>1</v>
      </c>
      <c r="AD277" s="1">
        <f t="shared" si="374"/>
        <v>1.89246331913501</v>
      </c>
      <c r="AE277" s="2">
        <f t="shared" si="375"/>
        <v>1</v>
      </c>
      <c r="AF277" s="2">
        <f t="shared" si="376"/>
        <v>1.21301179135347</v>
      </c>
      <c r="AG277" s="2">
        <f t="shared" si="377"/>
        <v>1.37750423023199</v>
      </c>
      <c r="AH277" s="2">
        <f>MIN(1,_曲线基线!$L$3+AH$9*($H$10*H277+$I$10*I277+$J$10*J277+$K$10*K277+$L$10*L277))</f>
        <v>0.534601825329151</v>
      </c>
      <c r="AI277" s="2">
        <f>_曲线基线!$L$4+AI$9*($H$10*H277+$I$10*I277+$J$10*J277+$K$10*K277+$L$10*L277)</f>
        <v>3.34996222770263</v>
      </c>
      <c r="AJ277" s="2">
        <f t="shared" si="378"/>
        <v>2.10766131503806</v>
      </c>
      <c r="AK277" s="1">
        <f t="shared" si="379"/>
        <v>4.75550378229812</v>
      </c>
      <c r="AL277" s="1">
        <f t="shared" si="380"/>
        <v>2473175.31358981</v>
      </c>
      <c r="AM277" s="14">
        <f t="shared" si="381"/>
        <v>52.4103608940663</v>
      </c>
      <c r="AN277" s="14">
        <f>(((E277*模块规划!$D$10+G277*模块规划!$D$11+H277*模块规划!$D$13)*(1+模块规划!$G$14*H277)+(I277*模块规划!$D$15+J277*模块规划!$D$17+K277*模块规划!$D$16+L277*模块规划!$D$18))*(1+模块规划!$J$17*J277))*F277/(1-Q277)</f>
        <v>2949950.60121526</v>
      </c>
      <c r="AO277" s="1">
        <f t="shared" si="382"/>
        <v>129620010.739538</v>
      </c>
      <c r="AP277" s="1">
        <f>IF(AO277="","",_xlfn.XLOOKUP(AO277,_曲线基线!$E$3:$E$502,_曲线基线!$A$3:$A$502,500,1))</f>
        <v>308</v>
      </c>
      <c r="AQ277" s="15">
        <f t="shared" si="385"/>
        <v>5</v>
      </c>
    </row>
    <row r="278" customHeight="1" spans="1:43">
      <c r="A278" s="1" t="str">
        <f>IFERROR(_xlfn.XLOOKUP(B278,_曲线基线!$G$3:$G$107,_曲线基线!$J$3:$J$107,""),"")</f>
        <v/>
      </c>
      <c r="B278" s="1">
        <v>267</v>
      </c>
      <c r="C278" s="1">
        <f t="shared" si="333"/>
        <v>19</v>
      </c>
      <c r="D278" s="1">
        <f t="shared" si="334"/>
        <v>3</v>
      </c>
      <c r="E278" s="1">
        <f t="shared" si="360"/>
        <v>1</v>
      </c>
      <c r="F278" s="11">
        <f t="shared" si="383"/>
        <v>5</v>
      </c>
      <c r="G278" s="12">
        <f t="shared" ref="G278:L278" si="394">IF($B278&lt;G$8,0,G$3+(G$4-G$3)*(POWER(G$5,$B278-G$8)-1)/(POWER(G$5,$C$5-G$8)-1))</f>
        <v>0.89727984395002</v>
      </c>
      <c r="H278" s="12">
        <f t="shared" si="394"/>
        <v>0.699087222758306</v>
      </c>
      <c r="I278" s="12">
        <f t="shared" si="394"/>
        <v>0.647653095457108</v>
      </c>
      <c r="J278" s="12">
        <f t="shared" si="394"/>
        <v>0.598917097832418</v>
      </c>
      <c r="K278" s="12">
        <f t="shared" si="394"/>
        <v>0.645073789671408</v>
      </c>
      <c r="L278" s="12">
        <f t="shared" si="394"/>
        <v>0.699068504295925</v>
      </c>
      <c r="M278" s="2">
        <f>E278*模块规划!$F$10+G278*模块规划!$F$11+H278*模块规划!$F$13</f>
        <v>5306.94325096009</v>
      </c>
      <c r="N278" s="2">
        <f>I278*模块规划!$F$15+J278*模块规划!$F$17+K278*模块规划!$F$16+L278*模块规划!$F$18</f>
        <v>18536.1810014891</v>
      </c>
      <c r="O278" s="2">
        <f t="shared" si="362"/>
        <v>3.41414985818185</v>
      </c>
      <c r="P278" s="13">
        <f t="shared" si="363"/>
        <v>36654.8805491336</v>
      </c>
      <c r="Q278" s="7">
        <f>P278/(P278+_曲线基线!$L$2)</f>
        <v>0.604318732759539</v>
      </c>
      <c r="R278" s="2">
        <f>E278*模块规划!$E$10+G278*模块规划!$E$11+H278*模块规划!$E$13</f>
        <v>7960.41487644014</v>
      </c>
      <c r="S278" s="2">
        <f>I278*模块规划!$E$15+J278*模块规划!$E$17+K278*模块规划!$E$16+L278*模块规划!$E$18</f>
        <v>27804.2715022337</v>
      </c>
      <c r="T278" s="2">
        <f t="shared" si="364"/>
        <v>3.41414985818185</v>
      </c>
      <c r="U278" s="13">
        <f t="shared" si="365"/>
        <v>54982.3208237005</v>
      </c>
      <c r="V278" s="2">
        <f t="shared" si="366"/>
        <v>0.909726166827492</v>
      </c>
      <c r="W278" s="2">
        <f t="shared" si="367"/>
        <v>0.279634889103323</v>
      </c>
      <c r="X278" s="2">
        <f t="shared" si="368"/>
        <v>0.467248986258534</v>
      </c>
      <c r="Y278" s="2">
        <f t="shared" si="369"/>
        <v>1</v>
      </c>
      <c r="Z278" s="2">
        <f t="shared" si="370"/>
        <v>1</v>
      </c>
      <c r="AA278" s="2">
        <f t="shared" si="371"/>
        <v>1</v>
      </c>
      <c r="AB278" s="2">
        <f t="shared" si="372"/>
        <v>1</v>
      </c>
      <c r="AC278" s="2">
        <f t="shared" si="373"/>
        <v>1</v>
      </c>
      <c r="AD278" s="1">
        <f t="shared" si="374"/>
        <v>1.89262931104145</v>
      </c>
      <c r="AE278" s="2">
        <f t="shared" si="375"/>
        <v>1</v>
      </c>
      <c r="AF278" s="2">
        <f t="shared" si="376"/>
        <v>1.2130707162282</v>
      </c>
      <c r="AG278" s="2">
        <f t="shared" si="377"/>
        <v>1.37760865820442</v>
      </c>
      <c r="AH278" s="2">
        <f>MIN(1,_曲线基线!$L$3+AH$9*($H$10*H278+$I$10*I278+$J$10*J278+$K$10*K278+$L$10*L278))</f>
        <v>0.534735879419146</v>
      </c>
      <c r="AI278" s="2">
        <f>_曲线基线!$L$4+AI$9*($H$10*H278+$I$10*I278+$J$10*J278+$K$10*K278+$L$10*L278)</f>
        <v>3.35033566409619</v>
      </c>
      <c r="AJ278" s="2">
        <f t="shared" si="378"/>
        <v>2.10796772438662</v>
      </c>
      <c r="AK278" s="1">
        <f t="shared" si="379"/>
        <v>4.75728012794598</v>
      </c>
      <c r="AL278" s="1">
        <f t="shared" si="380"/>
        <v>2475240.25202858</v>
      </c>
      <c r="AM278" s="14">
        <f t="shared" si="381"/>
        <v>52.5978891429288</v>
      </c>
      <c r="AN278" s="14">
        <f>(((E278*模块规划!$D$10+G278*模块规划!$D$11+H278*模块规划!$D$13)*(1+模块规划!$G$14*H278)+(I278*模块规划!$D$15+J278*模块规划!$D$17+K278*模块规划!$D$16+L278*模块规划!$D$18))*(1+模块规划!$J$17*J278))*F278/(1-Q278)</f>
        <v>2951741.7156241</v>
      </c>
      <c r="AO278" s="1">
        <f t="shared" si="382"/>
        <v>130192412.378315</v>
      </c>
      <c r="AP278" s="1">
        <f>IF(AO278="","",_xlfn.XLOOKUP(AO278,_曲线基线!$E$3:$E$502,_曲线基线!$A$3:$A$502,500,1))</f>
        <v>309</v>
      </c>
      <c r="AQ278" s="15">
        <f t="shared" si="385"/>
        <v>5</v>
      </c>
    </row>
    <row r="279" customHeight="1" spans="1:43">
      <c r="A279" s="1" t="str">
        <f>IFERROR(_xlfn.XLOOKUP(B279,_曲线基线!$G$3:$G$107,_曲线基线!$J$3:$J$107,""),"")</f>
        <v/>
      </c>
      <c r="B279" s="1">
        <v>268</v>
      </c>
      <c r="C279" s="1">
        <f t="shared" si="333"/>
        <v>19</v>
      </c>
      <c r="D279" s="1">
        <f t="shared" si="334"/>
        <v>4</v>
      </c>
      <c r="E279" s="1">
        <f t="shared" si="360"/>
        <v>1</v>
      </c>
      <c r="F279" s="11">
        <f t="shared" si="383"/>
        <v>5</v>
      </c>
      <c r="G279" s="12">
        <f t="shared" ref="G279:L279" si="395">IF($B279&lt;G$8,0,G$3+(G$4-G$3)*(POWER(G$5,$B279-G$8)-1)/(POWER(G$5,$C$5-G$8)-1))</f>
        <v>0.897525836745265</v>
      </c>
      <c r="H279" s="12">
        <f t="shared" si="395"/>
        <v>0.699172020542652</v>
      </c>
      <c r="I279" s="12">
        <f t="shared" si="395"/>
        <v>0.647871124891034</v>
      </c>
      <c r="J279" s="12">
        <f t="shared" si="395"/>
        <v>0.599017700367493</v>
      </c>
      <c r="K279" s="12">
        <f t="shared" si="395"/>
        <v>0.645531438812953</v>
      </c>
      <c r="L279" s="12">
        <f t="shared" si="395"/>
        <v>0.699155041041392</v>
      </c>
      <c r="M279" s="2">
        <f>E279*模块规划!$F$10+G279*模块规划!$F$11+H279*模块规划!$F$13</f>
        <v>5308.12401637727</v>
      </c>
      <c r="N279" s="2">
        <f>I279*模块规划!$F$15+J279*模块规划!$F$17+K279*模块规划!$F$16+L279*模块规划!$F$18</f>
        <v>18542.1098408879</v>
      </c>
      <c r="O279" s="2">
        <f t="shared" si="362"/>
        <v>3.41480414052935</v>
      </c>
      <c r="P279" s="13">
        <f t="shared" si="363"/>
        <v>36668.3137104563</v>
      </c>
      <c r="Q279" s="7">
        <f>P279/(P279+_曲线基线!$L$2)</f>
        <v>0.604406344396819</v>
      </c>
      <c r="R279" s="2">
        <f>E279*模块规划!$E$10+G279*模块规划!$E$11+H279*模块规划!$E$13</f>
        <v>7962.18602456591</v>
      </c>
      <c r="S279" s="2">
        <f>I279*模块规划!$E$15+J279*模块规划!$E$17+K279*模块规划!$E$16+L279*模块规划!$E$18</f>
        <v>27813.1647613318</v>
      </c>
      <c r="T279" s="2">
        <f t="shared" si="364"/>
        <v>3.41480414052935</v>
      </c>
      <c r="U279" s="13">
        <f t="shared" si="365"/>
        <v>55002.4705656844</v>
      </c>
      <c r="V279" s="2">
        <f t="shared" si="366"/>
        <v>0.909751606162795</v>
      </c>
      <c r="W279" s="2">
        <f t="shared" si="367"/>
        <v>0.279668808217061</v>
      </c>
      <c r="X279" s="2">
        <f t="shared" si="368"/>
        <v>0.467272305649229</v>
      </c>
      <c r="Y279" s="2">
        <f t="shared" si="369"/>
        <v>1</v>
      </c>
      <c r="Z279" s="2">
        <f t="shared" si="370"/>
        <v>1</v>
      </c>
      <c r="AA279" s="2">
        <f t="shared" si="371"/>
        <v>1</v>
      </c>
      <c r="AB279" s="2">
        <f t="shared" si="372"/>
        <v>1</v>
      </c>
      <c r="AC279" s="2">
        <f t="shared" si="373"/>
        <v>1</v>
      </c>
      <c r="AD279" s="1">
        <f t="shared" si="374"/>
        <v>1.89279199188883</v>
      </c>
      <c r="AE279" s="2">
        <f t="shared" si="375"/>
        <v>1</v>
      </c>
      <c r="AF279" s="2">
        <f t="shared" si="376"/>
        <v>1.21312846260542</v>
      </c>
      <c r="AG279" s="2">
        <f t="shared" si="377"/>
        <v>1.37771099761739</v>
      </c>
      <c r="AH279" s="2">
        <f>MIN(1,_曲线基线!$L$3+AH$9*($H$10*H279+$I$10*I279+$J$10*J279+$K$10*K279+$L$10*L279))</f>
        <v>0.534867252427341</v>
      </c>
      <c r="AI279" s="2">
        <f>_曲线基线!$L$4+AI$9*($H$10*H279+$I$10*I279+$J$10*J279+$K$10*K279+$L$10*L279)</f>
        <v>3.35070163176188</v>
      </c>
      <c r="AJ279" s="2">
        <f t="shared" si="378"/>
        <v>2.10826800554821</v>
      </c>
      <c r="AK279" s="1">
        <f t="shared" si="379"/>
        <v>4.75902145749866</v>
      </c>
      <c r="AL279" s="1">
        <f t="shared" si="380"/>
        <v>2477266.64086827</v>
      </c>
      <c r="AM279" s="14">
        <f t="shared" si="381"/>
        <v>52.78729267428</v>
      </c>
      <c r="AN279" s="14">
        <f>(((E279*模块规划!$D$10+G279*模块规划!$D$11+H279*模块规划!$D$13)*(1+模块规划!$G$14*H279)+(I279*模块规划!$D$15+J279*模块规划!$D$17+K279*模块规划!$D$16+L279*模块规划!$D$18))*(1+模块规划!$J$17*J279))*F279/(1-Q279)</f>
        <v>2953499.77999</v>
      </c>
      <c r="AO279" s="1">
        <f t="shared" si="382"/>
        <v>130768199.203744</v>
      </c>
      <c r="AP279" s="1">
        <f>IF(AO279="","",_xlfn.XLOOKUP(AO279,_曲线基线!$E$3:$E$502,_曲线基线!$A$3:$A$502,500,1))</f>
        <v>309</v>
      </c>
      <c r="AQ279" s="15">
        <f t="shared" si="385"/>
        <v>5</v>
      </c>
    </row>
    <row r="280" customHeight="1" spans="1:43">
      <c r="A280" s="1" t="str">
        <f>IFERROR(_xlfn.XLOOKUP(B280,_曲线基线!$G$3:$G$107,_曲线基线!$J$3:$J$107,""),"")</f>
        <v/>
      </c>
      <c r="B280" s="1">
        <v>269</v>
      </c>
      <c r="C280" s="1">
        <f t="shared" si="333"/>
        <v>19</v>
      </c>
      <c r="D280" s="1">
        <f t="shared" si="334"/>
        <v>5</v>
      </c>
      <c r="E280" s="1">
        <f t="shared" si="360"/>
        <v>1</v>
      </c>
      <c r="F280" s="11">
        <f t="shared" si="383"/>
        <v>5</v>
      </c>
      <c r="G280" s="12">
        <f t="shared" ref="G280:L280" si="396">IF($B280&lt;G$8,0,G$3+(G$4-G$3)*(POWER(G$5,$B280-G$8)-1)/(POWER(G$5,$C$5-G$8)-1))</f>
        <v>0.897768139648582</v>
      </c>
      <c r="H280" s="12">
        <f t="shared" si="396"/>
        <v>0.69925512237131</v>
      </c>
      <c r="I280" s="12">
        <f t="shared" si="396"/>
        <v>0.648084793736281</v>
      </c>
      <c r="J280" s="12">
        <f t="shared" si="396"/>
        <v>0.599116290851867</v>
      </c>
      <c r="K280" s="12">
        <f t="shared" si="396"/>
        <v>0.645979934971668</v>
      </c>
      <c r="L280" s="12">
        <f t="shared" si="396"/>
        <v>0.69923984705195</v>
      </c>
      <c r="M280" s="2">
        <f>E280*模块规划!$F$10+G280*模块规划!$F$11+H280*模块规划!$F$13</f>
        <v>5309.28707031319</v>
      </c>
      <c r="N280" s="2">
        <f>I280*模块规划!$F$15+J280*模块规划!$F$17+K280*模块规划!$F$16+L280*模块规划!$F$18</f>
        <v>18547.9201034987</v>
      </c>
      <c r="O280" s="2">
        <f t="shared" si="362"/>
        <v>3.4154453372299</v>
      </c>
      <c r="P280" s="13">
        <f t="shared" si="363"/>
        <v>36681.4998718149</v>
      </c>
      <c r="Q280" s="7">
        <f>P280/(P280+_曲线基线!$L$2)</f>
        <v>0.604492307363888</v>
      </c>
      <c r="R280" s="2">
        <f>E280*模块规划!$E$10+G280*模块规划!$E$11+H280*模块规划!$E$13</f>
        <v>7963.93060546979</v>
      </c>
      <c r="S280" s="2">
        <f>I280*模块规划!$E$15+J280*模块规划!$E$17+K280*模块规划!$E$16+L280*模块规划!$E$18</f>
        <v>27821.880155248</v>
      </c>
      <c r="T280" s="2">
        <f t="shared" si="364"/>
        <v>3.4154453372299</v>
      </c>
      <c r="U280" s="13">
        <f t="shared" si="365"/>
        <v>55022.2498077223</v>
      </c>
      <c r="V280" s="2">
        <f t="shared" si="366"/>
        <v>0.909776536711393</v>
      </c>
      <c r="W280" s="2">
        <f t="shared" si="367"/>
        <v>0.279702048948524</v>
      </c>
      <c r="X280" s="2">
        <f t="shared" si="368"/>
        <v>0.46729515865211</v>
      </c>
      <c r="Y280" s="2">
        <f t="shared" si="369"/>
        <v>1</v>
      </c>
      <c r="Z280" s="2">
        <f t="shared" si="370"/>
        <v>1</v>
      </c>
      <c r="AA280" s="2">
        <f t="shared" si="371"/>
        <v>1</v>
      </c>
      <c r="AB280" s="2">
        <f t="shared" si="372"/>
        <v>1</v>
      </c>
      <c r="AC280" s="2">
        <f t="shared" si="373"/>
        <v>1</v>
      </c>
      <c r="AD280" s="1">
        <f t="shared" si="374"/>
        <v>1.89295142755069</v>
      </c>
      <c r="AE280" s="2">
        <f t="shared" si="375"/>
        <v>1</v>
      </c>
      <c r="AF280" s="2">
        <f t="shared" si="376"/>
        <v>1.21318505405511</v>
      </c>
      <c r="AG280" s="2">
        <f t="shared" si="377"/>
        <v>1.37781129024211</v>
      </c>
      <c r="AH280" s="2">
        <f>MIN(1,_曲线基线!$L$3+AH$9*($H$10*H280+$I$10*I280+$J$10*J280+$K$10*K280+$L$10*L280))</f>
        <v>0.534995997975373</v>
      </c>
      <c r="AI280" s="2">
        <f>_曲线基线!$L$4+AI$9*($H$10*H280+$I$10*I280+$J$10*J280+$K$10*K280+$L$10*L280)</f>
        <v>3.35106028007425</v>
      </c>
      <c r="AJ280" s="2">
        <f t="shared" si="378"/>
        <v>2.10856228108657</v>
      </c>
      <c r="AK280" s="1">
        <f t="shared" si="379"/>
        <v>4.76072845113374</v>
      </c>
      <c r="AL280" s="1">
        <f t="shared" si="380"/>
        <v>2479255.1795523</v>
      </c>
      <c r="AM280" s="14">
        <f t="shared" si="381"/>
        <v>52.9785902409446</v>
      </c>
      <c r="AN280" s="14">
        <f>(((E280*模块规划!$D$10+G280*模块规划!$D$11+H280*模块规划!$D$13)*(1+模块规划!$G$14*H280)+(I280*模块规划!$D$15+J280*模块规划!$D$17+K280*模块规划!$D$16+L280*模块规划!$D$18))*(1+模块规划!$J$17*J280))*F280/(1-Q280)</f>
        <v>2955225.39899877</v>
      </c>
      <c r="AO280" s="1">
        <f t="shared" si="382"/>
        <v>131347444.260241</v>
      </c>
      <c r="AP280" s="1">
        <f>IF(AO280="","",_xlfn.XLOOKUP(AO280,_曲线基线!$E$3:$E$502,_曲线基线!$A$3:$A$502,500,1))</f>
        <v>309</v>
      </c>
      <c r="AQ280" s="15">
        <f t="shared" si="385"/>
        <v>5</v>
      </c>
    </row>
    <row r="281" customHeight="1" spans="1:43">
      <c r="A281" s="1" t="str">
        <f>IFERROR(_xlfn.XLOOKUP(B281,_曲线基线!$G$3:$G$107,_曲线基线!$J$3:$J$107,""),"")</f>
        <v/>
      </c>
      <c r="B281" s="1">
        <v>270</v>
      </c>
      <c r="C281" s="1">
        <f t="shared" si="333"/>
        <v>19</v>
      </c>
      <c r="D281" s="1">
        <f t="shared" si="334"/>
        <v>6</v>
      </c>
      <c r="E281" s="1">
        <f t="shared" si="360"/>
        <v>1</v>
      </c>
      <c r="F281" s="11">
        <f t="shared" si="383"/>
        <v>5</v>
      </c>
      <c r="G281" s="12">
        <f t="shared" ref="G281:L281" si="397">IF($B281&lt;G$8,0,G$3+(G$4-G$3)*(POWER(G$5,$B281-G$8)-1)/(POWER(G$5,$C$5-G$8)-1))</f>
        <v>0.898006808008349</v>
      </c>
      <c r="H281" s="12">
        <f t="shared" si="397"/>
        <v>0.699336562163395</v>
      </c>
      <c r="I281" s="12">
        <f t="shared" si="397"/>
        <v>0.648294189204624</v>
      </c>
      <c r="J281" s="12">
        <f t="shared" si="397"/>
        <v>0.599212909526554</v>
      </c>
      <c r="K281" s="12">
        <f t="shared" si="397"/>
        <v>0.646419461207208</v>
      </c>
      <c r="L281" s="12">
        <f t="shared" si="397"/>
        <v>0.699322956942296</v>
      </c>
      <c r="M281" s="2">
        <f>E281*模块规划!$F$10+G281*模块规划!$F$11+H281*模块规划!$F$13</f>
        <v>5310.43267844008</v>
      </c>
      <c r="N281" s="2">
        <f>I281*模块规划!$F$15+J281*模块规划!$F$17+K281*模块规划!$F$16+L281*模块规划!$F$18</f>
        <v>18553.6141608573</v>
      </c>
      <c r="O281" s="2">
        <f t="shared" si="362"/>
        <v>3.41607370999644</v>
      </c>
      <c r="P281" s="13">
        <f t="shared" si="363"/>
        <v>36694.4436223824</v>
      </c>
      <c r="Q281" s="7">
        <f>P281/(P281+_曲线基线!$L$2)</f>
        <v>0.60457665368318</v>
      </c>
      <c r="R281" s="2">
        <f>E281*模块规划!$E$10+G281*模块规划!$E$11+H281*模块规划!$E$13</f>
        <v>7965.64901766011</v>
      </c>
      <c r="S281" s="2">
        <f>I281*模块规划!$E$15+J281*模块规划!$E$17+K281*模块规划!$E$16+L281*模块规划!$E$18</f>
        <v>27830.4212412859</v>
      </c>
      <c r="T281" s="2">
        <f t="shared" si="364"/>
        <v>3.41607370999644</v>
      </c>
      <c r="U281" s="13">
        <f t="shared" si="365"/>
        <v>55041.6654335736</v>
      </c>
      <c r="V281" s="2">
        <f t="shared" si="366"/>
        <v>0.909800968649018</v>
      </c>
      <c r="W281" s="2">
        <f t="shared" si="367"/>
        <v>0.279734624865358</v>
      </c>
      <c r="X281" s="2">
        <f t="shared" si="368"/>
        <v>0.467317554594934</v>
      </c>
      <c r="Y281" s="2">
        <f t="shared" si="369"/>
        <v>1</v>
      </c>
      <c r="Z281" s="2">
        <f t="shared" si="370"/>
        <v>1</v>
      </c>
      <c r="AA281" s="2">
        <f t="shared" si="371"/>
        <v>1</v>
      </c>
      <c r="AB281" s="2">
        <f t="shared" si="372"/>
        <v>1</v>
      </c>
      <c r="AC281" s="2">
        <f t="shared" si="373"/>
        <v>1</v>
      </c>
      <c r="AD281" s="1">
        <f t="shared" si="374"/>
        <v>1.89310768259685</v>
      </c>
      <c r="AE281" s="2">
        <f t="shared" si="375"/>
        <v>1</v>
      </c>
      <c r="AF281" s="2">
        <f t="shared" si="376"/>
        <v>1.2132405136758</v>
      </c>
      <c r="AG281" s="2">
        <f t="shared" si="377"/>
        <v>1.37790957701434</v>
      </c>
      <c r="AH281" s="2">
        <f>MIN(1,_曲线基线!$L$3+AH$9*($H$10*H281+$I$10*I281+$J$10*J281+$K$10*K281+$L$10*L281))</f>
        <v>0.535122168612443</v>
      </c>
      <c r="AI281" s="2">
        <f>_曲线基线!$L$4+AI$9*($H$10*H281+$I$10*I281+$J$10*J281+$K$10*K281+$L$10*L281)</f>
        <v>3.35141175542038</v>
      </c>
      <c r="AJ281" s="2">
        <f t="shared" si="378"/>
        <v>2.10885067111416</v>
      </c>
      <c r="AK281" s="1">
        <f t="shared" si="379"/>
        <v>4.762401776218</v>
      </c>
      <c r="AL281" s="1">
        <f t="shared" si="380"/>
        <v>2481206.55575046</v>
      </c>
      <c r="AM281" s="14">
        <f t="shared" si="381"/>
        <v>53.1718007832759</v>
      </c>
      <c r="AN281" s="14">
        <f>(((E281*模块规划!$D$10+G281*模块规划!$D$11+H281*模块规划!$D$13)*(1+模块规划!$G$14*H281)+(I281*模块规划!$D$15+J281*模块规划!$D$17+K281*模块规划!$D$16+L281*模块规划!$D$18))*(1+模块规划!$J$17*J281))*F281/(1-Q281)</f>
        <v>2956919.16663543</v>
      </c>
      <c r="AO281" s="1">
        <f t="shared" si="382"/>
        <v>131930220.684522</v>
      </c>
      <c r="AP281" s="1">
        <f>IF(AO281="","",_xlfn.XLOOKUP(AO281,_曲线基线!$E$3:$E$502,_曲线基线!$A$3:$A$502,500,1))</f>
        <v>310</v>
      </c>
      <c r="AQ281" s="15">
        <f t="shared" si="385"/>
        <v>5</v>
      </c>
    </row>
    <row r="282" customHeight="1" spans="1:43">
      <c r="A282" s="1" t="str">
        <f>IFERROR(_xlfn.XLOOKUP(B282,_曲线基线!$G$3:$G$107,_曲线基线!$J$3:$J$107,""),"")</f>
        <v/>
      </c>
      <c r="B282" s="1">
        <v>271</v>
      </c>
      <c r="C282" s="1">
        <f t="shared" si="333"/>
        <v>19</v>
      </c>
      <c r="D282" s="1">
        <f t="shared" si="334"/>
        <v>7</v>
      </c>
      <c r="E282" s="1">
        <f t="shared" si="360"/>
        <v>1</v>
      </c>
      <c r="F282" s="11">
        <f t="shared" si="383"/>
        <v>5</v>
      </c>
      <c r="G282" s="12">
        <f t="shared" ref="G282:L282" si="398">IF($B282&lt;G$8,0,G$3+(G$4-G$3)*(POWER(G$5,$B282-G$8)-1)/(POWER(G$5,$C$5-G$8)-1))</f>
        <v>0.89824189634272</v>
      </c>
      <c r="H282" s="12">
        <f t="shared" si="398"/>
        <v>0.699416373159639</v>
      </c>
      <c r="I282" s="12">
        <f t="shared" si="398"/>
        <v>0.6484993967636</v>
      </c>
      <c r="J282" s="12">
        <f t="shared" si="398"/>
        <v>0.599307595827747</v>
      </c>
      <c r="K282" s="12">
        <f t="shared" si="398"/>
        <v>0.646850196918037</v>
      </c>
      <c r="L282" s="12">
        <f t="shared" si="398"/>
        <v>0.699404404634836</v>
      </c>
      <c r="M282" s="2">
        <f>E282*模块规划!$F$10+G282*模块规划!$F$11+H282*模块规划!$F$13</f>
        <v>5311.56110244505</v>
      </c>
      <c r="N282" s="2">
        <f>I282*模块规划!$F$15+J282*模块规划!$F$17+K282*模块规划!$F$16+L282*模块规划!$F$18</f>
        <v>18559.1943370687</v>
      </c>
      <c r="O282" s="2">
        <f t="shared" si="362"/>
        <v>3.41668951530765</v>
      </c>
      <c r="P282" s="13">
        <f t="shared" si="363"/>
        <v>36707.1494657086</v>
      </c>
      <c r="Q282" s="7">
        <f>P282/(P282+_曲线基线!$L$2)</f>
        <v>0.604659414727473</v>
      </c>
      <c r="R282" s="2">
        <f>E282*模块规划!$E$10+G282*模块规划!$E$11+H282*模块规划!$E$13</f>
        <v>7967.34165366758</v>
      </c>
      <c r="S282" s="2">
        <f>I282*模块规划!$E$15+J282*模块规划!$E$17+K282*模块规划!$E$16+L282*模块规划!$E$18</f>
        <v>27838.791505603</v>
      </c>
      <c r="T282" s="2">
        <f t="shared" si="364"/>
        <v>3.41668951530765</v>
      </c>
      <c r="U282" s="13">
        <f t="shared" si="365"/>
        <v>55060.7241985629</v>
      </c>
      <c r="V282" s="2">
        <f t="shared" si="366"/>
        <v>0.909824911947892</v>
      </c>
      <c r="W282" s="2">
        <f t="shared" si="367"/>
        <v>0.279766549263855</v>
      </c>
      <c r="X282" s="2">
        <f t="shared" si="368"/>
        <v>0.467339502618901</v>
      </c>
      <c r="Y282" s="2">
        <f t="shared" si="369"/>
        <v>1</v>
      </c>
      <c r="Z282" s="2">
        <f t="shared" si="370"/>
        <v>1</v>
      </c>
      <c r="AA282" s="2">
        <f t="shared" si="371"/>
        <v>1</v>
      </c>
      <c r="AB282" s="2">
        <f t="shared" si="372"/>
        <v>1</v>
      </c>
      <c r="AC282" s="2">
        <f t="shared" si="373"/>
        <v>1</v>
      </c>
      <c r="AD282" s="1">
        <f t="shared" si="374"/>
        <v>1.89326082031897</v>
      </c>
      <c r="AE282" s="2">
        <f t="shared" si="375"/>
        <v>1</v>
      </c>
      <c r="AF282" s="2">
        <f t="shared" si="376"/>
        <v>1.21329486410408</v>
      </c>
      <c r="AG282" s="2">
        <f t="shared" si="377"/>
        <v>1.37800589805112</v>
      </c>
      <c r="AH282" s="2">
        <f>MIN(1,_曲线基线!$L$3+AH$9*($H$10*H282+$I$10*I282+$J$10*J282+$K$10*K282+$L$10*L282))</f>
        <v>0.535245815836772</v>
      </c>
      <c r="AI282" s="2">
        <f>_曲线基线!$L$4+AI$9*($H$10*H282+$I$10*I282+$J$10*J282+$K$10*K282+$L$10*L282)</f>
        <v>3.35175620125958</v>
      </c>
      <c r="AJ282" s="2">
        <f t="shared" si="378"/>
        <v>2.10913329334119</v>
      </c>
      <c r="AK282" s="1">
        <f t="shared" si="379"/>
        <v>4.76404208753258</v>
      </c>
      <c r="AL282" s="1">
        <f t="shared" si="380"/>
        <v>2483121.44551859</v>
      </c>
      <c r="AM282" s="14">
        <f t="shared" si="381"/>
        <v>53.3669434310306</v>
      </c>
      <c r="AN282" s="14">
        <f>(((E282*模块规划!$D$10+G282*模块规划!$D$11+H282*模块规划!$D$13)*(1+模块规划!$G$14*H282)+(I282*模块规划!$D$15+J282*模块规划!$D$17+K282*模块规划!$D$16+L282*模块规划!$D$18))*(1+模块规划!$J$17*J282))*F282/(1-Q282)</f>
        <v>2958581.66635695</v>
      </c>
      <c r="AO282" s="1">
        <f t="shared" si="382"/>
        <v>132516601.71537</v>
      </c>
      <c r="AP282" s="1">
        <f>IF(AO282="","",_xlfn.XLOOKUP(AO282,_曲线基线!$E$3:$E$502,_曲线基线!$A$3:$A$502,500,1))</f>
        <v>310</v>
      </c>
      <c r="AQ282" s="15">
        <f t="shared" si="385"/>
        <v>5</v>
      </c>
    </row>
    <row r="283" customHeight="1" spans="1:43">
      <c r="A283" s="1" t="str">
        <f>IFERROR(_xlfn.XLOOKUP(B283,_曲线基线!$G$3:$G$107,_曲线基线!$J$3:$J$107,""),"")</f>
        <v/>
      </c>
      <c r="B283" s="1">
        <v>272</v>
      </c>
      <c r="C283" s="1">
        <f t="shared" si="333"/>
        <v>19</v>
      </c>
      <c r="D283" s="1">
        <f t="shared" si="334"/>
        <v>8</v>
      </c>
      <c r="E283" s="1">
        <f t="shared" si="360"/>
        <v>1</v>
      </c>
      <c r="F283" s="11">
        <f t="shared" si="383"/>
        <v>5</v>
      </c>
      <c r="G283" s="12">
        <f t="shared" ref="G283:L283" si="399">IF($B283&lt;G$8,0,G$3+(G$4-G$3)*(POWER(G$5,$B283-G$8)-1)/(POWER(G$5,$C$5-G$8)-1))</f>
        <v>0.898473458352075</v>
      </c>
      <c r="H283" s="12">
        <f t="shared" si="399"/>
        <v>0.699494587935957</v>
      </c>
      <c r="I283" s="12">
        <f t="shared" si="399"/>
        <v>0.648700500171396</v>
      </c>
      <c r="J283" s="12">
        <f t="shared" si="399"/>
        <v>0.599400388402915</v>
      </c>
      <c r="K283" s="12">
        <f t="shared" si="399"/>
        <v>0.64727231791465</v>
      </c>
      <c r="L283" s="12">
        <f t="shared" si="399"/>
        <v>0.699484223373525</v>
      </c>
      <c r="M283" s="2">
        <f>E283*模块规划!$F$10+G283*模块规划!$F$11+H283*模块规划!$F$13</f>
        <v>5312.67260008996</v>
      </c>
      <c r="N283" s="2">
        <f>I283*模块规划!$F$15+J283*模块规划!$F$17+K283*模块规划!$F$16+L283*模块规划!$F$18</f>
        <v>18564.6629097558</v>
      </c>
      <c r="O283" s="2">
        <f t="shared" si="362"/>
        <v>3.41729300451263</v>
      </c>
      <c r="P283" s="13">
        <f t="shared" si="363"/>
        <v>36719.6218213092</v>
      </c>
      <c r="Q283" s="7">
        <f>P283/(P283+_曲线基线!$L$2)</f>
        <v>0.604740621233953</v>
      </c>
      <c r="R283" s="2">
        <f>E283*模块规划!$E$10+G283*模块规划!$E$11+H283*模块规划!$E$13</f>
        <v>7969.00890013494</v>
      </c>
      <c r="S283" s="2">
        <f>I283*模块规划!$E$15+J283*模块规划!$E$17+K283*模块规划!$E$16+L283*模块规划!$E$18</f>
        <v>27846.9943646338</v>
      </c>
      <c r="T283" s="2">
        <f t="shared" si="364"/>
        <v>3.41729300451263</v>
      </c>
      <c r="U283" s="13">
        <f t="shared" si="365"/>
        <v>55079.4327319638</v>
      </c>
      <c r="V283" s="2">
        <f t="shared" si="366"/>
        <v>0.909848376380787</v>
      </c>
      <c r="W283" s="2">
        <f t="shared" si="367"/>
        <v>0.279797835174383</v>
      </c>
      <c r="X283" s="2">
        <f t="shared" si="368"/>
        <v>0.467361011682388</v>
      </c>
      <c r="Y283" s="2">
        <f t="shared" si="369"/>
        <v>1</v>
      </c>
      <c r="Z283" s="2">
        <f t="shared" si="370"/>
        <v>1</v>
      </c>
      <c r="AA283" s="2">
        <f t="shared" si="371"/>
        <v>1</v>
      </c>
      <c r="AB283" s="2">
        <f t="shared" si="372"/>
        <v>1</v>
      </c>
      <c r="AC283" s="2">
        <f t="shared" si="373"/>
        <v>1</v>
      </c>
      <c r="AD283" s="1">
        <f t="shared" si="374"/>
        <v>1.89341090275555</v>
      </c>
      <c r="AE283" s="2">
        <f t="shared" si="375"/>
        <v>1</v>
      </c>
      <c r="AF283" s="2">
        <f t="shared" si="376"/>
        <v>1.21334812752379</v>
      </c>
      <c r="AG283" s="2">
        <f t="shared" si="377"/>
        <v>1.37810029266716</v>
      </c>
      <c r="AH283" s="2">
        <f>MIN(1,_曲线基线!$L$3+AH$9*($H$10*H283+$I$10*I283+$J$10*J283+$K$10*K283+$L$10*L283))</f>
        <v>0.535366990116615</v>
      </c>
      <c r="AI283" s="2">
        <f>_曲线基线!$L$4+AI$9*($H$10*H283+$I$10*I283+$J$10*J283+$K$10*K283+$L$10*L283)</f>
        <v>3.352093758182</v>
      </c>
      <c r="AJ283" s="2">
        <f t="shared" si="378"/>
        <v>2.10941026312369</v>
      </c>
      <c r="AK283" s="1">
        <f t="shared" si="379"/>
        <v>4.76565002749475</v>
      </c>
      <c r="AL283" s="1">
        <f t="shared" si="380"/>
        <v>2485000.51345767</v>
      </c>
      <c r="AM283" s="14">
        <f t="shared" si="381"/>
        <v>53.5640375052627</v>
      </c>
      <c r="AN283" s="14">
        <f>(((E283*模块规划!$D$10+G283*模块规划!$D$11+H283*模块规划!$D$13)*(1+模块规划!$G$14*H283)+(I283*模块规划!$D$15+J283*模块规划!$D$17+K283*模块规划!$D$16+L283*模块规划!$D$18))*(1+模块规划!$J$17*J283))*F283/(1-Q283)</f>
        <v>2960213.47126293</v>
      </c>
      <c r="AO283" s="1">
        <f t="shared" si="382"/>
        <v>133106660.703444</v>
      </c>
      <c r="AP283" s="1">
        <f>IF(AO283="","",_xlfn.XLOOKUP(AO283,_曲线基线!$E$3:$E$502,_曲线基线!$A$3:$A$502,500,1))</f>
        <v>310</v>
      </c>
      <c r="AQ283" s="15">
        <f t="shared" si="385"/>
        <v>5</v>
      </c>
    </row>
    <row r="284" customHeight="1" spans="1:43">
      <c r="A284" s="1" t="str">
        <f>IFERROR(_xlfn.XLOOKUP(B284,_曲线基线!$G$3:$G$107,_曲线基线!$J$3:$J$107,""),"")</f>
        <v/>
      </c>
      <c r="B284" s="1">
        <v>273</v>
      </c>
      <c r="C284" s="1">
        <f t="shared" si="333"/>
        <v>19</v>
      </c>
      <c r="D284" s="1">
        <f t="shared" si="334"/>
        <v>9</v>
      </c>
      <c r="E284" s="1">
        <f t="shared" si="360"/>
        <v>1</v>
      </c>
      <c r="F284" s="11">
        <f t="shared" si="383"/>
        <v>5</v>
      </c>
      <c r="G284" s="12">
        <f t="shared" ref="G284:L284" si="400">IF($B284&lt;G$8,0,G$3+(G$4-G$3)*(POWER(G$5,$B284-G$8)-1)/(POWER(G$5,$C$5-G$8)-1))</f>
        <v>0.89870154693129</v>
      </c>
      <c r="H284" s="12">
        <f t="shared" si="400"/>
        <v>0.69957123841675</v>
      </c>
      <c r="I284" s="12">
        <f t="shared" si="400"/>
        <v>0.648897581511036</v>
      </c>
      <c r="J284" s="12">
        <f t="shared" si="400"/>
        <v>0.599491325126581</v>
      </c>
      <c r="K284" s="12">
        <f t="shared" si="400"/>
        <v>0.64768599649133</v>
      </c>
      <c r="L284" s="12">
        <f t="shared" si="400"/>
        <v>0.69956244573744</v>
      </c>
      <c r="M284" s="2">
        <f>E284*模块规划!$F$10+G284*模块规划!$F$11+H284*模块规划!$F$13</f>
        <v>5313.76742527019</v>
      </c>
      <c r="N284" s="2">
        <f>I284*模块规划!$F$15+J284*模块规划!$F$17+K284*模块规划!$F$16+L284*模块规划!$F$18</f>
        <v>18570.0221109893</v>
      </c>
      <c r="O284" s="2">
        <f t="shared" si="362"/>
        <v>3.41788442393351</v>
      </c>
      <c r="P284" s="13">
        <f t="shared" si="363"/>
        <v>36731.8650262255</v>
      </c>
      <c r="Q284" s="7">
        <f>P284/(P284+_曲线基线!$L$2)</f>
        <v>0.604820303317934</v>
      </c>
      <c r="R284" s="2">
        <f>E284*模块规划!$E$10+G284*模块规划!$E$11+H284*模块规划!$E$13</f>
        <v>7970.65113790529</v>
      </c>
      <c r="S284" s="2">
        <f>I284*模块规划!$E$15+J284*模块规划!$E$17+K284*模块规划!$E$16+L284*模块规划!$E$18</f>
        <v>27855.0331664839</v>
      </c>
      <c r="T284" s="2">
        <f t="shared" si="364"/>
        <v>3.41788442393351</v>
      </c>
      <c r="U284" s="13">
        <f t="shared" si="365"/>
        <v>55097.7975393383</v>
      </c>
      <c r="V284" s="2">
        <f t="shared" si="366"/>
        <v>0.909871371525025</v>
      </c>
      <c r="W284" s="2">
        <f t="shared" si="367"/>
        <v>0.2798284953667</v>
      </c>
      <c r="X284" s="2">
        <f t="shared" si="368"/>
        <v>0.467382090564606</v>
      </c>
      <c r="Y284" s="2">
        <f t="shared" si="369"/>
        <v>1</v>
      </c>
      <c r="Z284" s="2">
        <f t="shared" si="370"/>
        <v>1</v>
      </c>
      <c r="AA284" s="2">
        <f t="shared" si="371"/>
        <v>1</v>
      </c>
      <c r="AB284" s="2">
        <f t="shared" si="372"/>
        <v>1</v>
      </c>
      <c r="AC284" s="2">
        <f t="shared" si="373"/>
        <v>1</v>
      </c>
      <c r="AD284" s="1">
        <f t="shared" si="374"/>
        <v>1.89355799071655</v>
      </c>
      <c r="AE284" s="2">
        <f t="shared" si="375"/>
        <v>1</v>
      </c>
      <c r="AF284" s="2">
        <f t="shared" si="376"/>
        <v>1.2134003256751</v>
      </c>
      <c r="AG284" s="2">
        <f t="shared" si="377"/>
        <v>1.37819279939088</v>
      </c>
      <c r="AH284" s="2">
        <f>MIN(1,_曲线基线!$L$3+AH$9*($H$10*H284+$I$10*I284+$J$10*J284+$K$10*K284+$L$10*L284))</f>
        <v>0.535485740910861</v>
      </c>
      <c r="AI284" s="2">
        <f>_曲线基线!$L$4+AI$9*($H$10*H284+$I$10*I284+$J$10*J284+$K$10*K284+$L$10*L284)</f>
        <v>3.35242456396597</v>
      </c>
      <c r="AJ284" s="2">
        <f t="shared" si="378"/>
        <v>2.10968169351054</v>
      </c>
      <c r="AK284" s="1">
        <f t="shared" si="379"/>
        <v>4.76722622637653</v>
      </c>
      <c r="AL284" s="1">
        <f t="shared" si="380"/>
        <v>2486844.41287251</v>
      </c>
      <c r="AM284" s="14">
        <f t="shared" si="381"/>
        <v>53.7631025202372</v>
      </c>
      <c r="AN284" s="14">
        <f>(((E284*模块规划!$D$10+G284*模块规划!$D$11+H284*模块规划!$D$13)*(1+模块规划!$G$14*H284)+(I284*模块规划!$D$15+J284*模块规划!$D$17+K284*模块规划!$D$16+L284*模块规划!$D$18))*(1+模块规划!$J$17*J284))*F284/(1-Q284)</f>
        <v>2961815.14426414</v>
      </c>
      <c r="AO284" s="1">
        <f t="shared" si="382"/>
        <v>133700471.121144</v>
      </c>
      <c r="AP284" s="1">
        <f>IF(AO284="","",_xlfn.XLOOKUP(AO284,_曲线基线!$E$3:$E$502,_曲线基线!$A$3:$A$502,500,1))</f>
        <v>311</v>
      </c>
      <c r="AQ284" s="15">
        <f t="shared" si="385"/>
        <v>5</v>
      </c>
    </row>
    <row r="285" customHeight="1" spans="1:43">
      <c r="A285" s="1" t="str">
        <f>IFERROR(_xlfn.XLOOKUP(B285,_曲线基线!$G$3:$G$107,_曲线基线!$J$3:$J$107,""),"")</f>
        <v/>
      </c>
      <c r="B285" s="1">
        <v>274</v>
      </c>
      <c r="C285" s="1">
        <f t="shared" si="333"/>
        <v>19</v>
      </c>
      <c r="D285" s="1">
        <f t="shared" si="334"/>
        <v>10</v>
      </c>
      <c r="E285" s="1">
        <f t="shared" si="360"/>
        <v>1</v>
      </c>
      <c r="F285" s="11">
        <f t="shared" si="383"/>
        <v>5</v>
      </c>
      <c r="G285" s="12">
        <f t="shared" ref="G285:L285" si="401">IF($B285&lt;G$8,0,G$3+(G$4-G$3)*(POWER(G$5,$B285-G$8)-1)/(POWER(G$5,$C$5-G$8)-1))</f>
        <v>0.898926214181816</v>
      </c>
      <c r="H285" s="12">
        <f t="shared" si="401"/>
        <v>0.699646355887926</v>
      </c>
      <c r="I285" s="12">
        <f t="shared" si="401"/>
        <v>0.649090721223884</v>
      </c>
      <c r="J285" s="12">
        <f t="shared" si="401"/>
        <v>0.599580443115773</v>
      </c>
      <c r="K285" s="12">
        <f t="shared" si="401"/>
        <v>0.648091401496477</v>
      </c>
      <c r="L285" s="12">
        <f t="shared" si="401"/>
        <v>0.699639103654077</v>
      </c>
      <c r="M285" s="2">
        <f>E285*模块规划!$F$10+G285*模块规划!$F$11+H285*模块规划!$F$13</f>
        <v>5314.84582807272</v>
      </c>
      <c r="N285" s="2">
        <f>I285*模块规划!$F$15+J285*模块规划!$F$17+K285*模块规划!$F$16+L285*模块规划!$F$18</f>
        <v>18575.274128198</v>
      </c>
      <c r="O285" s="2">
        <f t="shared" si="362"/>
        <v>3.41846401496598</v>
      </c>
      <c r="P285" s="13">
        <f t="shared" si="363"/>
        <v>36743.8833365567</v>
      </c>
      <c r="Q285" s="7">
        <f>P285/(P285+_曲线基线!$L$2)</f>
        <v>0.604898490486261</v>
      </c>
      <c r="R285" s="2">
        <f>E285*模块规划!$E$10+G285*模块规划!$E$11+H285*模块规划!$E$13</f>
        <v>7972.26874210908</v>
      </c>
      <c r="S285" s="2">
        <f>I285*模块规划!$E$15+J285*模块规划!$E$17+K285*模块规划!$E$16+L285*模块规划!$E$18</f>
        <v>27862.9111922971</v>
      </c>
      <c r="T285" s="2">
        <f t="shared" si="364"/>
        <v>3.41846401496598</v>
      </c>
      <c r="U285" s="13">
        <f t="shared" si="365"/>
        <v>55115.8250048351</v>
      </c>
      <c r="V285" s="2">
        <f t="shared" si="366"/>
        <v>0.909893906766378</v>
      </c>
      <c r="W285" s="2">
        <f t="shared" si="367"/>
        <v>0.27985854235517</v>
      </c>
      <c r="X285" s="2">
        <f t="shared" si="368"/>
        <v>0.46740274786918</v>
      </c>
      <c r="Y285" s="2">
        <f t="shared" si="369"/>
        <v>1</v>
      </c>
      <c r="Z285" s="2">
        <f t="shared" si="370"/>
        <v>1</v>
      </c>
      <c r="AA285" s="2">
        <f t="shared" si="371"/>
        <v>1</v>
      </c>
      <c r="AB285" s="2">
        <f t="shared" si="372"/>
        <v>1</v>
      </c>
      <c r="AC285" s="2">
        <f t="shared" si="373"/>
        <v>1</v>
      </c>
      <c r="AD285" s="1">
        <f t="shared" si="374"/>
        <v>1.89370214380741</v>
      </c>
      <c r="AE285" s="2">
        <f t="shared" si="375"/>
        <v>1</v>
      </c>
      <c r="AF285" s="2">
        <f t="shared" si="376"/>
        <v>1.21345147986339</v>
      </c>
      <c r="AG285" s="2">
        <f t="shared" si="377"/>
        <v>1.37828345598013</v>
      </c>
      <c r="AH285" s="2">
        <f>MIN(1,_曲线基线!$L$3+AH$9*($H$10*H285+$I$10*I285+$J$10*J285+$K$10*K285+$L$10*L285))</f>
        <v>0.535602116689222</v>
      </c>
      <c r="AI285" s="2">
        <f>_曲线基线!$L$4+AI$9*($H$10*H285+$I$10*I285+$J$10*J285+$K$10*K285+$L$10*L285)</f>
        <v>3.35274875363426</v>
      </c>
      <c r="AJ285" s="2">
        <f t="shared" si="378"/>
        <v>2.10994769528965</v>
      </c>
      <c r="AK285" s="1">
        <f t="shared" si="379"/>
        <v>4.76877130251991</v>
      </c>
      <c r="AL285" s="1">
        <f t="shared" si="380"/>
        <v>2488653.78592953</v>
      </c>
      <c r="AM285" s="14">
        <f t="shared" si="381"/>
        <v>53.9641581853615</v>
      </c>
      <c r="AN285" s="14">
        <f>(((E285*模块规划!$D$10+G285*模块规划!$D$11+H285*模块规划!$D$13)*(1+模块规划!$G$14*H285)+(I285*模块规划!$D$15+J285*模块规划!$D$17+K285*模块规划!$D$16+L285*模块规划!$D$18))*(1+模块规划!$J$17*J285))*F285/(1-Q285)</f>
        <v>2963387.23824904</v>
      </c>
      <c r="AO285" s="1">
        <f t="shared" si="382"/>
        <v>134298106.5725</v>
      </c>
      <c r="AP285" s="1">
        <f>IF(AO285="","",_xlfn.XLOOKUP(AO285,_曲线基线!$E$3:$E$502,_曲线基线!$A$3:$A$502,500,1))</f>
        <v>311</v>
      </c>
      <c r="AQ285" s="15">
        <f t="shared" si="385"/>
        <v>5</v>
      </c>
    </row>
    <row r="286" customHeight="1" spans="1:43">
      <c r="A286" s="1" t="str">
        <f>IFERROR(_xlfn.XLOOKUP(B286,_曲线基线!$G$3:$G$107,_曲线基线!$J$3:$J$107,""),"")</f>
        <v/>
      </c>
      <c r="B286" s="1">
        <v>275</v>
      </c>
      <c r="C286" s="1">
        <f t="shared" si="333"/>
        <v>19</v>
      </c>
      <c r="D286" s="1">
        <f t="shared" si="334"/>
        <v>11</v>
      </c>
      <c r="E286" s="1">
        <f t="shared" si="360"/>
        <v>1</v>
      </c>
      <c r="F286" s="11">
        <f t="shared" si="383"/>
        <v>5</v>
      </c>
      <c r="G286" s="12">
        <f t="shared" ref="G286:L286" si="402">IF($B286&lt;G$8,0,G$3+(G$4-G$3)*(POWER(G$5,$B286-G$8)-1)/(POWER(G$5,$C$5-G$8)-1))</f>
        <v>0.899147511423585</v>
      </c>
      <c r="H286" s="12">
        <f t="shared" si="402"/>
        <v>0.699719971009679</v>
      </c>
      <c r="I286" s="12">
        <f t="shared" si="402"/>
        <v>0.649279998142474</v>
      </c>
      <c r="J286" s="12">
        <f t="shared" si="402"/>
        <v>0.599667778745182</v>
      </c>
      <c r="K286" s="12">
        <f t="shared" si="402"/>
        <v>0.648488698401521</v>
      </c>
      <c r="L286" s="12">
        <f t="shared" si="402"/>
        <v>0.699714228412381</v>
      </c>
      <c r="M286" s="2">
        <f>E286*模块规划!$F$10+G286*模块规划!$F$11+H286*模块规划!$F$13</f>
        <v>5315.90805483321</v>
      </c>
      <c r="N286" s="2">
        <f>I286*模块规划!$F$15+J286*模块规划!$F$17+K286*模块规划!$F$16+L286*模块规划!$F$18</f>
        <v>18580.4211050626</v>
      </c>
      <c r="O286" s="2">
        <f t="shared" si="362"/>
        <v>3.4190320141778</v>
      </c>
      <c r="P286" s="13">
        <f t="shared" si="363"/>
        <v>36755.680928963</v>
      </c>
      <c r="Q286" s="7">
        <f>P286/(P286+_曲线基线!$L$2)</f>
        <v>0.604975211650391</v>
      </c>
      <c r="R286" s="2">
        <f>E286*模块规划!$E$10+G286*模块规划!$E$11+H286*模块规划!$E$13</f>
        <v>7973.86208224981</v>
      </c>
      <c r="S286" s="2">
        <f>I286*模块规划!$E$15+J286*模块规划!$E$17+K286*模块规划!$E$16+L286*模块规划!$E$18</f>
        <v>27870.631657594</v>
      </c>
      <c r="T286" s="2">
        <f t="shared" si="364"/>
        <v>3.4190320141778</v>
      </c>
      <c r="U286" s="13">
        <f t="shared" si="365"/>
        <v>55133.5213934445</v>
      </c>
      <c r="V286" s="2">
        <f t="shared" si="366"/>
        <v>0.909915991302904</v>
      </c>
      <c r="W286" s="2">
        <f t="shared" si="367"/>
        <v>0.279887988403871</v>
      </c>
      <c r="X286" s="2">
        <f t="shared" si="368"/>
        <v>0.467422992027662</v>
      </c>
      <c r="Y286" s="2">
        <f t="shared" si="369"/>
        <v>1</v>
      </c>
      <c r="Z286" s="2">
        <f t="shared" si="370"/>
        <v>1</v>
      </c>
      <c r="AA286" s="2">
        <f t="shared" si="371"/>
        <v>1</v>
      </c>
      <c r="AB286" s="2">
        <f t="shared" si="372"/>
        <v>1</v>
      </c>
      <c r="AC286" s="2">
        <f t="shared" si="373"/>
        <v>1</v>
      </c>
      <c r="AD286" s="1">
        <f t="shared" si="374"/>
        <v>1.89384342045274</v>
      </c>
      <c r="AE286" s="2">
        <f t="shared" si="375"/>
        <v>1</v>
      </c>
      <c r="AF286" s="2">
        <f t="shared" si="376"/>
        <v>1.21350161096792</v>
      </c>
      <c r="AG286" s="2">
        <f t="shared" si="377"/>
        <v>1.37837229943759</v>
      </c>
      <c r="AH286" s="2">
        <f>MIN(1,_曲线基线!$L$3+AH$9*($H$10*H286+$I$10*I286+$J$10*J286+$K$10*K286+$L$10*L286))</f>
        <v>0.535716164952016</v>
      </c>
      <c r="AI286" s="2">
        <f>_曲线基线!$L$4+AI$9*($H$10*H286+$I$10*I286+$J$10*J286+$K$10*K286+$L$10*L286)</f>
        <v>3.35306645950919</v>
      </c>
      <c r="AJ286" s="2">
        <f t="shared" si="378"/>
        <v>2.11020837703318</v>
      </c>
      <c r="AK286" s="1">
        <f t="shared" si="379"/>
        <v>4.77028586254905</v>
      </c>
      <c r="AL286" s="1">
        <f t="shared" si="380"/>
        <v>2490429.2638141</v>
      </c>
      <c r="AM286" s="14">
        <f t="shared" si="381"/>
        <v>54.167224407137</v>
      </c>
      <c r="AN286" s="14">
        <f>(((E286*模块规划!$D$10+G286*模块规划!$D$11+H286*模块规划!$D$13)*(1+模块规划!$G$14*H286)+(I286*模块规划!$D$15+J286*模块规划!$D$17+K286*模块规划!$D$16+L286*模块规划!$D$18))*(1+模块规划!$J$17*J286))*F286/(1-Q286)</f>
        <v>2964930.29624809</v>
      </c>
      <c r="AO286" s="1">
        <f t="shared" si="382"/>
        <v>134899640.80312</v>
      </c>
      <c r="AP286" s="1">
        <f>IF(AO286="","",_xlfn.XLOOKUP(AO286,_曲线基线!$E$3:$E$502,_曲线基线!$A$3:$A$502,500,1))</f>
        <v>312</v>
      </c>
      <c r="AQ286" s="15">
        <f t="shared" si="385"/>
        <v>5</v>
      </c>
    </row>
    <row r="287" customHeight="1" spans="1:43">
      <c r="A287" s="1" t="str">
        <f>IFERROR(_xlfn.XLOOKUP(B287,_曲线基线!$G$3:$G$107,_曲线基线!$J$3:$J$107,""),"")</f>
        <v/>
      </c>
      <c r="B287" s="1">
        <v>276</v>
      </c>
      <c r="C287" s="1">
        <f t="shared" si="333"/>
        <v>19</v>
      </c>
      <c r="D287" s="1">
        <f t="shared" si="334"/>
        <v>12</v>
      </c>
      <c r="E287" s="1">
        <f t="shared" si="360"/>
        <v>1</v>
      </c>
      <c r="F287" s="11">
        <f t="shared" si="383"/>
        <v>5</v>
      </c>
      <c r="G287" s="12">
        <f t="shared" ref="G287:L287" si="403">IF($B287&lt;G$8,0,G$3+(G$4-G$3)*(POWER(G$5,$B287-G$8)-1)/(POWER(G$5,$C$5-G$8)-1))</f>
        <v>0.899365489206727</v>
      </c>
      <c r="H287" s="12">
        <f t="shared" si="403"/>
        <v>0.699792113828996</v>
      </c>
      <c r="I287" s="12">
        <f t="shared" si="403"/>
        <v>0.649465489522693</v>
      </c>
      <c r="J287" s="12">
        <f t="shared" si="403"/>
        <v>0.599753367662002</v>
      </c>
      <c r="K287" s="12">
        <f t="shared" si="403"/>
        <v>0.648878049368464</v>
      </c>
      <c r="L287" s="12">
        <f t="shared" si="403"/>
        <v>0.699787850675519</v>
      </c>
      <c r="M287" s="2">
        <f>E287*模块规划!$F$10+G287*模块规划!$F$11+H287*模块规划!$F$13</f>
        <v>5316.95434819229</v>
      </c>
      <c r="N287" s="2">
        <f>I287*模块规划!$F$15+J287*模块规划!$F$17+K287*模块规划!$F$16+L287*模块规划!$F$18</f>
        <v>18585.4651423899</v>
      </c>
      <c r="O287" s="2">
        <f t="shared" si="362"/>
        <v>3.41958865340538</v>
      </c>
      <c r="P287" s="13">
        <f t="shared" si="363"/>
        <v>36767.2619021427</v>
      </c>
      <c r="Q287" s="7">
        <f>P287/(P287+_曲线基线!$L$2)</f>
        <v>0.605050495139164</v>
      </c>
      <c r="R287" s="2">
        <f>E287*模块规划!$E$10+G287*模块规划!$E$11+H287*模块规划!$E$13</f>
        <v>7975.43152228843</v>
      </c>
      <c r="S287" s="2">
        <f>I287*模块规划!$E$15+J287*模块规划!$E$17+K287*模块规划!$E$16+L287*模块规划!$E$18</f>
        <v>27878.1977135849</v>
      </c>
      <c r="T287" s="2">
        <f t="shared" si="364"/>
        <v>3.41958865340538</v>
      </c>
      <c r="U287" s="13">
        <f t="shared" si="365"/>
        <v>55150.892853214</v>
      </c>
      <c r="V287" s="2">
        <f t="shared" si="366"/>
        <v>0.909937634148699</v>
      </c>
      <c r="W287" s="2">
        <f t="shared" si="367"/>
        <v>0.279916845531599</v>
      </c>
      <c r="X287" s="2">
        <f t="shared" si="368"/>
        <v>0.467442831302974</v>
      </c>
      <c r="Y287" s="2">
        <f t="shared" si="369"/>
        <v>1</v>
      </c>
      <c r="Z287" s="2">
        <f t="shared" si="370"/>
        <v>1</v>
      </c>
      <c r="AA287" s="2">
        <f t="shared" si="371"/>
        <v>1</v>
      </c>
      <c r="AB287" s="2">
        <f t="shared" si="372"/>
        <v>1</v>
      </c>
      <c r="AC287" s="2">
        <f t="shared" si="373"/>
        <v>1</v>
      </c>
      <c r="AD287" s="1">
        <f t="shared" si="374"/>
        <v>1.89398187791943</v>
      </c>
      <c r="AE287" s="2">
        <f t="shared" si="375"/>
        <v>1</v>
      </c>
      <c r="AF287" s="2">
        <f t="shared" si="376"/>
        <v>1.21355073945035</v>
      </c>
      <c r="AG287" s="2">
        <f t="shared" si="377"/>
        <v>1.37845936602591</v>
      </c>
      <c r="AH287" s="2">
        <f>MIN(1,_曲线基线!$L$3+AH$9*($H$10*H287+$I$10*I287+$J$10*J287+$K$10*K287+$L$10*L287))</f>
        <v>0.535827932249553</v>
      </c>
      <c r="AI287" s="2">
        <f>_曲线基线!$L$4+AI$9*($H$10*H287+$I$10*I287+$J$10*J287+$K$10*K287+$L$10*L287)</f>
        <v>3.35337781126661</v>
      </c>
      <c r="AJ287" s="2">
        <f t="shared" si="378"/>
        <v>2.11046384514184</v>
      </c>
      <c r="AK287" s="1">
        <f t="shared" si="379"/>
        <v>4.77177050157901</v>
      </c>
      <c r="AL287" s="1">
        <f t="shared" si="380"/>
        <v>2492171.46688671</v>
      </c>
      <c r="AM287" s="14">
        <f t="shared" si="381"/>
        <v>54.3723212911302</v>
      </c>
      <c r="AN287" s="14">
        <f>(((E287*模块规划!$D$10+G287*模块规划!$D$11+H287*模块规划!$D$13)*(1+模块规划!$G$14*H287)+(I287*模块规划!$D$15+J287*模块规划!$D$17+K287*模块规划!$D$16+L287*模块规划!$D$18))*(1+模块规划!$J$17*J287))*F287/(1-Q287)</f>
        <v>2966444.85159611</v>
      </c>
      <c r="AO287" s="1">
        <f t="shared" si="382"/>
        <v>135505147.710152</v>
      </c>
      <c r="AP287" s="1">
        <f>IF(AO287="","",_xlfn.XLOOKUP(AO287,_曲线基线!$E$3:$E$502,_曲线基线!$A$3:$A$502,500,1))</f>
        <v>312</v>
      </c>
      <c r="AQ287" s="15">
        <f t="shared" si="385"/>
        <v>5</v>
      </c>
    </row>
    <row r="288" customHeight="1" spans="1:43">
      <c r="A288" s="1" t="str">
        <f>IFERROR(_xlfn.XLOOKUP(B288,_曲线基线!$G$3:$G$107,_曲线基线!$J$3:$J$107,""),"")</f>
        <v/>
      </c>
      <c r="B288" s="1">
        <v>277</v>
      </c>
      <c r="C288" s="1">
        <f t="shared" si="333"/>
        <v>19</v>
      </c>
      <c r="D288" s="1">
        <f t="shared" si="334"/>
        <v>13</v>
      </c>
      <c r="E288" s="1">
        <f t="shared" si="360"/>
        <v>1</v>
      </c>
      <c r="F288" s="11">
        <f t="shared" si="383"/>
        <v>5</v>
      </c>
      <c r="G288" s="12">
        <f t="shared" ref="G288:L288" si="404">IF($B288&lt;G$8,0,G$3+(G$4-G$3)*(POWER(G$5,$B288-G$8)-1)/(POWER(G$5,$C$5-G$8)-1))</f>
        <v>0.899580197323122</v>
      </c>
      <c r="H288" s="12">
        <f t="shared" si="404"/>
        <v>0.699862813791928</v>
      </c>
      <c r="I288" s="12">
        <f t="shared" si="404"/>
        <v>0.649647271075307</v>
      </c>
      <c r="J288" s="12">
        <f t="shared" si="404"/>
        <v>0.599837244800486</v>
      </c>
      <c r="K288" s="12">
        <f t="shared" si="404"/>
        <v>0.649259613316069</v>
      </c>
      <c r="L288" s="12">
        <f t="shared" si="404"/>
        <v>0.699860000493395</v>
      </c>
      <c r="M288" s="2">
        <f>E288*模块规划!$F$10+G288*模块规划!$F$11+H288*模块规划!$F$13</f>
        <v>5317.98494715098</v>
      </c>
      <c r="N288" s="2">
        <f>I288*模块规划!$F$15+J288*模块规划!$F$17+K288*模块规划!$F$16+L288*模块规划!$F$18</f>
        <v>18590.4082989707</v>
      </c>
      <c r="O288" s="2">
        <f t="shared" si="362"/>
        <v>3.42013415984841</v>
      </c>
      <c r="P288" s="13">
        <f t="shared" si="363"/>
        <v>36778.6302782814</v>
      </c>
      <c r="Q288" s="7">
        <f>P288/(P288+_曲线基线!$L$2)</f>
        <v>0.605124368711281</v>
      </c>
      <c r="R288" s="2">
        <f>E288*模块规划!$E$10+G288*模块规划!$E$11+H288*模块规划!$E$13</f>
        <v>7976.97742072648</v>
      </c>
      <c r="S288" s="2">
        <f>I288*模块规划!$E$15+J288*模块规划!$E$17+K288*模块规划!$E$16+L288*模块规划!$E$18</f>
        <v>27885.6124484561</v>
      </c>
      <c r="T288" s="2">
        <f t="shared" si="364"/>
        <v>3.42013415984841</v>
      </c>
      <c r="U288" s="13">
        <f t="shared" si="365"/>
        <v>55167.9454174222</v>
      </c>
      <c r="V288" s="2">
        <f t="shared" si="366"/>
        <v>0.909958844137578</v>
      </c>
      <c r="W288" s="2">
        <f t="shared" si="367"/>
        <v>0.279945125516771</v>
      </c>
      <c r="X288" s="2">
        <f t="shared" si="368"/>
        <v>0.46746227379278</v>
      </c>
      <c r="Y288" s="2">
        <f t="shared" si="369"/>
        <v>1</v>
      </c>
      <c r="Z288" s="2">
        <f t="shared" si="370"/>
        <v>1</v>
      </c>
      <c r="AA288" s="2">
        <f t="shared" si="371"/>
        <v>1</v>
      </c>
      <c r="AB288" s="2">
        <f t="shared" si="372"/>
        <v>1</v>
      </c>
      <c r="AC288" s="2">
        <f t="shared" si="373"/>
        <v>1</v>
      </c>
      <c r="AD288" s="1">
        <f t="shared" si="374"/>
        <v>1.89411757233944</v>
      </c>
      <c r="AE288" s="2">
        <f t="shared" si="375"/>
        <v>1</v>
      </c>
      <c r="AF288" s="2">
        <f t="shared" si="376"/>
        <v>1.21359888536314</v>
      </c>
      <c r="AG288" s="2">
        <f t="shared" si="377"/>
        <v>1.37854469128245</v>
      </c>
      <c r="AH288" s="2">
        <f>MIN(1,_曲线基线!$L$3+AH$9*($H$10*H288+$I$10*I288+$J$10*J288+$K$10*K288+$L$10*L288))</f>
        <v>0.53593746420114</v>
      </c>
      <c r="AI288" s="2">
        <f>_曲线基线!$L$4+AI$9*($H$10*H288+$I$10*I288+$J$10*J288+$K$10*K288+$L$10*L288)</f>
        <v>3.35368293598889</v>
      </c>
      <c r="AJ288" s="2">
        <f t="shared" si="378"/>
        <v>2.11071420388832</v>
      </c>
      <c r="AK288" s="1">
        <f t="shared" si="379"/>
        <v>4.77322580342157</v>
      </c>
      <c r="AL288" s="1">
        <f t="shared" si="380"/>
        <v>2493881.00483866</v>
      </c>
      <c r="AM288" s="14">
        <f t="shared" si="381"/>
        <v>54.5794691439634</v>
      </c>
      <c r="AN288" s="14">
        <f>(((E288*模块规划!$D$10+G288*模块规划!$D$11+H288*模块规划!$D$13)*(1+模块规划!$G$14*H288)+(I288*模块规划!$D$15+J288*模块规划!$D$17+K288*模块规划!$D$16+L288*模块规划!$D$18))*(1+模块规划!$J$17*J288))*F288/(1-Q288)</f>
        <v>2967931.42809244</v>
      </c>
      <c r="AO288" s="1">
        <f t="shared" si="382"/>
        <v>136114701.352308</v>
      </c>
      <c r="AP288" s="1">
        <f>IF(AO288="","",_xlfn.XLOOKUP(AO288,_曲线基线!$E$3:$E$502,_曲线基线!$A$3:$A$502,500,1))</f>
        <v>312</v>
      </c>
      <c r="AQ288" s="15">
        <f t="shared" si="385"/>
        <v>5</v>
      </c>
    </row>
    <row r="289" customHeight="1" spans="1:43">
      <c r="A289" s="1" t="str">
        <f>IFERROR(_xlfn.XLOOKUP(B289,_曲线基线!$G$3:$G$107,_曲线基线!$J$3:$J$107,""),"")</f>
        <v/>
      </c>
      <c r="B289" s="1">
        <v>278</v>
      </c>
      <c r="C289" s="1">
        <f t="shared" si="333"/>
        <v>19</v>
      </c>
      <c r="D289" s="1">
        <f t="shared" si="334"/>
        <v>14</v>
      </c>
      <c r="E289" s="1">
        <f t="shared" si="360"/>
        <v>1</v>
      </c>
      <c r="F289" s="11">
        <f t="shared" si="383"/>
        <v>5</v>
      </c>
      <c r="G289" s="12">
        <f t="shared" ref="G289:L289" si="405">IF($B289&lt;G$8,0,G$3+(G$4-G$3)*(POWER(G$5,$B289-G$8)-1)/(POWER(G$5,$C$5-G$8)-1))</f>
        <v>0.899791684817771</v>
      </c>
      <c r="H289" s="12">
        <f t="shared" si="405"/>
        <v>0.699932099755601</v>
      </c>
      <c r="I289" s="12">
        <f t="shared" si="405"/>
        <v>0.649825416996869</v>
      </c>
      <c r="J289" s="12">
        <f t="shared" si="405"/>
        <v>0.5999194443962</v>
      </c>
      <c r="K289" s="12">
        <f t="shared" si="405"/>
        <v>0.649633545984721</v>
      </c>
      <c r="L289" s="12">
        <f t="shared" si="405"/>
        <v>0.699930707314913</v>
      </c>
      <c r="M289" s="2">
        <f>E289*模块规划!$F$10+G289*模块规划!$F$11+H289*模块规划!$F$13</f>
        <v>5319.0000871253</v>
      </c>
      <c r="N289" s="2">
        <f>I289*模块规划!$F$15+J289*模块规划!$F$17+K289*模块规划!$F$16+L289*模块规划!$F$18</f>
        <v>18595.2525924198</v>
      </c>
      <c r="O289" s="2">
        <f t="shared" si="362"/>
        <v>3.42066875616257</v>
      </c>
      <c r="P289" s="13">
        <f t="shared" si="363"/>
        <v>36789.7900044753</v>
      </c>
      <c r="Q289" s="7">
        <f>P289/(P289+_曲线基线!$L$2)</f>
        <v>0.605196859567485</v>
      </c>
      <c r="R289" s="2">
        <f>E289*模块规划!$E$10+G289*模块规划!$E$11+H289*模块规划!$E$13</f>
        <v>7978.50013068795</v>
      </c>
      <c r="S289" s="2">
        <f>I289*模块规划!$E$15+J289*模块规划!$E$17+K289*模块规划!$E$16+L289*模块规划!$E$18</f>
        <v>27892.8788886298</v>
      </c>
      <c r="T289" s="2">
        <f t="shared" si="364"/>
        <v>3.42066875616257</v>
      </c>
      <c r="U289" s="13">
        <f t="shared" si="365"/>
        <v>55184.685006713</v>
      </c>
      <c r="V289" s="2">
        <f t="shared" si="366"/>
        <v>0.90997962992668</v>
      </c>
      <c r="W289" s="2">
        <f t="shared" si="367"/>
        <v>0.27997283990224</v>
      </c>
      <c r="X289" s="2">
        <f t="shared" si="368"/>
        <v>0.46748132743279</v>
      </c>
      <c r="Y289" s="2">
        <f t="shared" si="369"/>
        <v>1</v>
      </c>
      <c r="Z289" s="2">
        <f t="shared" si="370"/>
        <v>1</v>
      </c>
      <c r="AA289" s="2">
        <f t="shared" si="371"/>
        <v>1</v>
      </c>
      <c r="AB289" s="2">
        <f t="shared" si="372"/>
        <v>1</v>
      </c>
      <c r="AC289" s="2">
        <f t="shared" si="373"/>
        <v>1</v>
      </c>
      <c r="AD289" s="1">
        <f t="shared" si="374"/>
        <v>1.89425055873202</v>
      </c>
      <c r="AE289" s="2">
        <f t="shared" si="375"/>
        <v>1</v>
      </c>
      <c r="AF289" s="2">
        <f t="shared" si="376"/>
        <v>1.21364606835767</v>
      </c>
      <c r="AG289" s="2">
        <f t="shared" si="377"/>
        <v>1.37862831003387</v>
      </c>
      <c r="AH289" s="2">
        <f>MIN(1,_曲线基线!$L$3+AH$9*($H$10*H289+$I$10*I289+$J$10*J289+$K$10*K289+$L$10*L289))</f>
        <v>0.536044805513696</v>
      </c>
      <c r="AI289" s="2">
        <f>_曲线基线!$L$4+AI$9*($H$10*H289+$I$10*I289+$J$10*J289+$K$10*K289+$L$10*L289)</f>
        <v>3.35398195821672</v>
      </c>
      <c r="AJ289" s="2">
        <f t="shared" si="378"/>
        <v>2.11095955545988</v>
      </c>
      <c r="AK289" s="1">
        <f t="shared" si="379"/>
        <v>4.77465234078771</v>
      </c>
      <c r="AL289" s="1">
        <f t="shared" si="380"/>
        <v>2495558.47684643</v>
      </c>
      <c r="AM289" s="14">
        <f t="shared" si="381"/>
        <v>54.7886884753249</v>
      </c>
      <c r="AN289" s="14">
        <f>(((E289*模块规划!$D$10+G289*模块规划!$D$11+H289*模块规划!$D$13)*(1+模块规划!$G$14*H289)+(I289*模块规划!$D$15+J289*模块规划!$D$17+K289*模块规划!$D$16+L289*模块规划!$D$18))*(1+模块规划!$J$17*J289))*F289/(1-Q289)</f>
        <v>2969390.54015901</v>
      </c>
      <c r="AO289" s="1">
        <f t="shared" si="382"/>
        <v>136728375.959895</v>
      </c>
      <c r="AP289" s="1">
        <f>IF(AO289="","",_xlfn.XLOOKUP(AO289,_曲线基线!$E$3:$E$502,_曲线基线!$A$3:$A$502,500,1))</f>
        <v>313</v>
      </c>
      <c r="AQ289" s="15">
        <f t="shared" si="385"/>
        <v>5</v>
      </c>
    </row>
    <row r="290" customHeight="1" spans="1:43">
      <c r="A290" s="1" t="str">
        <f>IFERROR(_xlfn.XLOOKUP(B290,_曲线基线!$G$3:$G$107,_曲线基线!$J$3:$J$107,""),"")</f>
        <v/>
      </c>
      <c r="B290" s="1">
        <v>279</v>
      </c>
      <c r="C290" s="1">
        <f t="shared" si="333"/>
        <v>19</v>
      </c>
      <c r="D290" s="1">
        <f t="shared" si="334"/>
        <v>15</v>
      </c>
      <c r="E290" s="1">
        <f t="shared" si="360"/>
        <v>1</v>
      </c>
      <c r="F290" s="11">
        <f t="shared" si="383"/>
        <v>5</v>
      </c>
      <c r="G290" s="12">
        <f t="shared" ref="G290:L290" si="406">IF($B290&lt;G$8,0,G$3+(G$4-G$3)*(POWER(G$5,$B290-G$8)-1)/(POWER(G$5,$C$5-G$8)-1))</f>
        <v>0.9</v>
      </c>
      <c r="H290" s="12">
        <f t="shared" si="406"/>
        <v>0.7</v>
      </c>
      <c r="I290" s="12">
        <f t="shared" si="406"/>
        <v>0.65</v>
      </c>
      <c r="J290" s="12">
        <f t="shared" si="406"/>
        <v>0.6</v>
      </c>
      <c r="K290" s="12">
        <f t="shared" si="406"/>
        <v>0.65</v>
      </c>
      <c r="L290" s="12">
        <f t="shared" si="406"/>
        <v>0.7</v>
      </c>
      <c r="M290" s="2">
        <f>E290*模块规划!$F$10+G290*模块规划!$F$11+H290*模块规划!$F$13</f>
        <v>5320</v>
      </c>
      <c r="N290" s="2">
        <f>I290*模块规划!$F$15+J290*模块规划!$F$17+K290*模块规划!$F$16+L290*模块规划!$F$18</f>
        <v>18600</v>
      </c>
      <c r="O290" s="2">
        <f t="shared" si="362"/>
        <v>3.42119266055046</v>
      </c>
      <c r="P290" s="13">
        <f t="shared" si="363"/>
        <v>36800.7449541284</v>
      </c>
      <c r="Q290" s="7">
        <f>P290/(P290+_曲线基线!$L$2)</f>
        <v>0.605267994362454</v>
      </c>
      <c r="R290" s="2">
        <f>E290*模块规划!$E$10+G290*模块规划!$E$11+H290*模块规划!$E$13</f>
        <v>7980</v>
      </c>
      <c r="S290" s="2">
        <f>I290*模块规划!$E$15+J290*模块规划!$E$17+K290*模块规划!$E$16+L290*模块规划!$E$18</f>
        <v>27900</v>
      </c>
      <c r="T290" s="2">
        <f t="shared" si="364"/>
        <v>3.42119266055046</v>
      </c>
      <c r="U290" s="13">
        <f t="shared" si="365"/>
        <v>55201.1174311927</v>
      </c>
      <c r="V290" s="2">
        <f t="shared" si="366"/>
        <v>0.91</v>
      </c>
      <c r="W290" s="2">
        <f t="shared" si="367"/>
        <v>0.28</v>
      </c>
      <c r="X290" s="2">
        <f t="shared" si="368"/>
        <v>0.4675</v>
      </c>
      <c r="Y290" s="2">
        <f t="shared" si="369"/>
        <v>1</v>
      </c>
      <c r="Z290" s="2">
        <f t="shared" si="370"/>
        <v>1</v>
      </c>
      <c r="AA290" s="2">
        <f t="shared" si="371"/>
        <v>1</v>
      </c>
      <c r="AB290" s="2">
        <f t="shared" si="372"/>
        <v>1</v>
      </c>
      <c r="AC290" s="2">
        <f t="shared" si="373"/>
        <v>1</v>
      </c>
      <c r="AD290" s="1">
        <f t="shared" si="374"/>
        <v>1.89438089102564</v>
      </c>
      <c r="AE290" s="2">
        <f t="shared" si="375"/>
        <v>1</v>
      </c>
      <c r="AF290" s="2">
        <f t="shared" si="376"/>
        <v>1.21369230769231</v>
      </c>
      <c r="AG290" s="2">
        <f t="shared" si="377"/>
        <v>1.37871025641026</v>
      </c>
      <c r="AH290" s="2">
        <f>MIN(1,_曲线基线!$L$3+AH$9*($H$10*H290+$I$10*I290+$J$10*J290+$K$10*K290+$L$10*L290))</f>
        <v>0.53615</v>
      </c>
      <c r="AI290" s="2">
        <f>_曲线基线!$L$4+AI$9*($H$10*H290+$I$10*I290+$J$10*J290+$K$10*K290+$L$10*L290)</f>
        <v>3.354275</v>
      </c>
      <c r="AJ290" s="2">
        <f t="shared" si="378"/>
        <v>2.1112</v>
      </c>
      <c r="AK290" s="1">
        <f t="shared" si="379"/>
        <v>4.776050675487</v>
      </c>
      <c r="AL290" s="1">
        <f t="shared" si="380"/>
        <v>2497204.47172538</v>
      </c>
      <c r="AM290" s="14">
        <f t="shared" si="381"/>
        <v>55</v>
      </c>
      <c r="AN290" s="14">
        <f>(((E290*模块规划!$D$10+G290*模块规划!$D$11+H290*模块规划!$D$13)*(1+模块规划!$G$14*H290)+(I290*模块规划!$D$15+J290*模块规划!$D$17+K290*模块规划!$D$16+L290*模块规划!$D$18))*(1+模块规划!$J$17*J290))*F290/(1-Q290)</f>
        <v>2970822.69299639</v>
      </c>
      <c r="AO290" s="1">
        <f t="shared" si="382"/>
        <v>137346245.944896</v>
      </c>
      <c r="AP290" s="1">
        <f>IF(AO290="","",_xlfn.XLOOKUP(AO290,_曲线基线!$E$3:$E$502,_曲线基线!$A$3:$A$502,500,1))</f>
        <v>313</v>
      </c>
      <c r="AQ290" s="15">
        <f t="shared" si="385"/>
        <v>5</v>
      </c>
    </row>
  </sheetData>
  <mergeCells count="1">
    <mergeCell ref="Y10:AC10"/>
  </mergeCells>
  <pageMargins left="0.75" right="0.75" top="1" bottom="1" header="0.511811023622047" footer="0.511811023622047"/>
  <pageSetup paperSize="9" orientation="portrait" horizontalDpi="300" verticalDpi="300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02"/>
  <sheetViews>
    <sheetView workbookViewId="0">
      <selection activeCell="A1" sqref="A1"/>
    </sheetView>
  </sheetViews>
  <sheetFormatPr defaultColWidth="9" defaultRowHeight="13.5" customHeight="1"/>
  <sheetData>
    <row r="1" customHeight="1" spans="1:12">
      <c r="A1" t="s">
        <v>267</v>
      </c>
    </row>
    <row r="2" customHeight="1" spans="1:12">
      <c r="A2" t="s">
        <v>265</v>
      </c>
      <c r="B2" t="s">
        <v>268</v>
      </c>
      <c r="C2" t="s">
        <v>269</v>
      </c>
      <c r="D2" t="s">
        <v>270</v>
      </c>
      <c r="E2" t="s">
        <v>271</v>
      </c>
      <c r="G2" t="s">
        <v>272</v>
      </c>
      <c r="H2" t="s">
        <v>240</v>
      </c>
      <c r="I2" t="s">
        <v>241</v>
      </c>
      <c r="J2" t="s">
        <v>238</v>
      </c>
      <c r="K2" t="s">
        <v>273</v>
      </c>
      <c r="L2">
        <v>24000</v>
      </c>
    </row>
    <row r="3" customHeight="1" spans="1:12">
      <c r="A3">
        <v>1</v>
      </c>
      <c r="B3">
        <v>10578</v>
      </c>
      <c r="C3">
        <v>71</v>
      </c>
      <c r="D3">
        <v>0.00294514052610836</v>
      </c>
      <c r="E3">
        <f t="shared" ref="E3:E66" si="0">IFERROR(B3/(1-D3),B3)</f>
        <v>10609.24571952</v>
      </c>
      <c r="G3">
        <v>1</v>
      </c>
      <c r="H3">
        <v>0</v>
      </c>
      <c r="I3">
        <v>1</v>
      </c>
      <c r="J3">
        <v>1</v>
      </c>
      <c r="K3" t="s">
        <v>274</v>
      </c>
      <c r="L3">
        <v>0.05</v>
      </c>
    </row>
    <row r="4" customHeight="1" spans="1:12">
      <c r="A4">
        <v>2</v>
      </c>
      <c r="B4">
        <v>21469</v>
      </c>
      <c r="C4">
        <v>142</v>
      </c>
      <c r="D4">
        <v>0.00588130217235511</v>
      </c>
      <c r="E4">
        <f t="shared" si="0"/>
        <v>21596.0126762671</v>
      </c>
      <c r="G4">
        <v>2</v>
      </c>
      <c r="H4">
        <v>0</v>
      </c>
      <c r="I4">
        <v>2</v>
      </c>
      <c r="J4">
        <v>2</v>
      </c>
      <c r="K4" t="s">
        <v>275</v>
      </c>
      <c r="L4">
        <v>2</v>
      </c>
    </row>
    <row r="5" customHeight="1" spans="1:12">
      <c r="A5">
        <v>3</v>
      </c>
      <c r="B5">
        <v>32524</v>
      </c>
      <c r="C5">
        <v>213</v>
      </c>
      <c r="D5">
        <v>0.00880776590798458</v>
      </c>
      <c r="E5">
        <f t="shared" si="0"/>
        <v>32813.0093046922</v>
      </c>
      <c r="G5">
        <v>3</v>
      </c>
      <c r="H5">
        <v>0</v>
      </c>
      <c r="I5">
        <v>3</v>
      </c>
      <c r="J5">
        <v>3</v>
      </c>
    </row>
    <row r="6" customHeight="1" spans="1:12">
      <c r="A6">
        <v>4</v>
      </c>
      <c r="B6">
        <v>43731</v>
      </c>
      <c r="C6">
        <v>285</v>
      </c>
      <c r="D6">
        <v>0.0117245504887696</v>
      </c>
      <c r="E6">
        <f t="shared" si="0"/>
        <v>44249.8091211595</v>
      </c>
      <c r="G6">
        <v>4</v>
      </c>
      <c r="H6">
        <v>0</v>
      </c>
      <c r="I6">
        <v>4</v>
      </c>
      <c r="J6">
        <v>4</v>
      </c>
    </row>
    <row r="7" customHeight="1" spans="1:12">
      <c r="A7">
        <v>5</v>
      </c>
      <c r="B7">
        <v>55195</v>
      </c>
      <c r="C7">
        <v>356</v>
      </c>
      <c r="D7">
        <v>0.0146316748911697</v>
      </c>
      <c r="E7">
        <f t="shared" si="0"/>
        <v>56014.5872295052</v>
      </c>
      <c r="G7">
        <v>5</v>
      </c>
      <c r="H7">
        <v>0</v>
      </c>
      <c r="I7">
        <v>5</v>
      </c>
      <c r="J7">
        <v>5</v>
      </c>
    </row>
    <row r="8" customHeight="1" spans="1:12">
      <c r="A8">
        <v>6</v>
      </c>
      <c r="B8">
        <v>66901</v>
      </c>
      <c r="C8">
        <v>428</v>
      </c>
      <c r="D8">
        <v>0.0175291583054314</v>
      </c>
      <c r="E8">
        <f t="shared" si="0"/>
        <v>68094.6417550764</v>
      </c>
      <c r="G8">
        <v>6</v>
      </c>
      <c r="H8">
        <v>1</v>
      </c>
      <c r="I8">
        <v>1</v>
      </c>
      <c r="J8">
        <v>6</v>
      </c>
    </row>
    <row r="9" customHeight="1" spans="1:12">
      <c r="A9">
        <v>7</v>
      </c>
      <c r="B9">
        <v>78834</v>
      </c>
      <c r="C9">
        <v>500</v>
      </c>
      <c r="D9">
        <v>0.020417020133249</v>
      </c>
      <c r="E9">
        <f t="shared" si="0"/>
        <v>80477.102624551</v>
      </c>
      <c r="G9">
        <v>7</v>
      </c>
      <c r="H9">
        <v>1</v>
      </c>
      <c r="I9">
        <v>2</v>
      </c>
      <c r="J9">
        <v>6</v>
      </c>
    </row>
    <row r="10" customHeight="1" spans="1:12">
      <c r="A10">
        <v>8</v>
      </c>
      <c r="B10">
        <v>90876</v>
      </c>
      <c r="C10">
        <v>572</v>
      </c>
      <c r="D10">
        <v>0.0232952799819468</v>
      </c>
      <c r="E10">
        <f t="shared" si="0"/>
        <v>93043.4737720119</v>
      </c>
      <c r="G10">
        <v>8</v>
      </c>
      <c r="H10">
        <v>1</v>
      </c>
      <c r="I10">
        <v>3</v>
      </c>
      <c r="J10">
        <v>7</v>
      </c>
    </row>
    <row r="11" customHeight="1" spans="1:12">
      <c r="A11">
        <v>9</v>
      </c>
      <c r="B11">
        <v>103132</v>
      </c>
      <c r="C11">
        <v>645</v>
      </c>
      <c r="D11">
        <v>0.0261639576603242</v>
      </c>
      <c r="E11">
        <f t="shared" si="0"/>
        <v>105902.837352602</v>
      </c>
      <c r="G11">
        <v>9</v>
      </c>
      <c r="H11">
        <v>1</v>
      </c>
      <c r="I11">
        <v>4</v>
      </c>
      <c r="J11">
        <v>8</v>
      </c>
    </row>
    <row r="12" customHeight="1" spans="1:12">
      <c r="A12">
        <v>10</v>
      </c>
      <c r="B12">
        <v>115595</v>
      </c>
      <c r="C12">
        <v>717</v>
      </c>
      <c r="D12">
        <v>0.0290230731742351</v>
      </c>
      <c r="E12">
        <f t="shared" si="0"/>
        <v>119050.202745696</v>
      </c>
      <c r="G12">
        <v>10</v>
      </c>
      <c r="H12">
        <v>1</v>
      </c>
      <c r="I12">
        <v>5</v>
      </c>
      <c r="J12">
        <v>9</v>
      </c>
    </row>
    <row r="13" customHeight="1" spans="1:12">
      <c r="A13">
        <v>11</v>
      </c>
      <c r="B13">
        <v>128363</v>
      </c>
      <c r="C13">
        <v>790</v>
      </c>
      <c r="D13">
        <v>0.0318726467219118</v>
      </c>
      <c r="E13">
        <f t="shared" si="0"/>
        <v>132588.961116904</v>
      </c>
      <c r="G13">
        <v>11</v>
      </c>
      <c r="H13">
        <v>1</v>
      </c>
      <c r="I13">
        <v>6</v>
      </c>
      <c r="J13">
        <v>10</v>
      </c>
    </row>
    <row r="14" customHeight="1" spans="1:12">
      <c r="A14">
        <v>12</v>
      </c>
      <c r="B14">
        <v>141229</v>
      </c>
      <c r="C14">
        <v>863</v>
      </c>
      <c r="D14">
        <v>0.0347126986909008</v>
      </c>
      <c r="E14">
        <f t="shared" si="0"/>
        <v>146307.736368715</v>
      </c>
      <c r="G14">
        <v>12</v>
      </c>
      <c r="H14">
        <v>1</v>
      </c>
      <c r="I14">
        <v>7</v>
      </c>
      <c r="J14">
        <v>10</v>
      </c>
    </row>
    <row r="15" customHeight="1" spans="1:12">
      <c r="A15">
        <v>13</v>
      </c>
      <c r="B15">
        <v>154391</v>
      </c>
      <c r="C15">
        <v>936</v>
      </c>
      <c r="D15">
        <v>0.0375432496516267</v>
      </c>
      <c r="E15">
        <f t="shared" si="0"/>
        <v>160413.441896601</v>
      </c>
      <c r="G15">
        <v>13</v>
      </c>
      <c r="H15">
        <v>1</v>
      </c>
      <c r="I15">
        <v>8</v>
      </c>
      <c r="J15">
        <v>11</v>
      </c>
    </row>
    <row r="16" customHeight="1" spans="1:12">
      <c r="A16">
        <v>14</v>
      </c>
      <c r="B16">
        <v>167749</v>
      </c>
      <c r="C16">
        <v>1009</v>
      </c>
      <c r="D16">
        <v>0.0403643203553682</v>
      </c>
      <c r="E16">
        <f t="shared" si="0"/>
        <v>174804.880183405</v>
      </c>
      <c r="G16">
        <v>14</v>
      </c>
      <c r="H16">
        <v>1</v>
      </c>
      <c r="I16">
        <v>9</v>
      </c>
      <c r="J16">
        <v>12</v>
      </c>
    </row>
    <row r="17" customHeight="1" spans="1:10">
      <c r="A17">
        <v>15</v>
      </c>
      <c r="B17">
        <v>181306</v>
      </c>
      <c r="C17">
        <v>1083</v>
      </c>
      <c r="D17">
        <v>0.043175931728866</v>
      </c>
      <c r="E17">
        <f t="shared" si="0"/>
        <v>189487.290309908</v>
      </c>
      <c r="G17">
        <v>15</v>
      </c>
      <c r="H17">
        <v>1</v>
      </c>
      <c r="I17">
        <v>10</v>
      </c>
      <c r="J17">
        <v>13</v>
      </c>
    </row>
    <row r="18" customHeight="1" spans="1:10">
      <c r="A18">
        <v>16</v>
      </c>
      <c r="B18">
        <v>195154</v>
      </c>
      <c r="C18">
        <v>1157</v>
      </c>
      <c r="D18">
        <v>0.0459781048705391</v>
      </c>
      <c r="E18">
        <f t="shared" si="0"/>
        <v>204559.246487228</v>
      </c>
      <c r="G18">
        <v>16</v>
      </c>
      <c r="H18">
        <v>2</v>
      </c>
      <c r="I18">
        <v>1</v>
      </c>
      <c r="J18">
        <v>13</v>
      </c>
    </row>
    <row r="19" customHeight="1" spans="1:10">
      <c r="A19">
        <v>17</v>
      </c>
      <c r="B19">
        <v>209204</v>
      </c>
      <c r="C19">
        <v>1231</v>
      </c>
      <c r="D19">
        <v>0.0487708610464423</v>
      </c>
      <c r="E19">
        <f t="shared" si="0"/>
        <v>219930.184466536</v>
      </c>
      <c r="G19">
        <v>17</v>
      </c>
      <c r="H19">
        <v>2</v>
      </c>
      <c r="I19">
        <v>2</v>
      </c>
      <c r="J19">
        <v>13</v>
      </c>
    </row>
    <row r="20" customHeight="1" spans="1:10">
      <c r="A20">
        <v>18</v>
      </c>
      <c r="B20">
        <v>223547</v>
      </c>
      <c r="C20">
        <v>1305</v>
      </c>
      <c r="D20">
        <v>0.051554221686276</v>
      </c>
      <c r="E20">
        <f t="shared" si="0"/>
        <v>235698.239278847</v>
      </c>
      <c r="G20">
        <v>18</v>
      </c>
      <c r="H20">
        <v>2</v>
      </c>
      <c r="I20">
        <v>3</v>
      </c>
      <c r="J20">
        <v>14</v>
      </c>
    </row>
    <row r="21" customHeight="1" spans="1:10">
      <c r="A21">
        <v>19</v>
      </c>
      <c r="B21">
        <v>238099</v>
      </c>
      <c r="C21">
        <v>1379</v>
      </c>
      <c r="D21">
        <v>0.0543282083794481</v>
      </c>
      <c r="E21">
        <f t="shared" si="0"/>
        <v>251777.627407053</v>
      </c>
      <c r="G21">
        <v>19</v>
      </c>
      <c r="H21">
        <v>2</v>
      </c>
      <c r="I21">
        <v>4</v>
      </c>
      <c r="J21">
        <v>14</v>
      </c>
    </row>
    <row r="22" customHeight="1" spans="1:10">
      <c r="A22">
        <v>20</v>
      </c>
      <c r="B22">
        <v>252950</v>
      </c>
      <c r="C22">
        <v>1453</v>
      </c>
      <c r="D22">
        <v>0.0570928428711867</v>
      </c>
      <c r="E22">
        <f t="shared" si="0"/>
        <v>268266.072738531</v>
      </c>
      <c r="G22">
        <v>20</v>
      </c>
      <c r="H22">
        <v>2</v>
      </c>
      <c r="I22">
        <v>5</v>
      </c>
      <c r="J22">
        <v>15</v>
      </c>
    </row>
    <row r="23" customHeight="1" spans="1:10">
      <c r="A23">
        <v>21</v>
      </c>
      <c r="B23">
        <v>268103</v>
      </c>
      <c r="C23">
        <v>1528</v>
      </c>
      <c r="D23">
        <v>0.059848147058406</v>
      </c>
      <c r="E23">
        <f t="shared" si="0"/>
        <v>285169.88948237</v>
      </c>
      <c r="G23">
        <v>21</v>
      </c>
      <c r="H23">
        <v>2</v>
      </c>
      <c r="I23">
        <v>6</v>
      </c>
      <c r="J23">
        <v>15</v>
      </c>
    </row>
    <row r="24" customHeight="1" spans="1:10">
      <c r="A24">
        <v>22</v>
      </c>
      <c r="B24">
        <v>283645</v>
      </c>
      <c r="C24">
        <v>1603</v>
      </c>
      <c r="D24">
        <v>0.0625941429871123</v>
      </c>
      <c r="E24">
        <f t="shared" si="0"/>
        <v>302585.052011362</v>
      </c>
      <c r="G24">
        <v>22</v>
      </c>
      <c r="H24">
        <v>2</v>
      </c>
      <c r="I24">
        <v>7</v>
      </c>
      <c r="J24">
        <v>15</v>
      </c>
    </row>
    <row r="25" customHeight="1" spans="1:10">
      <c r="A25">
        <v>23</v>
      </c>
      <c r="B25">
        <v>299412</v>
      </c>
      <c r="C25">
        <v>1678</v>
      </c>
      <c r="D25">
        <v>0.065330852846879</v>
      </c>
      <c r="E25">
        <f t="shared" si="0"/>
        <v>320340.091370267</v>
      </c>
      <c r="G25">
        <v>23</v>
      </c>
      <c r="H25">
        <v>2</v>
      </c>
      <c r="I25">
        <v>8</v>
      </c>
      <c r="J25">
        <v>16</v>
      </c>
    </row>
    <row r="26" customHeight="1" spans="1:10">
      <c r="A26">
        <v>24</v>
      </c>
      <c r="B26">
        <v>315492</v>
      </c>
      <c r="C26">
        <v>1753</v>
      </c>
      <c r="D26">
        <v>0.0680582989683543</v>
      </c>
      <c r="E26">
        <f t="shared" si="0"/>
        <v>338531.905644693</v>
      </c>
      <c r="G26">
        <v>24</v>
      </c>
      <c r="H26">
        <v>2</v>
      </c>
      <c r="I26">
        <v>9</v>
      </c>
      <c r="J26">
        <v>16</v>
      </c>
    </row>
    <row r="27" customHeight="1" spans="1:10">
      <c r="A27">
        <v>25</v>
      </c>
      <c r="B27">
        <v>331890</v>
      </c>
      <c r="C27">
        <v>1828</v>
      </c>
      <c r="D27">
        <v>0.0707765038190327</v>
      </c>
      <c r="E27">
        <f t="shared" si="0"/>
        <v>357169.186276542</v>
      </c>
      <c r="G27">
        <v>25</v>
      </c>
      <c r="H27">
        <v>2</v>
      </c>
      <c r="I27">
        <v>10</v>
      </c>
      <c r="J27">
        <v>17</v>
      </c>
    </row>
    <row r="28" customHeight="1" spans="1:10">
      <c r="A28">
        <v>26</v>
      </c>
      <c r="B28">
        <v>348690</v>
      </c>
      <c r="C28">
        <v>1904</v>
      </c>
      <c r="D28">
        <v>0.0734854900008362</v>
      </c>
      <c r="E28">
        <f t="shared" si="0"/>
        <v>376345.967857875</v>
      </c>
      <c r="G28">
        <v>26</v>
      </c>
      <c r="H28">
        <v>2</v>
      </c>
      <c r="I28">
        <v>11</v>
      </c>
      <c r="J28">
        <v>17</v>
      </c>
    </row>
    <row r="29" customHeight="1" spans="1:10">
      <c r="A29">
        <v>27</v>
      </c>
      <c r="B29">
        <v>365818</v>
      </c>
      <c r="C29">
        <v>1979</v>
      </c>
      <c r="D29">
        <v>0.0761852802448174</v>
      </c>
      <c r="E29">
        <f t="shared" si="0"/>
        <v>395986.329484926</v>
      </c>
      <c r="G29">
        <v>27</v>
      </c>
      <c r="H29">
        <v>2</v>
      </c>
      <c r="I29">
        <v>12</v>
      </c>
      <c r="J29">
        <v>17</v>
      </c>
    </row>
    <row r="30" customHeight="1" spans="1:10">
      <c r="A30">
        <v>28</v>
      </c>
      <c r="B30">
        <v>383278</v>
      </c>
      <c r="C30">
        <v>2055</v>
      </c>
      <c r="D30">
        <v>0.0788758974085504</v>
      </c>
      <c r="E30">
        <f t="shared" si="0"/>
        <v>416098.11199349</v>
      </c>
      <c r="G30">
        <v>28</v>
      </c>
      <c r="H30">
        <v>2</v>
      </c>
      <c r="I30">
        <v>13</v>
      </c>
      <c r="J30">
        <v>18</v>
      </c>
    </row>
    <row r="31" customHeight="1" spans="1:10">
      <c r="A31">
        <v>29</v>
      </c>
      <c r="B31">
        <v>401153</v>
      </c>
      <c r="C31">
        <v>2131</v>
      </c>
      <c r="D31">
        <v>0.081557364473546</v>
      </c>
      <c r="E31">
        <f t="shared" si="0"/>
        <v>436775.237214524</v>
      </c>
      <c r="G31">
        <v>29</v>
      </c>
      <c r="H31">
        <v>2</v>
      </c>
      <c r="I31">
        <v>14</v>
      </c>
      <c r="J31">
        <v>18</v>
      </c>
    </row>
    <row r="32" customHeight="1" spans="1:10">
      <c r="A32">
        <v>30</v>
      </c>
      <c r="B32">
        <v>419446</v>
      </c>
      <c r="C32">
        <v>2207</v>
      </c>
      <c r="D32">
        <v>0.0842297045401206</v>
      </c>
      <c r="E32">
        <f t="shared" si="0"/>
        <v>458025.338973638</v>
      </c>
      <c r="G32">
        <v>30</v>
      </c>
      <c r="H32">
        <v>2</v>
      </c>
      <c r="I32">
        <v>15</v>
      </c>
      <c r="J32">
        <v>19</v>
      </c>
    </row>
    <row r="33" customHeight="1" spans="1:10">
      <c r="A33">
        <v>31</v>
      </c>
      <c r="B33">
        <v>438088</v>
      </c>
      <c r="C33">
        <v>2284</v>
      </c>
      <c r="D33">
        <v>0.0868929408251985</v>
      </c>
      <c r="E33">
        <f t="shared" si="0"/>
        <v>479777.256782914</v>
      </c>
      <c r="G33">
        <v>31</v>
      </c>
      <c r="H33">
        <v>3</v>
      </c>
      <c r="I33">
        <v>1</v>
      </c>
      <c r="J33">
        <v>19</v>
      </c>
    </row>
    <row r="34" customHeight="1" spans="1:10">
      <c r="A34">
        <v>32</v>
      </c>
      <c r="B34">
        <v>457157</v>
      </c>
      <c r="C34">
        <v>2361</v>
      </c>
      <c r="D34">
        <v>0.0895470966587184</v>
      </c>
      <c r="E34">
        <f t="shared" si="0"/>
        <v>502120.426352944</v>
      </c>
      <c r="G34">
        <v>32</v>
      </c>
      <c r="H34">
        <v>3</v>
      </c>
      <c r="I34">
        <v>2</v>
      </c>
      <c r="J34">
        <v>19</v>
      </c>
    </row>
    <row r="35" customHeight="1" spans="1:10">
      <c r="A35">
        <v>33</v>
      </c>
      <c r="B35">
        <v>476660</v>
      </c>
      <c r="C35">
        <v>2437</v>
      </c>
      <c r="D35">
        <v>0.0921921954803712</v>
      </c>
      <c r="E35">
        <f t="shared" si="0"/>
        <v>525067.087578331</v>
      </c>
      <c r="G35">
        <v>33</v>
      </c>
      <c r="H35">
        <v>3</v>
      </c>
      <c r="I35">
        <v>3</v>
      </c>
      <c r="J35">
        <v>20</v>
      </c>
    </row>
    <row r="36" customHeight="1" spans="1:10">
      <c r="A36">
        <v>34</v>
      </c>
      <c r="B36">
        <v>496599</v>
      </c>
      <c r="C36">
        <v>2514</v>
      </c>
      <c r="D36">
        <v>0.0948282608363835</v>
      </c>
      <c r="E36">
        <f t="shared" si="0"/>
        <v>548624.066035093</v>
      </c>
      <c r="G36">
        <v>34</v>
      </c>
      <c r="H36">
        <v>3</v>
      </c>
      <c r="I36">
        <v>4</v>
      </c>
      <c r="J36">
        <v>20</v>
      </c>
    </row>
    <row r="37" customHeight="1" spans="1:10">
      <c r="A37">
        <v>35</v>
      </c>
      <c r="B37">
        <v>516979</v>
      </c>
      <c r="C37">
        <v>2591</v>
      </c>
      <c r="D37">
        <v>0.0974553163763474</v>
      </c>
      <c r="E37">
        <f t="shared" si="0"/>
        <v>572801.556953797</v>
      </c>
      <c r="G37">
        <v>35</v>
      </c>
      <c r="H37">
        <v>3</v>
      </c>
      <c r="I37">
        <v>5</v>
      </c>
      <c r="J37">
        <v>20</v>
      </c>
    </row>
    <row r="38" customHeight="1" spans="1:10">
      <c r="A38">
        <v>36</v>
      </c>
      <c r="B38">
        <v>537806</v>
      </c>
      <c r="C38">
        <v>2669</v>
      </c>
      <c r="D38">
        <v>0.100073385850093</v>
      </c>
      <c r="E38">
        <f t="shared" si="0"/>
        <v>597610.951319653</v>
      </c>
      <c r="G38">
        <v>36</v>
      </c>
      <c r="H38">
        <v>3</v>
      </c>
      <c r="I38">
        <v>6</v>
      </c>
      <c r="J38">
        <v>21</v>
      </c>
    </row>
    <row r="39" customHeight="1" spans="1:10">
      <c r="A39">
        <v>37</v>
      </c>
      <c r="B39">
        <v>559084</v>
      </c>
      <c r="C39">
        <v>2746</v>
      </c>
      <c r="D39">
        <v>0.102682493104879</v>
      </c>
      <c r="E39">
        <f t="shared" si="0"/>
        <v>623061.509113458</v>
      </c>
      <c r="G39">
        <v>37</v>
      </c>
      <c r="H39">
        <v>3</v>
      </c>
      <c r="I39">
        <v>7</v>
      </c>
      <c r="J39">
        <v>21</v>
      </c>
    </row>
    <row r="40" customHeight="1" spans="1:10">
      <c r="A40">
        <v>38</v>
      </c>
      <c r="B40">
        <v>580888</v>
      </c>
      <c r="C40">
        <v>2824</v>
      </c>
      <c r="D40">
        <v>0.105282662081251</v>
      </c>
      <c r="E40">
        <f t="shared" si="0"/>
        <v>649241.917398444</v>
      </c>
      <c r="G40">
        <v>38</v>
      </c>
      <c r="H40">
        <v>3</v>
      </c>
      <c r="I40">
        <v>8</v>
      </c>
      <c r="J40">
        <v>21</v>
      </c>
    </row>
    <row r="41" customHeight="1" spans="1:10">
      <c r="A41">
        <v>39</v>
      </c>
      <c r="B41">
        <v>603151</v>
      </c>
      <c r="C41">
        <v>2902</v>
      </c>
      <c r="D41">
        <v>0.107873916811974</v>
      </c>
      <c r="E41">
        <f t="shared" si="0"/>
        <v>676082.6876002</v>
      </c>
      <c r="G41">
        <v>39</v>
      </c>
      <c r="H41">
        <v>3</v>
      </c>
      <c r="I41">
        <v>9</v>
      </c>
      <c r="J41">
        <v>22</v>
      </c>
    </row>
    <row r="42" customHeight="1" spans="1:10">
      <c r="A42">
        <v>40</v>
      </c>
      <c r="B42">
        <v>625948</v>
      </c>
      <c r="C42">
        <v>2980</v>
      </c>
      <c r="D42">
        <v>0.110456281417148</v>
      </c>
      <c r="E42">
        <f t="shared" si="0"/>
        <v>703673.115692626</v>
      </c>
      <c r="G42">
        <v>40</v>
      </c>
      <c r="H42">
        <v>3</v>
      </c>
      <c r="I42">
        <v>10</v>
      </c>
      <c r="J42">
        <v>22</v>
      </c>
    </row>
    <row r="43" customHeight="1" spans="1:10">
      <c r="A43">
        <v>41</v>
      </c>
      <c r="B43">
        <v>649212</v>
      </c>
      <c r="C43">
        <v>3058</v>
      </c>
      <c r="D43">
        <v>0.113029780102399</v>
      </c>
      <c r="E43">
        <f t="shared" si="0"/>
        <v>731943.401746848</v>
      </c>
      <c r="G43">
        <v>41</v>
      </c>
      <c r="H43">
        <v>3</v>
      </c>
      <c r="I43">
        <v>11</v>
      </c>
      <c r="J43">
        <v>22</v>
      </c>
    </row>
    <row r="44" customHeight="1" spans="1:10">
      <c r="A44">
        <v>42</v>
      </c>
      <c r="B44">
        <v>673018</v>
      </c>
      <c r="C44">
        <v>3137</v>
      </c>
      <c r="D44">
        <v>0.115594437155729</v>
      </c>
      <c r="E44">
        <f t="shared" si="0"/>
        <v>760983.454056482</v>
      </c>
      <c r="G44">
        <v>42</v>
      </c>
      <c r="H44">
        <v>3</v>
      </c>
      <c r="I44">
        <v>12</v>
      </c>
      <c r="J44">
        <v>23</v>
      </c>
    </row>
    <row r="45" customHeight="1" spans="1:10">
      <c r="A45">
        <v>43</v>
      </c>
      <c r="B45">
        <v>697368</v>
      </c>
      <c r="C45">
        <v>3216</v>
      </c>
      <c r="D45">
        <v>0.118150276944688</v>
      </c>
      <c r="E45">
        <f t="shared" si="0"/>
        <v>790801.405010204</v>
      </c>
      <c r="G45">
        <v>43</v>
      </c>
      <c r="H45">
        <v>3</v>
      </c>
      <c r="I45">
        <v>13</v>
      </c>
      <c r="J45">
        <v>23</v>
      </c>
    </row>
    <row r="46" customHeight="1" spans="1:10">
      <c r="A46">
        <v>44</v>
      </c>
      <c r="B46">
        <v>722267</v>
      </c>
      <c r="C46">
        <v>3294</v>
      </c>
      <c r="D46">
        <v>0.120697323913584</v>
      </c>
      <c r="E46">
        <f t="shared" si="0"/>
        <v>821408.850038593</v>
      </c>
      <c r="G46">
        <v>44</v>
      </c>
      <c r="H46">
        <v>3</v>
      </c>
      <c r="I46">
        <v>14</v>
      </c>
      <c r="J46">
        <v>23</v>
      </c>
    </row>
    <row r="47" customHeight="1" spans="1:10">
      <c r="A47">
        <v>45</v>
      </c>
      <c r="B47">
        <v>747649</v>
      </c>
      <c r="C47">
        <v>3373</v>
      </c>
      <c r="D47">
        <v>0.123235602580999</v>
      </c>
      <c r="E47">
        <f t="shared" si="0"/>
        <v>852736.495917161</v>
      </c>
      <c r="G47">
        <v>45</v>
      </c>
      <c r="H47">
        <v>3</v>
      </c>
      <c r="I47">
        <v>15</v>
      </c>
      <c r="J47">
        <v>24</v>
      </c>
    </row>
    <row r="48" customHeight="1" spans="1:10">
      <c r="A48">
        <v>46</v>
      </c>
      <c r="B48">
        <v>773653</v>
      </c>
      <c r="C48">
        <v>3453</v>
      </c>
      <c r="D48">
        <v>0.125765137536279</v>
      </c>
      <c r="E48">
        <f t="shared" si="0"/>
        <v>884948.694244168</v>
      </c>
      <c r="G48">
        <v>46</v>
      </c>
      <c r="H48">
        <v>4</v>
      </c>
      <c r="I48">
        <v>1</v>
      </c>
      <c r="J48">
        <v>24</v>
      </c>
    </row>
    <row r="49" customHeight="1" spans="1:10">
      <c r="A49">
        <v>47</v>
      </c>
      <c r="B49">
        <v>800215</v>
      </c>
      <c r="C49">
        <v>3532</v>
      </c>
      <c r="D49">
        <v>0.128285953437404</v>
      </c>
      <c r="E49">
        <f t="shared" si="0"/>
        <v>917978.783473163</v>
      </c>
      <c r="G49">
        <v>47</v>
      </c>
      <c r="H49">
        <v>4</v>
      </c>
      <c r="I49">
        <v>2</v>
      </c>
      <c r="J49">
        <v>24</v>
      </c>
    </row>
    <row r="50" customHeight="1" spans="1:10">
      <c r="A50">
        <v>48</v>
      </c>
      <c r="B50">
        <v>827339</v>
      </c>
      <c r="C50">
        <v>3612</v>
      </c>
      <c r="D50">
        <v>0.130798075009409</v>
      </c>
      <c r="E50">
        <f t="shared" si="0"/>
        <v>951837.514636148</v>
      </c>
      <c r="G50">
        <v>48</v>
      </c>
      <c r="H50">
        <v>4</v>
      </c>
      <c r="I50">
        <v>3</v>
      </c>
      <c r="J50">
        <v>25</v>
      </c>
    </row>
    <row r="51" customHeight="1" spans="1:10">
      <c r="A51">
        <v>49</v>
      </c>
      <c r="B51">
        <v>855093</v>
      </c>
      <c r="C51">
        <v>3691</v>
      </c>
      <c r="D51">
        <v>0.133301527039151</v>
      </c>
      <c r="E51">
        <f t="shared" si="0"/>
        <v>986609.561083912</v>
      </c>
      <c r="G51">
        <v>49</v>
      </c>
      <c r="H51">
        <v>4</v>
      </c>
      <c r="I51">
        <v>4</v>
      </c>
      <c r="J51">
        <v>25</v>
      </c>
    </row>
    <row r="52" customHeight="1" spans="1:10">
      <c r="A52">
        <v>50</v>
      </c>
      <c r="B52">
        <v>883413</v>
      </c>
      <c r="C52">
        <v>3771</v>
      </c>
      <c r="D52">
        <v>0.135796334375653</v>
      </c>
      <c r="E52">
        <f t="shared" si="0"/>
        <v>1022227.78627278</v>
      </c>
      <c r="G52">
        <v>50</v>
      </c>
      <c r="H52">
        <v>4</v>
      </c>
      <c r="I52">
        <v>5</v>
      </c>
      <c r="J52">
        <v>25</v>
      </c>
    </row>
    <row r="53" customHeight="1" spans="1:10">
      <c r="A53">
        <v>51</v>
      </c>
      <c r="B53">
        <v>912370</v>
      </c>
      <c r="C53">
        <v>3851</v>
      </c>
      <c r="D53">
        <v>0.138282521925229</v>
      </c>
      <c r="E53">
        <f t="shared" si="0"/>
        <v>1058780.89189788</v>
      </c>
      <c r="G53">
        <v>51</v>
      </c>
      <c r="H53">
        <v>4</v>
      </c>
      <c r="I53">
        <v>6</v>
      </c>
      <c r="J53">
        <v>26</v>
      </c>
    </row>
    <row r="54" customHeight="1" spans="1:10">
      <c r="A54">
        <v>52</v>
      </c>
      <c r="B54">
        <v>941898</v>
      </c>
      <c r="C54">
        <v>3932</v>
      </c>
      <c r="D54">
        <v>0.140760114651351</v>
      </c>
      <c r="E54">
        <f t="shared" si="0"/>
        <v>1096199.11279818</v>
      </c>
      <c r="G54">
        <v>52</v>
      </c>
      <c r="H54">
        <v>4</v>
      </c>
      <c r="I54">
        <v>7</v>
      </c>
      <c r="J54">
        <v>26</v>
      </c>
    </row>
    <row r="55" customHeight="1" spans="1:10">
      <c r="A55">
        <v>53</v>
      </c>
      <c r="B55">
        <v>972133</v>
      </c>
      <c r="C55">
        <v>4012</v>
      </c>
      <c r="D55">
        <v>0.143229137569347</v>
      </c>
      <c r="E55">
        <f t="shared" si="0"/>
        <v>1134647.5967239</v>
      </c>
      <c r="G55">
        <v>53</v>
      </c>
      <c r="H55">
        <v>4</v>
      </c>
      <c r="I55">
        <v>8</v>
      </c>
      <c r="J55">
        <v>26</v>
      </c>
    </row>
    <row r="56" customHeight="1" spans="1:10">
      <c r="A56">
        <v>54</v>
      </c>
      <c r="B56">
        <v>1002944</v>
      </c>
      <c r="C56">
        <v>4093</v>
      </c>
      <c r="D56">
        <v>0.145689615746593</v>
      </c>
      <c r="E56">
        <f t="shared" si="0"/>
        <v>1173980.8136319</v>
      </c>
      <c r="G56">
        <v>54</v>
      </c>
      <c r="H56">
        <v>4</v>
      </c>
      <c r="I56">
        <v>9</v>
      </c>
      <c r="J56">
        <v>27</v>
      </c>
    </row>
    <row r="57" customHeight="1" spans="1:10">
      <c r="A57">
        <v>55</v>
      </c>
      <c r="B57">
        <v>1034400</v>
      </c>
      <c r="C57">
        <v>4174</v>
      </c>
      <c r="D57">
        <v>0.148141574299101</v>
      </c>
      <c r="E57">
        <f t="shared" si="0"/>
        <v>1214286.28137229</v>
      </c>
      <c r="G57">
        <v>55</v>
      </c>
      <c r="H57">
        <v>4</v>
      </c>
      <c r="I57">
        <v>10</v>
      </c>
      <c r="J57">
        <v>27</v>
      </c>
    </row>
    <row r="58" customHeight="1" spans="1:10">
      <c r="A58">
        <v>56</v>
      </c>
      <c r="B58">
        <v>1066503</v>
      </c>
      <c r="C58">
        <v>4255</v>
      </c>
      <c r="D58">
        <v>0.150585038388679</v>
      </c>
      <c r="E58">
        <f t="shared" si="0"/>
        <v>1255573.59853524</v>
      </c>
      <c r="G58">
        <v>56</v>
      </c>
      <c r="H58">
        <v>4</v>
      </c>
      <c r="I58">
        <v>11</v>
      </c>
      <c r="J58">
        <v>27</v>
      </c>
    </row>
    <row r="59" customHeight="1" spans="1:10">
      <c r="A59">
        <v>57</v>
      </c>
      <c r="B59">
        <v>1099319</v>
      </c>
      <c r="C59">
        <v>4336</v>
      </c>
      <c r="D59">
        <v>0.153020033221652</v>
      </c>
      <c r="E59">
        <f t="shared" si="0"/>
        <v>1297927.98309206</v>
      </c>
      <c r="G59">
        <v>57</v>
      </c>
      <c r="H59">
        <v>4</v>
      </c>
      <c r="I59">
        <v>12</v>
      </c>
      <c r="J59">
        <v>28</v>
      </c>
    </row>
    <row r="60" customHeight="1" spans="1:10">
      <c r="A60">
        <v>58</v>
      </c>
      <c r="B60">
        <v>1132721</v>
      </c>
      <c r="C60">
        <v>4417</v>
      </c>
      <c r="D60">
        <v>0.155446584045585</v>
      </c>
      <c r="E60">
        <f t="shared" si="0"/>
        <v>1341207.05523396</v>
      </c>
      <c r="G60">
        <v>58</v>
      </c>
      <c r="H60">
        <v>4</v>
      </c>
      <c r="I60">
        <v>13</v>
      </c>
      <c r="J60">
        <v>28</v>
      </c>
    </row>
    <row r="61" customHeight="1" spans="1:10">
      <c r="A61">
        <v>59</v>
      </c>
      <c r="B61">
        <v>1166840</v>
      </c>
      <c r="C61">
        <v>4499</v>
      </c>
      <c r="D61">
        <v>0.157864716147816</v>
      </c>
      <c r="E61">
        <f t="shared" si="0"/>
        <v>1385573.10490841</v>
      </c>
      <c r="G61">
        <v>59</v>
      </c>
      <c r="H61">
        <v>4</v>
      </c>
      <c r="I61">
        <v>14</v>
      </c>
      <c r="J61">
        <v>28</v>
      </c>
    </row>
    <row r="62" customHeight="1" spans="1:10">
      <c r="A62">
        <v>60</v>
      </c>
      <c r="B62">
        <v>1201676</v>
      </c>
      <c r="C62">
        <v>4581</v>
      </c>
      <c r="D62">
        <v>0.160274454853005</v>
      </c>
      <c r="E62">
        <f t="shared" si="0"/>
        <v>1431034.23129714</v>
      </c>
      <c r="G62">
        <v>60</v>
      </c>
      <c r="H62">
        <v>4</v>
      </c>
      <c r="I62">
        <v>15</v>
      </c>
      <c r="J62">
        <v>29</v>
      </c>
    </row>
    <row r="63" customHeight="1" spans="1:10">
      <c r="A63">
        <v>61</v>
      </c>
      <c r="B63">
        <v>1237168</v>
      </c>
      <c r="C63">
        <v>4663</v>
      </c>
      <c r="D63">
        <v>0.162675825521224</v>
      </c>
      <c r="E63">
        <f t="shared" si="0"/>
        <v>1477525.71549737</v>
      </c>
      <c r="G63">
        <v>61</v>
      </c>
      <c r="H63">
        <v>5</v>
      </c>
      <c r="I63">
        <v>1</v>
      </c>
      <c r="J63">
        <v>29</v>
      </c>
    </row>
    <row r="64" customHeight="1" spans="1:10">
      <c r="A64">
        <v>62</v>
      </c>
      <c r="B64">
        <v>1273380</v>
      </c>
      <c r="C64">
        <v>4745</v>
      </c>
      <c r="D64">
        <v>0.165068853545086</v>
      </c>
      <c r="E64">
        <f t="shared" si="0"/>
        <v>1525131.74937445</v>
      </c>
      <c r="G64">
        <v>62</v>
      </c>
      <c r="H64">
        <v>5</v>
      </c>
      <c r="I64">
        <v>2</v>
      </c>
      <c r="J64">
        <v>29</v>
      </c>
    </row>
    <row r="65" customHeight="1" spans="1:10">
      <c r="A65">
        <v>63</v>
      </c>
      <c r="B65">
        <v>1310313</v>
      </c>
      <c r="C65">
        <v>4827</v>
      </c>
      <c r="D65">
        <v>0.167453564348393</v>
      </c>
      <c r="E65">
        <f t="shared" si="0"/>
        <v>1573861.76180607</v>
      </c>
      <c r="G65">
        <v>63</v>
      </c>
      <c r="H65">
        <v>5</v>
      </c>
      <c r="I65">
        <v>3</v>
      </c>
      <c r="J65">
        <v>29</v>
      </c>
    </row>
    <row r="66" customHeight="1" spans="1:10">
      <c r="A66">
        <v>64</v>
      </c>
      <c r="B66">
        <v>1347970</v>
      </c>
      <c r="C66">
        <v>4910</v>
      </c>
      <c r="D66">
        <v>0.169829983384076</v>
      </c>
      <c r="E66">
        <f t="shared" si="0"/>
        <v>1623727.63773717</v>
      </c>
      <c r="G66">
        <v>64</v>
      </c>
      <c r="H66">
        <v>5</v>
      </c>
      <c r="I66">
        <v>4</v>
      </c>
      <c r="J66">
        <v>30</v>
      </c>
    </row>
    <row r="67" customHeight="1" spans="1:10">
      <c r="A67">
        <v>65</v>
      </c>
      <c r="B67">
        <v>1386350</v>
      </c>
      <c r="C67">
        <v>4992</v>
      </c>
      <c r="D67">
        <v>0.172198136131429</v>
      </c>
      <c r="E67">
        <f t="shared" ref="E67:E130" si="1">IFERROR(B67/(1-D67),B67)</f>
        <v>1674736.50460409</v>
      </c>
      <c r="G67">
        <v>65</v>
      </c>
      <c r="H67">
        <v>5</v>
      </c>
      <c r="I67">
        <v>5</v>
      </c>
      <c r="J67">
        <v>30</v>
      </c>
    </row>
    <row r="68" customHeight="1" spans="1:10">
      <c r="A68">
        <v>66</v>
      </c>
      <c r="B68">
        <v>1425455</v>
      </c>
      <c r="C68">
        <v>5075</v>
      </c>
      <c r="D68">
        <v>0.174558048094845</v>
      </c>
      <c r="E68">
        <f t="shared" si="1"/>
        <v>1726899.14379805</v>
      </c>
      <c r="G68">
        <v>66</v>
      </c>
      <c r="H68">
        <v>5</v>
      </c>
      <c r="I68">
        <v>6</v>
      </c>
      <c r="J68">
        <v>30</v>
      </c>
    </row>
    <row r="69" customHeight="1" spans="1:10">
      <c r="A69">
        <v>67</v>
      </c>
      <c r="B69">
        <v>1465349</v>
      </c>
      <c r="C69">
        <v>5158</v>
      </c>
      <c r="D69">
        <v>0.176909744801853</v>
      </c>
      <c r="E69">
        <f t="shared" si="1"/>
        <v>1780301.72359074</v>
      </c>
      <c r="G69">
        <v>67</v>
      </c>
      <c r="H69">
        <v>5</v>
      </c>
      <c r="I69">
        <v>7</v>
      </c>
      <c r="J69">
        <v>30</v>
      </c>
    </row>
    <row r="70" customHeight="1" spans="1:10">
      <c r="A70">
        <v>68</v>
      </c>
      <c r="B70">
        <v>1505908</v>
      </c>
      <c r="C70">
        <v>5242</v>
      </c>
      <c r="D70">
        <v>0.179253251800455</v>
      </c>
      <c r="E70">
        <f t="shared" si="1"/>
        <v>1834802.27403091</v>
      </c>
      <c r="G70">
        <v>68</v>
      </c>
      <c r="H70">
        <v>5</v>
      </c>
      <c r="I70">
        <v>8</v>
      </c>
      <c r="J70">
        <v>31</v>
      </c>
    </row>
    <row r="71" customHeight="1" spans="1:10">
      <c r="A71">
        <v>69</v>
      </c>
      <c r="B71">
        <v>1547319</v>
      </c>
      <c r="C71">
        <v>5325</v>
      </c>
      <c r="D71">
        <v>0.181588594657949</v>
      </c>
      <c r="E71">
        <f t="shared" si="1"/>
        <v>1890637.14154045</v>
      </c>
      <c r="G71">
        <v>69</v>
      </c>
      <c r="H71">
        <v>5</v>
      </c>
      <c r="I71">
        <v>9</v>
      </c>
      <c r="J71">
        <v>31</v>
      </c>
    </row>
    <row r="72" customHeight="1" spans="1:10">
      <c r="A72">
        <v>70</v>
      </c>
      <c r="B72">
        <v>1589458</v>
      </c>
      <c r="C72">
        <v>5409</v>
      </c>
      <c r="D72">
        <v>0.183915798959053</v>
      </c>
      <c r="E72">
        <f t="shared" si="1"/>
        <v>1947664.22137885</v>
      </c>
      <c r="G72">
        <v>70</v>
      </c>
      <c r="H72">
        <v>5</v>
      </c>
      <c r="I72">
        <v>10</v>
      </c>
      <c r="J72">
        <v>31</v>
      </c>
    </row>
    <row r="73" customHeight="1" spans="1:10">
      <c r="A73">
        <v>71</v>
      </c>
      <c r="B73">
        <v>1632327</v>
      </c>
      <c r="C73">
        <v>5493</v>
      </c>
      <c r="D73">
        <v>0.186234890303584</v>
      </c>
      <c r="E73">
        <f t="shared" si="1"/>
        <v>2005894.55181847</v>
      </c>
      <c r="G73">
        <v>71</v>
      </c>
      <c r="H73">
        <v>5</v>
      </c>
      <c r="I73">
        <v>11</v>
      </c>
      <c r="J73">
        <v>32</v>
      </c>
    </row>
    <row r="74" customHeight="1" spans="1:10">
      <c r="A74">
        <v>72</v>
      </c>
      <c r="B74">
        <v>1676051</v>
      </c>
      <c r="C74">
        <v>5577</v>
      </c>
      <c r="D74">
        <v>0.188545894304651</v>
      </c>
      <c r="E74">
        <f t="shared" si="1"/>
        <v>2065490.81240246</v>
      </c>
      <c r="G74">
        <v>72</v>
      </c>
      <c r="H74">
        <v>5</v>
      </c>
      <c r="I74">
        <v>12</v>
      </c>
      <c r="J74">
        <v>32</v>
      </c>
    </row>
    <row r="75" customHeight="1" spans="1:10">
      <c r="A75">
        <v>73</v>
      </c>
      <c r="B75">
        <v>1720504</v>
      </c>
      <c r="C75">
        <v>5661</v>
      </c>
      <c r="D75">
        <v>0.190848836587342</v>
      </c>
      <c r="E75">
        <f t="shared" si="1"/>
        <v>2126307.26840167</v>
      </c>
      <c r="G75">
        <v>73</v>
      </c>
      <c r="H75">
        <v>5</v>
      </c>
      <c r="I75">
        <v>13</v>
      </c>
      <c r="J75">
        <v>32</v>
      </c>
    </row>
    <row r="76" customHeight="1" spans="1:10">
      <c r="A76">
        <v>74</v>
      </c>
      <c r="B76">
        <v>1765813</v>
      </c>
      <c r="C76">
        <v>5745</v>
      </c>
      <c r="D76">
        <v>0.193143742786972</v>
      </c>
      <c r="E76">
        <f t="shared" si="1"/>
        <v>2188510.01552534</v>
      </c>
      <c r="G76">
        <v>74</v>
      </c>
      <c r="H76">
        <v>5</v>
      </c>
      <c r="I76">
        <v>14</v>
      </c>
      <c r="J76">
        <v>32</v>
      </c>
    </row>
    <row r="77" customHeight="1" spans="1:10">
      <c r="A77">
        <v>75</v>
      </c>
      <c r="B77">
        <v>1811916</v>
      </c>
      <c r="C77">
        <v>5830</v>
      </c>
      <c r="D77">
        <v>0.19543063854665</v>
      </c>
      <c r="E77">
        <f t="shared" si="1"/>
        <v>2252032.06436672</v>
      </c>
      <c r="G77">
        <v>75</v>
      </c>
      <c r="H77">
        <v>5</v>
      </c>
      <c r="I77">
        <v>15</v>
      </c>
      <c r="J77">
        <v>33</v>
      </c>
    </row>
    <row r="78" customHeight="1" spans="1:10">
      <c r="A78">
        <v>76</v>
      </c>
      <c r="B78">
        <v>1858812</v>
      </c>
      <c r="C78">
        <v>5914</v>
      </c>
      <c r="D78">
        <v>0.197709549516286</v>
      </c>
      <c r="E78">
        <f t="shared" si="1"/>
        <v>2316881.62171105</v>
      </c>
      <c r="G78">
        <v>76</v>
      </c>
      <c r="H78">
        <v>6</v>
      </c>
      <c r="I78">
        <v>1</v>
      </c>
      <c r="J78">
        <v>33</v>
      </c>
    </row>
    <row r="79" customHeight="1" spans="1:10">
      <c r="A79">
        <v>77</v>
      </c>
      <c r="B79">
        <v>1906503</v>
      </c>
      <c r="C79">
        <v>5999</v>
      </c>
      <c r="D79">
        <v>0.199980501350922</v>
      </c>
      <c r="E79">
        <f t="shared" si="1"/>
        <v>2383070.66667668</v>
      </c>
      <c r="G79">
        <v>77</v>
      </c>
      <c r="H79">
        <v>6</v>
      </c>
      <c r="I79">
        <v>2</v>
      </c>
      <c r="J79">
        <v>33</v>
      </c>
    </row>
    <row r="80" customHeight="1" spans="1:10">
      <c r="A80">
        <v>78</v>
      </c>
      <c r="B80">
        <v>1955111</v>
      </c>
      <c r="C80">
        <v>6084</v>
      </c>
      <c r="D80">
        <v>0.202243519708621</v>
      </c>
      <c r="E80">
        <f t="shared" si="1"/>
        <v>2450761.66512104</v>
      </c>
      <c r="G80">
        <v>78</v>
      </c>
      <c r="H80">
        <v>6</v>
      </c>
      <c r="I80">
        <v>3</v>
      </c>
      <c r="J80">
        <v>33</v>
      </c>
    </row>
    <row r="81" customHeight="1" spans="1:10">
      <c r="A81">
        <v>79</v>
      </c>
      <c r="B81">
        <v>2004453</v>
      </c>
      <c r="C81">
        <v>6170</v>
      </c>
      <c r="D81">
        <v>0.204498630248863</v>
      </c>
      <c r="E81">
        <f t="shared" si="1"/>
        <v>2519735.4476298</v>
      </c>
      <c r="G81">
        <v>79</v>
      </c>
      <c r="H81">
        <v>6</v>
      </c>
      <c r="I81">
        <v>4</v>
      </c>
      <c r="J81">
        <v>33</v>
      </c>
    </row>
    <row r="82" customHeight="1" spans="1:10">
      <c r="A82">
        <v>80</v>
      </c>
      <c r="B82">
        <v>2054713</v>
      </c>
      <c r="C82">
        <v>6255</v>
      </c>
      <c r="D82">
        <v>0.206745858631415</v>
      </c>
      <c r="E82">
        <f t="shared" si="1"/>
        <v>2590232.93147269</v>
      </c>
      <c r="G82">
        <v>80</v>
      </c>
      <c r="H82">
        <v>6</v>
      </c>
      <c r="I82">
        <v>5</v>
      </c>
      <c r="J82">
        <v>34</v>
      </c>
    </row>
    <row r="83" customHeight="1" spans="1:10">
      <c r="A83">
        <v>81</v>
      </c>
      <c r="B83">
        <v>2105830</v>
      </c>
      <c r="C83">
        <v>6341</v>
      </c>
      <c r="D83">
        <v>0.208985230514769</v>
      </c>
      <c r="E83">
        <f t="shared" si="1"/>
        <v>2662187.96568162</v>
      </c>
      <c r="G83">
        <v>81</v>
      </c>
      <c r="H83">
        <v>6</v>
      </c>
      <c r="I83">
        <v>6</v>
      </c>
      <c r="J83">
        <v>34</v>
      </c>
    </row>
    <row r="84" customHeight="1" spans="1:10">
      <c r="A84">
        <v>82</v>
      </c>
      <c r="B84">
        <v>2157742</v>
      </c>
      <c r="C84">
        <v>6427</v>
      </c>
      <c r="D84">
        <v>0.211216771554149</v>
      </c>
      <c r="E84">
        <f t="shared" si="1"/>
        <v>2735532.30112591</v>
      </c>
      <c r="G84">
        <v>82</v>
      </c>
      <c r="H84">
        <v>6</v>
      </c>
      <c r="I84">
        <v>7</v>
      </c>
      <c r="J84">
        <v>34</v>
      </c>
    </row>
    <row r="85" customHeight="1" spans="1:10">
      <c r="A85">
        <v>83</v>
      </c>
      <c r="B85">
        <v>2210573</v>
      </c>
      <c r="C85">
        <v>6513</v>
      </c>
      <c r="D85">
        <v>0.213440507400012</v>
      </c>
      <c r="E85">
        <f t="shared" si="1"/>
        <v>2810433.31216169</v>
      </c>
      <c r="G85">
        <v>83</v>
      </c>
      <c r="H85">
        <v>6</v>
      </c>
      <c r="I85">
        <v>8</v>
      </c>
      <c r="J85">
        <v>34</v>
      </c>
    </row>
    <row r="86" customHeight="1" spans="1:10">
      <c r="A86">
        <v>84</v>
      </c>
      <c r="B86">
        <v>2264260</v>
      </c>
      <c r="C86">
        <v>6599</v>
      </c>
      <c r="D86">
        <v>0.215656463697239</v>
      </c>
      <c r="E86">
        <f t="shared" si="1"/>
        <v>2886821.77540886</v>
      </c>
      <c r="G86">
        <v>84</v>
      </c>
      <c r="H86">
        <v>6</v>
      </c>
      <c r="I86">
        <v>9</v>
      </c>
      <c r="J86">
        <v>34</v>
      </c>
    </row>
    <row r="87" customHeight="1" spans="1:10">
      <c r="A87">
        <v>85</v>
      </c>
      <c r="B87">
        <v>2318866</v>
      </c>
      <c r="C87">
        <v>6685</v>
      </c>
      <c r="D87">
        <v>0.217864666082782</v>
      </c>
      <c r="E87">
        <f t="shared" si="1"/>
        <v>2964788.70016814</v>
      </c>
      <c r="G87">
        <v>85</v>
      </c>
      <c r="H87">
        <v>6</v>
      </c>
      <c r="I87">
        <v>10</v>
      </c>
      <c r="J87">
        <v>35</v>
      </c>
    </row>
    <row r="88" customHeight="1" spans="1:10">
      <c r="A88">
        <v>86</v>
      </c>
      <c r="B88">
        <v>2374328</v>
      </c>
      <c r="C88">
        <v>6772</v>
      </c>
      <c r="D88">
        <v>0.220065140184902</v>
      </c>
      <c r="E88">
        <f t="shared" si="1"/>
        <v>3044264.49224605</v>
      </c>
      <c r="G88">
        <v>86</v>
      </c>
      <c r="H88">
        <v>6</v>
      </c>
      <c r="I88">
        <v>11</v>
      </c>
      <c r="J88">
        <v>35</v>
      </c>
    </row>
    <row r="89" customHeight="1" spans="1:10">
      <c r="A89">
        <v>87</v>
      </c>
      <c r="B89">
        <v>2430709</v>
      </c>
      <c r="C89">
        <v>6859</v>
      </c>
      <c r="D89">
        <v>0.222257911621764</v>
      </c>
      <c r="E89">
        <f t="shared" si="1"/>
        <v>3125340.69625647</v>
      </c>
      <c r="G89">
        <v>87</v>
      </c>
      <c r="H89">
        <v>6</v>
      </c>
      <c r="I89">
        <v>12</v>
      </c>
      <c r="J89">
        <v>35</v>
      </c>
    </row>
    <row r="90" customHeight="1" spans="1:10">
      <c r="A90">
        <v>88</v>
      </c>
      <c r="B90">
        <v>2488007</v>
      </c>
      <c r="C90">
        <v>6946</v>
      </c>
      <c r="D90">
        <v>0.224443005999606</v>
      </c>
      <c r="E90">
        <f t="shared" si="1"/>
        <v>3208025.99840746</v>
      </c>
      <c r="G90">
        <v>88</v>
      </c>
      <c r="H90">
        <v>6</v>
      </c>
      <c r="I90">
        <v>13</v>
      </c>
      <c r="J90">
        <v>35</v>
      </c>
    </row>
    <row r="91" customHeight="1" spans="1:10">
      <c r="A91">
        <v>89</v>
      </c>
      <c r="B91">
        <v>2546163</v>
      </c>
      <c r="C91">
        <v>7033</v>
      </c>
      <c r="D91">
        <v>0.226620448911609</v>
      </c>
      <c r="E91">
        <f t="shared" si="1"/>
        <v>3292255.39570673</v>
      </c>
      <c r="G91">
        <v>89</v>
      </c>
      <c r="H91">
        <v>6</v>
      </c>
      <c r="I91">
        <v>14</v>
      </c>
      <c r="J91">
        <v>35</v>
      </c>
    </row>
    <row r="92" customHeight="1" spans="1:10">
      <c r="A92">
        <v>90</v>
      </c>
      <c r="B92">
        <v>2605297</v>
      </c>
      <c r="C92">
        <v>7120</v>
      </c>
      <c r="D92">
        <v>0.228790265936343</v>
      </c>
      <c r="E92">
        <f t="shared" si="1"/>
        <v>3378195.17172349</v>
      </c>
      <c r="G92">
        <v>90</v>
      </c>
      <c r="H92">
        <v>6</v>
      </c>
      <c r="I92">
        <v>15</v>
      </c>
      <c r="J92">
        <v>36</v>
      </c>
    </row>
    <row r="93" customHeight="1" spans="1:10">
      <c r="A93">
        <v>91</v>
      </c>
      <c r="B93">
        <v>2665349</v>
      </c>
      <c r="C93">
        <v>7207</v>
      </c>
      <c r="D93">
        <v>0.230952482636894</v>
      </c>
      <c r="E93">
        <f t="shared" si="1"/>
        <v>3465779.34369893</v>
      </c>
      <c r="G93">
        <v>91</v>
      </c>
      <c r="H93">
        <v>7</v>
      </c>
      <c r="I93">
        <v>1</v>
      </c>
      <c r="J93">
        <v>36</v>
      </c>
    </row>
    <row r="94" customHeight="1" spans="1:10">
      <c r="A94">
        <v>92</v>
      </c>
      <c r="B94">
        <v>2726318</v>
      </c>
      <c r="C94">
        <v>7295</v>
      </c>
      <c r="D94">
        <v>0.233107124559576</v>
      </c>
      <c r="E94">
        <f t="shared" si="1"/>
        <v>3555018.03095287</v>
      </c>
      <c r="G94">
        <v>92</v>
      </c>
      <c r="H94">
        <v>7</v>
      </c>
      <c r="I94">
        <v>2</v>
      </c>
      <c r="J94">
        <v>36</v>
      </c>
    </row>
    <row r="95" customHeight="1" spans="1:10">
      <c r="A95">
        <v>93</v>
      </c>
      <c r="B95">
        <v>2788204</v>
      </c>
      <c r="C95">
        <v>7383</v>
      </c>
      <c r="D95">
        <v>0.235254217232232</v>
      </c>
      <c r="E95">
        <f t="shared" si="1"/>
        <v>3645922.68807149</v>
      </c>
      <c r="G95">
        <v>93</v>
      </c>
      <c r="H95">
        <v>7</v>
      </c>
      <c r="I95">
        <v>3</v>
      </c>
      <c r="J95">
        <v>36</v>
      </c>
    </row>
    <row r="96" customHeight="1" spans="1:10">
      <c r="A96">
        <v>94</v>
      </c>
      <c r="B96">
        <v>2851129</v>
      </c>
      <c r="C96">
        <v>7471</v>
      </c>
      <c r="D96">
        <v>0.237393786162994</v>
      </c>
      <c r="E96">
        <f t="shared" si="1"/>
        <v>3738664.78959661</v>
      </c>
      <c r="G96">
        <v>94</v>
      </c>
      <c r="H96">
        <v>7</v>
      </c>
      <c r="I96">
        <v>4</v>
      </c>
      <c r="J96">
        <v>36</v>
      </c>
    </row>
    <row r="97" customHeight="1" spans="1:10">
      <c r="A97">
        <v>95</v>
      </c>
      <c r="B97">
        <v>2914971</v>
      </c>
      <c r="C97">
        <v>7559</v>
      </c>
      <c r="D97">
        <v>0.239525856839712</v>
      </c>
      <c r="E97">
        <f t="shared" si="1"/>
        <v>3833096.79391111</v>
      </c>
      <c r="G97">
        <v>95</v>
      </c>
      <c r="H97">
        <v>7</v>
      </c>
      <c r="I97">
        <v>5</v>
      </c>
      <c r="J97">
        <v>37</v>
      </c>
    </row>
    <row r="98" customHeight="1" spans="1:10">
      <c r="A98">
        <v>96</v>
      </c>
      <c r="B98">
        <v>2979791</v>
      </c>
      <c r="C98">
        <v>7648</v>
      </c>
      <c r="D98">
        <v>0.241650454728109</v>
      </c>
      <c r="E98">
        <f t="shared" si="1"/>
        <v>3929310.72297493</v>
      </c>
      <c r="G98">
        <v>96</v>
      </c>
      <c r="H98">
        <v>7</v>
      </c>
      <c r="I98">
        <v>6</v>
      </c>
      <c r="J98">
        <v>37</v>
      </c>
    </row>
    <row r="99" customHeight="1" spans="1:10">
      <c r="A99">
        <v>97</v>
      </c>
      <c r="B99">
        <v>3045527</v>
      </c>
      <c r="C99">
        <v>7736</v>
      </c>
      <c r="D99">
        <v>0.243767605270615</v>
      </c>
      <c r="E99">
        <f t="shared" si="1"/>
        <v>4027236.89334921</v>
      </c>
      <c r="G99">
        <v>97</v>
      </c>
      <c r="H99">
        <v>7</v>
      </c>
      <c r="I99">
        <v>7</v>
      </c>
      <c r="J99">
        <v>37</v>
      </c>
    </row>
    <row r="100" customHeight="1" spans="1:10">
      <c r="A100">
        <v>98</v>
      </c>
      <c r="B100">
        <v>3112361</v>
      </c>
      <c r="C100">
        <v>7825</v>
      </c>
      <c r="D100">
        <v>0.245877333885845</v>
      </c>
      <c r="E100">
        <f t="shared" si="1"/>
        <v>4127128.30398983</v>
      </c>
      <c r="G100">
        <v>98</v>
      </c>
      <c r="H100">
        <v>7</v>
      </c>
      <c r="I100">
        <v>8</v>
      </c>
      <c r="J100">
        <v>37</v>
      </c>
    </row>
    <row r="101" customHeight="1" spans="1:10">
      <c r="A101">
        <v>99</v>
      </c>
      <c r="B101">
        <v>3180112</v>
      </c>
      <c r="C101">
        <v>7914</v>
      </c>
      <c r="D101">
        <v>0.24797966596683</v>
      </c>
      <c r="E101">
        <f t="shared" si="1"/>
        <v>4228757.99507269</v>
      </c>
      <c r="G101">
        <v>99</v>
      </c>
      <c r="H101">
        <v>7</v>
      </c>
      <c r="I101">
        <v>9</v>
      </c>
      <c r="J101">
        <v>37</v>
      </c>
    </row>
    <row r="102" customHeight="1" spans="1:10">
      <c r="A102">
        <v>100</v>
      </c>
      <c r="B102">
        <v>3248899</v>
      </c>
      <c r="C102">
        <v>8003</v>
      </c>
      <c r="D102">
        <v>0.250074626879916</v>
      </c>
      <c r="E102">
        <f t="shared" si="1"/>
        <v>4332296.40768504</v>
      </c>
      <c r="G102">
        <v>100</v>
      </c>
      <c r="H102">
        <v>7</v>
      </c>
      <c r="I102">
        <v>10</v>
      </c>
      <c r="J102">
        <v>38</v>
      </c>
    </row>
    <row r="103" customHeight="1" spans="1:10">
      <c r="A103">
        <v>101</v>
      </c>
      <c r="B103">
        <v>3318663</v>
      </c>
      <c r="C103">
        <v>8093</v>
      </c>
      <c r="D103">
        <v>0.252162241964294</v>
      </c>
      <c r="E103">
        <f t="shared" si="1"/>
        <v>4437677.77748599</v>
      </c>
      <c r="G103">
        <v>101</v>
      </c>
      <c r="H103">
        <v>7</v>
      </c>
      <c r="I103">
        <v>11</v>
      </c>
      <c r="J103">
        <v>38</v>
      </c>
    </row>
    <row r="104" customHeight="1" spans="1:10">
      <c r="A104">
        <v>102</v>
      </c>
      <c r="B104">
        <v>3389463</v>
      </c>
      <c r="C104">
        <v>8182</v>
      </c>
      <c r="D104">
        <v>0.254242536530308</v>
      </c>
      <c r="E104">
        <f t="shared" si="1"/>
        <v>4544993.73593966</v>
      </c>
      <c r="G104">
        <v>102</v>
      </c>
      <c r="H104">
        <v>7</v>
      </c>
      <c r="I104">
        <v>12</v>
      </c>
      <c r="J104">
        <v>38</v>
      </c>
    </row>
    <row r="105" customHeight="1" spans="1:10">
      <c r="A105">
        <v>103</v>
      </c>
      <c r="B105">
        <v>3461299</v>
      </c>
      <c r="C105">
        <v>8272</v>
      </c>
      <c r="D105">
        <v>0.256315535858403</v>
      </c>
      <c r="E105">
        <f t="shared" si="1"/>
        <v>4654257.50690547</v>
      </c>
      <c r="G105">
        <v>103</v>
      </c>
      <c r="H105">
        <v>7</v>
      </c>
      <c r="I105">
        <v>13</v>
      </c>
      <c r="J105">
        <v>38</v>
      </c>
    </row>
    <row r="106" customHeight="1" spans="1:10">
      <c r="A106">
        <v>104</v>
      </c>
      <c r="B106">
        <v>3534171</v>
      </c>
      <c r="C106">
        <v>8362</v>
      </c>
      <c r="D106">
        <v>0.258381265198723</v>
      </c>
      <c r="E106">
        <f t="shared" si="1"/>
        <v>4765482.36196731</v>
      </c>
      <c r="G106">
        <v>104</v>
      </c>
      <c r="H106">
        <v>7</v>
      </c>
      <c r="I106">
        <v>14</v>
      </c>
      <c r="J106">
        <v>38</v>
      </c>
    </row>
    <row r="107" customHeight="1" spans="1:10">
      <c r="A107">
        <v>105</v>
      </c>
      <c r="B107">
        <v>3608079</v>
      </c>
      <c r="C107">
        <v>8452</v>
      </c>
      <c r="D107">
        <v>0.260439749769472</v>
      </c>
      <c r="E107">
        <f t="shared" si="1"/>
        <v>4878681.62042961</v>
      </c>
      <c r="G107">
        <v>105</v>
      </c>
      <c r="H107">
        <v>7</v>
      </c>
      <c r="I107">
        <v>15</v>
      </c>
      <c r="J107">
        <v>39</v>
      </c>
    </row>
    <row r="108" customHeight="1" spans="1:10">
      <c r="A108">
        <v>106</v>
      </c>
      <c r="B108">
        <v>3683022</v>
      </c>
      <c r="C108">
        <v>8542</v>
      </c>
      <c r="D108">
        <v>0.262491014756137</v>
      </c>
      <c r="E108">
        <f t="shared" si="1"/>
        <v>4993867.29340278</v>
      </c>
    </row>
    <row r="109" customHeight="1" spans="1:10">
      <c r="A109">
        <v>107</v>
      </c>
      <c r="B109">
        <v>3759000</v>
      </c>
      <c r="C109">
        <v>8632</v>
      </c>
      <c r="D109">
        <v>0.264535085310314</v>
      </c>
      <c r="E109">
        <f t="shared" si="1"/>
        <v>5111052.78432763</v>
      </c>
    </row>
    <row r="110" customHeight="1" spans="1:10">
      <c r="A110">
        <v>108</v>
      </c>
      <c r="B110">
        <v>3836133</v>
      </c>
      <c r="C110">
        <v>8723</v>
      </c>
      <c r="D110">
        <v>0.26657198654936</v>
      </c>
      <c r="E110">
        <f t="shared" si="1"/>
        <v>5230415.15956245</v>
      </c>
    </row>
    <row r="111" customHeight="1" spans="1:10">
      <c r="A111">
        <v>109</v>
      </c>
      <c r="B111">
        <v>3914301</v>
      </c>
      <c r="C111">
        <v>8814</v>
      </c>
      <c r="D111">
        <v>0.268601743554853</v>
      </c>
      <c r="E111">
        <f t="shared" si="1"/>
        <v>5351805.21078199</v>
      </c>
    </row>
    <row r="112" customHeight="1" spans="1:10">
      <c r="A112">
        <v>110</v>
      </c>
      <c r="B112">
        <v>3993503</v>
      </c>
      <c r="C112">
        <v>8905</v>
      </c>
      <c r="D112">
        <v>0.270624381371681</v>
      </c>
      <c r="E112">
        <f t="shared" si="1"/>
        <v>5475235.11618098</v>
      </c>
    </row>
    <row r="113" customHeight="1" spans="1:5">
      <c r="A113">
        <v>111</v>
      </c>
      <c r="B113">
        <v>4073860</v>
      </c>
      <c r="C113">
        <v>8996</v>
      </c>
      <c r="D113">
        <v>0.272639925007745</v>
      </c>
      <c r="E113">
        <f t="shared" si="1"/>
        <v>5600884.81629044</v>
      </c>
    </row>
    <row r="114" customHeight="1" spans="1:5">
      <c r="A114">
        <v>112</v>
      </c>
      <c r="B114">
        <v>4155310</v>
      </c>
      <c r="C114">
        <v>9087</v>
      </c>
      <c r="D114">
        <v>0.274648399432475</v>
      </c>
      <c r="E114">
        <f t="shared" si="1"/>
        <v>5728683.85035454</v>
      </c>
    </row>
    <row r="115" customHeight="1" spans="1:5">
      <c r="A115">
        <v>113</v>
      </c>
      <c r="B115">
        <v>4237854</v>
      </c>
      <c r="C115">
        <v>9179</v>
      </c>
      <c r="D115">
        <v>0.276649829576173</v>
      </c>
      <c r="E115">
        <f t="shared" si="1"/>
        <v>5858647.95955871</v>
      </c>
    </row>
    <row r="116" customHeight="1" spans="1:5">
      <c r="A116">
        <v>114</v>
      </c>
      <c r="B116">
        <v>4321552</v>
      </c>
      <c r="C116">
        <v>9271</v>
      </c>
      <c r="D116">
        <v>0.278644240329169</v>
      </c>
      <c r="E116">
        <f t="shared" si="1"/>
        <v>5990874.74115686</v>
      </c>
    </row>
    <row r="117" customHeight="1" spans="1:5">
      <c r="A117">
        <v>115</v>
      </c>
      <c r="B117">
        <v>4406403</v>
      </c>
      <c r="C117">
        <v>9363</v>
      </c>
      <c r="D117">
        <v>0.280631656540797</v>
      </c>
      <c r="E117">
        <f t="shared" si="1"/>
        <v>6125377.96535649</v>
      </c>
    </row>
    <row r="118" customHeight="1" spans="1:5">
      <c r="A118">
        <v>116</v>
      </c>
      <c r="B118">
        <v>4492346</v>
      </c>
      <c r="C118">
        <v>9455</v>
      </c>
      <c r="D118">
        <v>0.282612103019368</v>
      </c>
      <c r="E118">
        <f t="shared" si="1"/>
        <v>6262087.80341507</v>
      </c>
    </row>
    <row r="119" customHeight="1" spans="1:5">
      <c r="A119">
        <v>117</v>
      </c>
      <c r="B119">
        <v>4579442</v>
      </c>
      <c r="C119">
        <v>9547</v>
      </c>
      <c r="D119">
        <v>0.284585604530009</v>
      </c>
      <c r="E119">
        <f t="shared" si="1"/>
        <v>6401104.07198549</v>
      </c>
    </row>
    <row r="120" customHeight="1" spans="1:5">
      <c r="A120">
        <v>118</v>
      </c>
      <c r="B120">
        <v>4667690</v>
      </c>
      <c r="C120">
        <v>9639</v>
      </c>
      <c r="D120">
        <v>0.286552185795251</v>
      </c>
      <c r="E120">
        <f t="shared" si="1"/>
        <v>6542440.67620122</v>
      </c>
    </row>
    <row r="121" customHeight="1" spans="1:5">
      <c r="A121">
        <v>119</v>
      </c>
      <c r="B121">
        <v>4757091</v>
      </c>
      <c r="C121">
        <v>9732</v>
      </c>
      <c r="D121">
        <v>0.288511871493493</v>
      </c>
      <c r="E121">
        <f t="shared" si="1"/>
        <v>6686114.36987103</v>
      </c>
    </row>
    <row r="122" customHeight="1" spans="1:5">
      <c r="A122">
        <v>120</v>
      </c>
      <c r="B122">
        <v>4847703</v>
      </c>
      <c r="C122">
        <v>9825</v>
      </c>
      <c r="D122">
        <v>0.290464686258257</v>
      </c>
      <c r="E122">
        <f t="shared" si="1"/>
        <v>6832222.30960652</v>
      </c>
    </row>
    <row r="123" customHeight="1" spans="1:5">
      <c r="A123">
        <v>121</v>
      </c>
      <c r="B123">
        <v>4939527</v>
      </c>
      <c r="C123">
        <v>9918</v>
      </c>
      <c r="D123">
        <v>0.292410654678224</v>
      </c>
      <c r="E123">
        <f t="shared" si="1"/>
        <v>6980782.04916123</v>
      </c>
    </row>
    <row r="124" customHeight="1" spans="1:5">
      <c r="A124">
        <v>122</v>
      </c>
      <c r="B124">
        <v>5032502</v>
      </c>
      <c r="C124">
        <v>10011</v>
      </c>
      <c r="D124">
        <v>0.294349801295189</v>
      </c>
      <c r="E124">
        <f t="shared" si="1"/>
        <v>7131723.35136719</v>
      </c>
    </row>
    <row r="125" customHeight="1" spans="1:5">
      <c r="A125">
        <v>123</v>
      </c>
      <c r="B125">
        <v>5126688</v>
      </c>
      <c r="C125">
        <v>10105</v>
      </c>
      <c r="D125">
        <v>0.296282150604883</v>
      </c>
      <c r="E125">
        <f t="shared" si="1"/>
        <v>7285147.02931958</v>
      </c>
    </row>
    <row r="126" customHeight="1" spans="1:5">
      <c r="A126">
        <v>124</v>
      </c>
      <c r="B126">
        <v>5222025</v>
      </c>
      <c r="C126">
        <v>10198</v>
      </c>
      <c r="D126">
        <v>0.298207727054774</v>
      </c>
      <c r="E126">
        <f t="shared" si="1"/>
        <v>7440983.89411531</v>
      </c>
    </row>
    <row r="127" customHeight="1" spans="1:5">
      <c r="A127">
        <v>125</v>
      </c>
      <c r="B127">
        <v>5318693</v>
      </c>
      <c r="C127">
        <v>10292</v>
      </c>
      <c r="D127">
        <v>0.300126555044724</v>
      </c>
      <c r="E127">
        <f t="shared" si="1"/>
        <v>7599506.7941746</v>
      </c>
    </row>
    <row r="128" customHeight="1" spans="1:5">
      <c r="A128">
        <v>126</v>
      </c>
      <c r="B128">
        <v>5416511</v>
      </c>
      <c r="C128">
        <v>10386</v>
      </c>
      <c r="D128">
        <v>0.302038658925582</v>
      </c>
      <c r="E128">
        <f t="shared" si="1"/>
        <v>7760474.22864712</v>
      </c>
    </row>
    <row r="129" customHeight="1" spans="1:5">
      <c r="A129">
        <v>127</v>
      </c>
      <c r="B129">
        <v>5515598</v>
      </c>
      <c r="C129">
        <v>10480</v>
      </c>
      <c r="D129">
        <v>0.303944062998733</v>
      </c>
      <c r="E129">
        <f t="shared" si="1"/>
        <v>7924072.91828036</v>
      </c>
    </row>
    <row r="130" customHeight="1" spans="1:5">
      <c r="A130">
        <v>128</v>
      </c>
      <c r="B130">
        <v>5615956</v>
      </c>
      <c r="C130">
        <v>10574</v>
      </c>
      <c r="D130">
        <v>0.305842791515291</v>
      </c>
      <c r="E130">
        <f t="shared" si="1"/>
        <v>8090322.95761819</v>
      </c>
    </row>
    <row r="131" customHeight="1" spans="1:5">
      <c r="A131">
        <v>129</v>
      </c>
      <c r="B131">
        <v>5717583</v>
      </c>
      <c r="C131">
        <v>10669</v>
      </c>
      <c r="D131">
        <v>0.307734868676225</v>
      </c>
      <c r="E131">
        <f t="shared" ref="E131:E194" si="2">IFERROR(B131/(1-D131),B131)</f>
        <v>8259238.75302895</v>
      </c>
    </row>
    <row r="132" customHeight="1" spans="1:5">
      <c r="A132">
        <v>130</v>
      </c>
      <c r="B132">
        <v>5820420</v>
      </c>
      <c r="C132">
        <v>10763</v>
      </c>
      <c r="D132">
        <v>0.309620318630661</v>
      </c>
      <c r="E132">
        <f t="shared" si="2"/>
        <v>8430752.1745939</v>
      </c>
    </row>
    <row r="133" customHeight="1" spans="1:5">
      <c r="A133">
        <v>131</v>
      </c>
      <c r="B133">
        <v>5924586</v>
      </c>
      <c r="C133">
        <v>10858</v>
      </c>
      <c r="D133">
        <v>0.311499165476035</v>
      </c>
      <c r="E133">
        <f t="shared" si="2"/>
        <v>8605052.7507295</v>
      </c>
    </row>
    <row r="134" customHeight="1" spans="1:5">
      <c r="A134">
        <v>132</v>
      </c>
      <c r="B134">
        <v>6030020</v>
      </c>
      <c r="C134">
        <v>10953</v>
      </c>
      <c r="D134">
        <v>0.31337143325716</v>
      </c>
      <c r="E134">
        <f t="shared" si="2"/>
        <v>8782069.80027733</v>
      </c>
    </row>
    <row r="135" customHeight="1" spans="1:5">
      <c r="A135">
        <v>133</v>
      </c>
      <c r="B135">
        <v>6136783</v>
      </c>
      <c r="C135">
        <v>11049</v>
      </c>
      <c r="D135">
        <v>0.315237145966394</v>
      </c>
      <c r="E135">
        <f t="shared" si="2"/>
        <v>8961909.89895434</v>
      </c>
    </row>
    <row r="136" customHeight="1" spans="1:5">
      <c r="A136">
        <v>134</v>
      </c>
      <c r="B136">
        <v>6244875</v>
      </c>
      <c r="C136">
        <v>11144</v>
      </c>
      <c r="D136">
        <v>0.317096327541835</v>
      </c>
      <c r="E136">
        <f t="shared" si="2"/>
        <v>9144591.32650596</v>
      </c>
    </row>
    <row r="137" customHeight="1" spans="1:5">
      <c r="A137">
        <v>135</v>
      </c>
      <c r="B137">
        <v>6354235</v>
      </c>
      <c r="C137">
        <v>11240</v>
      </c>
      <c r="D137">
        <v>0.318949001868234</v>
      </c>
      <c r="E137">
        <f t="shared" si="2"/>
        <v>9330042.85645378</v>
      </c>
    </row>
    <row r="138" customHeight="1" spans="1:5">
      <c r="A138">
        <v>136</v>
      </c>
      <c r="B138">
        <v>6464982</v>
      </c>
      <c r="C138">
        <v>11335</v>
      </c>
      <c r="D138">
        <v>0.320795192775039</v>
      </c>
      <c r="E138">
        <f t="shared" si="2"/>
        <v>9518457.36548022</v>
      </c>
    </row>
    <row r="139" customHeight="1" spans="1:5">
      <c r="A139">
        <v>137</v>
      </c>
      <c r="B139">
        <v>6576998</v>
      </c>
      <c r="C139">
        <v>11431</v>
      </c>
      <c r="D139">
        <v>0.322634924037327</v>
      </c>
      <c r="E139">
        <f t="shared" si="2"/>
        <v>9709679.80693831</v>
      </c>
    </row>
    <row r="140" customHeight="1" spans="1:5">
      <c r="A140">
        <v>138</v>
      </c>
      <c r="B140">
        <v>6690401</v>
      </c>
      <c r="C140">
        <v>11528</v>
      </c>
      <c r="D140">
        <v>0.324468219374064</v>
      </c>
      <c r="E140">
        <f t="shared" si="2"/>
        <v>9903902.6613978</v>
      </c>
    </row>
    <row r="141" customHeight="1" spans="1:5">
      <c r="A141">
        <v>139</v>
      </c>
      <c r="B141">
        <v>6805191</v>
      </c>
      <c r="C141">
        <v>11624</v>
      </c>
      <c r="D141">
        <v>0.326295102448159</v>
      </c>
      <c r="E141">
        <f t="shared" si="2"/>
        <v>10101145.2116931</v>
      </c>
    </row>
    <row r="142" customHeight="1" spans="1:5">
      <c r="A142">
        <v>140</v>
      </c>
      <c r="B142">
        <v>6921369</v>
      </c>
      <c r="C142">
        <v>11720</v>
      </c>
      <c r="D142">
        <v>0.328115596866527</v>
      </c>
      <c r="E142">
        <f t="shared" si="2"/>
        <v>10301428.2929039</v>
      </c>
    </row>
    <row r="143" customHeight="1" spans="1:5">
      <c r="A143">
        <v>141</v>
      </c>
      <c r="B143">
        <v>7038874</v>
      </c>
      <c r="C143">
        <v>11817</v>
      </c>
      <c r="D143">
        <v>0.329929726178579</v>
      </c>
      <c r="E143">
        <f t="shared" si="2"/>
        <v>10504680.2924971</v>
      </c>
    </row>
    <row r="144" customHeight="1" spans="1:5">
      <c r="A144">
        <v>142</v>
      </c>
      <c r="B144">
        <v>7157825</v>
      </c>
      <c r="C144">
        <v>11914</v>
      </c>
      <c r="D144">
        <v>0.331737513876306</v>
      </c>
      <c r="E144">
        <f t="shared" si="2"/>
        <v>10711098.0320315</v>
      </c>
    </row>
    <row r="145" customHeight="1" spans="1:5">
      <c r="A145">
        <v>143</v>
      </c>
      <c r="B145">
        <v>7278103</v>
      </c>
      <c r="C145">
        <v>12011</v>
      </c>
      <c r="D145">
        <v>0.333538983394367</v>
      </c>
      <c r="E145">
        <f t="shared" si="2"/>
        <v>10920523.2093968</v>
      </c>
    </row>
    <row r="146" customHeight="1" spans="1:5">
      <c r="A146">
        <v>144</v>
      </c>
      <c r="B146">
        <v>7399887</v>
      </c>
      <c r="C146">
        <v>12108</v>
      </c>
      <c r="D146">
        <v>0.33533415810863</v>
      </c>
      <c r="E146">
        <f t="shared" si="2"/>
        <v>11133244.0056539</v>
      </c>
    </row>
    <row r="147" customHeight="1" spans="1:5">
      <c r="A147">
        <v>145</v>
      </c>
      <c r="B147">
        <v>7523058</v>
      </c>
      <c r="C147">
        <v>12206</v>
      </c>
      <c r="D147">
        <v>0.337123061336453</v>
      </c>
      <c r="E147">
        <f t="shared" si="2"/>
        <v>11349102.0145723</v>
      </c>
    </row>
    <row r="148" customHeight="1" spans="1:5">
      <c r="A148">
        <v>146</v>
      </c>
      <c r="B148">
        <v>7647674</v>
      </c>
      <c r="C148">
        <v>12303</v>
      </c>
      <c r="D148">
        <v>0.338905716336116</v>
      </c>
      <c r="E148">
        <f t="shared" si="2"/>
        <v>11568204.7008718</v>
      </c>
    </row>
    <row r="149" customHeight="1" spans="1:5">
      <c r="A149">
        <v>147</v>
      </c>
      <c r="B149">
        <v>7773737</v>
      </c>
      <c r="C149">
        <v>12401</v>
      </c>
      <c r="D149">
        <v>0.340682146306433</v>
      </c>
      <c r="E149">
        <f t="shared" si="2"/>
        <v>11790575.6024211</v>
      </c>
    </row>
    <row r="150" customHeight="1" spans="1:5">
      <c r="A150">
        <v>148</v>
      </c>
      <c r="B150">
        <v>7901245</v>
      </c>
      <c r="C150">
        <v>12499</v>
      </c>
      <c r="D150">
        <v>0.342452374386375</v>
      </c>
      <c r="E150">
        <f t="shared" si="2"/>
        <v>12016232.273102</v>
      </c>
    </row>
    <row r="151" customHeight="1" spans="1:5">
      <c r="A151">
        <v>149</v>
      </c>
      <c r="B151">
        <v>8030259</v>
      </c>
      <c r="C151">
        <v>12597</v>
      </c>
      <c r="D151">
        <v>0.344216423654874</v>
      </c>
      <c r="E151">
        <f t="shared" si="2"/>
        <v>12245288.3689997</v>
      </c>
    </row>
    <row r="152" customHeight="1" spans="1:5">
      <c r="A152">
        <v>150</v>
      </c>
      <c r="B152">
        <v>8160718</v>
      </c>
      <c r="C152">
        <v>12696</v>
      </c>
      <c r="D152">
        <v>0.345974317129793</v>
      </c>
      <c r="E152">
        <f t="shared" si="2"/>
        <v>12477672.0757914</v>
      </c>
    </row>
    <row r="153" customHeight="1" spans="1:5">
      <c r="A153">
        <v>151</v>
      </c>
      <c r="B153">
        <v>8292682</v>
      </c>
      <c r="C153">
        <v>12794</v>
      </c>
      <c r="D153">
        <v>0.347726077768758</v>
      </c>
      <c r="E153">
        <f t="shared" si="2"/>
        <v>12713496.1514836</v>
      </c>
    </row>
    <row r="154" customHeight="1" spans="1:5">
      <c r="A154">
        <v>152</v>
      </c>
      <c r="B154">
        <v>8426152</v>
      </c>
      <c r="C154">
        <v>12893</v>
      </c>
      <c r="D154">
        <v>0.349471728467649</v>
      </c>
      <c r="E154">
        <f t="shared" si="2"/>
        <v>12952783.7124615</v>
      </c>
    </row>
    <row r="155" customHeight="1" spans="1:5">
      <c r="A155">
        <v>153</v>
      </c>
      <c r="B155">
        <v>8561186</v>
      </c>
      <c r="C155">
        <v>12992</v>
      </c>
      <c r="D155">
        <v>0.35121129206078</v>
      </c>
      <c r="E155">
        <f t="shared" si="2"/>
        <v>13195645.816946</v>
      </c>
    </row>
    <row r="156" customHeight="1" spans="1:5">
      <c r="A156">
        <v>154</v>
      </c>
      <c r="B156">
        <v>8697665</v>
      </c>
      <c r="C156">
        <v>13091</v>
      </c>
      <c r="D156">
        <v>0.352944791321242</v>
      </c>
      <c r="E156">
        <f t="shared" si="2"/>
        <v>13441921.0035571</v>
      </c>
    </row>
    <row r="157" customHeight="1" spans="1:5">
      <c r="A157">
        <v>155</v>
      </c>
      <c r="B157">
        <v>8835769</v>
      </c>
      <c r="C157">
        <v>13190</v>
      </c>
      <c r="D157">
        <v>0.354672248958944</v>
      </c>
      <c r="E157">
        <f t="shared" si="2"/>
        <v>13691909.2441724</v>
      </c>
    </row>
    <row r="158" customHeight="1" spans="1:5">
      <c r="A158">
        <v>156</v>
      </c>
      <c r="B158">
        <v>8975377</v>
      </c>
      <c r="C158">
        <v>13290</v>
      </c>
      <c r="D158">
        <v>0.356393687621972</v>
      </c>
      <c r="E158">
        <f t="shared" si="2"/>
        <v>13945445.8842042</v>
      </c>
    </row>
    <row r="159" customHeight="1" spans="1:5">
      <c r="A159">
        <v>157</v>
      </c>
      <c r="B159">
        <v>9116549</v>
      </c>
      <c r="C159">
        <v>13390</v>
      </c>
      <c r="D159">
        <v>0.358109129895634</v>
      </c>
      <c r="E159">
        <f t="shared" si="2"/>
        <v>14202646.3135669</v>
      </c>
    </row>
    <row r="160" customHeight="1" spans="1:5">
      <c r="A160">
        <v>158</v>
      </c>
      <c r="B160">
        <v>9259286</v>
      </c>
      <c r="C160">
        <v>13489</v>
      </c>
      <c r="D160">
        <v>0.359818598301863</v>
      </c>
      <c r="E160">
        <f t="shared" si="2"/>
        <v>14463534.8284704</v>
      </c>
    </row>
    <row r="161" customHeight="1" spans="1:5">
      <c r="A161">
        <v>159</v>
      </c>
      <c r="B161">
        <v>9403647</v>
      </c>
      <c r="C161">
        <v>13589</v>
      </c>
      <c r="D161">
        <v>0.361522115299438</v>
      </c>
      <c r="E161">
        <f t="shared" si="2"/>
        <v>14728226.6548828</v>
      </c>
    </row>
    <row r="162" customHeight="1" spans="1:5">
      <c r="A162">
        <v>160</v>
      </c>
      <c r="B162">
        <v>9549572</v>
      </c>
      <c r="C162">
        <v>13690</v>
      </c>
      <c r="D162">
        <v>0.363219703283556</v>
      </c>
      <c r="E162">
        <f t="shared" si="2"/>
        <v>14996651.1986039</v>
      </c>
    </row>
    <row r="163" customHeight="1" spans="1:5">
      <c r="A163">
        <v>161</v>
      </c>
      <c r="B163">
        <v>9697121</v>
      </c>
      <c r="C163">
        <v>13790</v>
      </c>
      <c r="D163">
        <v>0.364911384585587</v>
      </c>
      <c r="E163">
        <f t="shared" si="2"/>
        <v>15268925.886307</v>
      </c>
    </row>
    <row r="164" customHeight="1" spans="1:5">
      <c r="A164">
        <v>162</v>
      </c>
      <c r="B164">
        <v>9846293</v>
      </c>
      <c r="C164">
        <v>13891</v>
      </c>
      <c r="D164">
        <v>0.366597181472987</v>
      </c>
      <c r="E164">
        <f t="shared" si="2"/>
        <v>15545072.9172593</v>
      </c>
    </row>
    <row r="165" customHeight="1" spans="1:5">
      <c r="A165">
        <v>163</v>
      </c>
      <c r="B165">
        <v>9997089</v>
      </c>
      <c r="C165">
        <v>13991</v>
      </c>
      <c r="D165">
        <v>0.368277116148587</v>
      </c>
      <c r="E165">
        <f t="shared" si="2"/>
        <v>15825117.7146709</v>
      </c>
    </row>
    <row r="166" customHeight="1" spans="1:5">
      <c r="A166">
        <v>164</v>
      </c>
      <c r="B166">
        <v>10149569</v>
      </c>
      <c r="C166">
        <v>14092</v>
      </c>
      <c r="D166">
        <v>0.369951210750848</v>
      </c>
      <c r="E166">
        <f t="shared" si="2"/>
        <v>16109179.4368743</v>
      </c>
    </row>
    <row r="167" customHeight="1" spans="1:5">
      <c r="A167">
        <v>165</v>
      </c>
      <c r="B167">
        <v>10303672</v>
      </c>
      <c r="C167">
        <v>14193</v>
      </c>
      <c r="D167">
        <v>0.371619487353639</v>
      </c>
      <c r="E167">
        <f t="shared" si="2"/>
        <v>16397185.7698246</v>
      </c>
    </row>
    <row r="168" customHeight="1" spans="1:5">
      <c r="A168">
        <v>166</v>
      </c>
      <c r="B168">
        <v>10459458</v>
      </c>
      <c r="C168">
        <v>14295</v>
      </c>
      <c r="D168">
        <v>0.373281967965401</v>
      </c>
      <c r="E168">
        <f t="shared" si="2"/>
        <v>16689256.5162742</v>
      </c>
    </row>
    <row r="169" customHeight="1" spans="1:5">
      <c r="A169">
        <v>167</v>
      </c>
      <c r="B169">
        <v>10616987</v>
      </c>
      <c r="C169">
        <v>14396</v>
      </c>
      <c r="D169">
        <v>0.374938674530042</v>
      </c>
      <c r="E169">
        <f t="shared" si="2"/>
        <v>16985512.5687348</v>
      </c>
    </row>
    <row r="170" customHeight="1" spans="1:5">
      <c r="A170">
        <v>168</v>
      </c>
      <c r="B170">
        <v>10776140</v>
      </c>
      <c r="C170">
        <v>14498</v>
      </c>
      <c r="D170">
        <v>0.376589628925806</v>
      </c>
      <c r="E170">
        <f t="shared" si="2"/>
        <v>17285788.7837697</v>
      </c>
    </row>
    <row r="171" customHeight="1" spans="1:5">
      <c r="A171">
        <v>169</v>
      </c>
      <c r="B171">
        <v>10937035</v>
      </c>
      <c r="C171">
        <v>14600</v>
      </c>
      <c r="D171">
        <v>0.378234852965088</v>
      </c>
      <c r="E171">
        <f t="shared" si="2"/>
        <v>17590299.2507007</v>
      </c>
    </row>
    <row r="172" customHeight="1" spans="1:5">
      <c r="A172">
        <v>170</v>
      </c>
      <c r="B172">
        <v>11099614</v>
      </c>
      <c r="C172">
        <v>14702</v>
      </c>
      <c r="D172">
        <v>0.379874368395191</v>
      </c>
      <c r="E172">
        <f t="shared" si="2"/>
        <v>17898976.3272251</v>
      </c>
    </row>
    <row r="173" customHeight="1" spans="1:5">
      <c r="A173">
        <v>171</v>
      </c>
      <c r="B173">
        <v>11263995</v>
      </c>
      <c r="C173">
        <v>14804</v>
      </c>
      <c r="D173">
        <v>0.381508196897067</v>
      </c>
      <c r="E173">
        <f t="shared" si="2"/>
        <v>18212036.0261676</v>
      </c>
    </row>
    <row r="174" customHeight="1" spans="1:5">
      <c r="A174">
        <v>172</v>
      </c>
      <c r="B174">
        <v>11430059</v>
      </c>
      <c r="C174">
        <v>14906</v>
      </c>
      <c r="D174">
        <v>0.383136360085925</v>
      </c>
      <c r="E174">
        <f t="shared" si="2"/>
        <v>18529312.2505845</v>
      </c>
    </row>
    <row r="175" customHeight="1" spans="1:5">
      <c r="A175">
        <v>173</v>
      </c>
      <c r="B175">
        <v>11597925</v>
      </c>
      <c r="C175">
        <v>15009</v>
      </c>
      <c r="D175">
        <v>0.384758879510314</v>
      </c>
      <c r="E175">
        <f t="shared" si="2"/>
        <v>18851023.7917272</v>
      </c>
    </row>
    <row r="176" customHeight="1" spans="1:5">
      <c r="A176">
        <v>174</v>
      </c>
      <c r="B176">
        <v>11767595</v>
      </c>
      <c r="C176">
        <v>15112</v>
      </c>
      <c r="D176">
        <v>0.38637577665319</v>
      </c>
      <c r="E176">
        <f t="shared" si="2"/>
        <v>19177200.8865907</v>
      </c>
    </row>
    <row r="177" customHeight="1" spans="1:5">
      <c r="A177">
        <v>175</v>
      </c>
      <c r="B177">
        <v>11939006</v>
      </c>
      <c r="C177">
        <v>15215</v>
      </c>
      <c r="D177">
        <v>0.387987072930103</v>
      </c>
      <c r="E177">
        <f t="shared" si="2"/>
        <v>19507767.682555</v>
      </c>
    </row>
    <row r="178" customHeight="1" spans="1:5">
      <c r="A178">
        <v>176</v>
      </c>
      <c r="B178">
        <v>12112220</v>
      </c>
      <c r="C178">
        <v>15318</v>
      </c>
      <c r="D178">
        <v>0.38959278969073</v>
      </c>
      <c r="E178">
        <f t="shared" si="2"/>
        <v>19842852.1082888</v>
      </c>
    </row>
    <row r="179" customHeight="1" spans="1:5">
      <c r="A179">
        <v>177</v>
      </c>
      <c r="B179">
        <v>12287296</v>
      </c>
      <c r="C179">
        <v>15421</v>
      </c>
      <c r="D179">
        <v>0.39119294821754</v>
      </c>
      <c r="E179">
        <f t="shared" si="2"/>
        <v>20182578.3128256</v>
      </c>
    </row>
    <row r="180" customHeight="1" spans="1:5">
      <c r="A180">
        <v>178</v>
      </c>
      <c r="B180">
        <v>12464174</v>
      </c>
      <c r="C180">
        <v>15525</v>
      </c>
      <c r="D180">
        <v>0.39278756972642</v>
      </c>
      <c r="E180">
        <f t="shared" si="2"/>
        <v>20526875.5687104</v>
      </c>
    </row>
    <row r="181" customHeight="1" spans="1:5">
      <c r="A181">
        <v>179</v>
      </c>
      <c r="B181">
        <v>12642855</v>
      </c>
      <c r="C181">
        <v>15629</v>
      </c>
      <c r="D181">
        <v>0.394376675365966</v>
      </c>
      <c r="E181">
        <f t="shared" si="2"/>
        <v>20875772.9198092</v>
      </c>
    </row>
    <row r="182" customHeight="1" spans="1:5">
      <c r="A182">
        <v>180</v>
      </c>
      <c r="B182">
        <v>12823458</v>
      </c>
      <c r="C182">
        <v>15732</v>
      </c>
      <c r="D182">
        <v>0.395960286217822</v>
      </c>
      <c r="E182">
        <f t="shared" si="2"/>
        <v>21229494.8616975</v>
      </c>
    </row>
    <row r="183" customHeight="1" spans="1:5">
      <c r="A183">
        <v>181</v>
      </c>
      <c r="B183">
        <v>13005862</v>
      </c>
      <c r="C183">
        <v>15837</v>
      </c>
      <c r="D183">
        <v>0.397538423296576</v>
      </c>
      <c r="E183">
        <f t="shared" si="2"/>
        <v>21587869.6715665</v>
      </c>
    </row>
    <row r="184" customHeight="1" spans="1:5">
      <c r="A184">
        <v>182</v>
      </c>
      <c r="B184">
        <v>13190189</v>
      </c>
      <c r="C184">
        <v>15941</v>
      </c>
      <c r="D184">
        <v>0.399111107549219</v>
      </c>
      <c r="E184">
        <f t="shared" si="2"/>
        <v>21951128.0133713</v>
      </c>
    </row>
    <row r="185" customHeight="1" spans="1:5">
      <c r="A185">
        <v>183</v>
      </c>
      <c r="B185">
        <v>13376437</v>
      </c>
      <c r="C185">
        <v>16045</v>
      </c>
      <c r="D185">
        <v>0.400678359855647</v>
      </c>
      <c r="E185">
        <f t="shared" si="2"/>
        <v>22319295.857193</v>
      </c>
    </row>
    <row r="186" customHeight="1" spans="1:5">
      <c r="A186">
        <v>184</v>
      </c>
      <c r="B186">
        <v>13564548</v>
      </c>
      <c r="C186">
        <v>16150</v>
      </c>
      <c r="D186">
        <v>0.402240201027993</v>
      </c>
      <c r="E186">
        <f t="shared" si="2"/>
        <v>22692305.5436775</v>
      </c>
    </row>
    <row r="187" customHeight="1" spans="1:5">
      <c r="A187">
        <v>185</v>
      </c>
      <c r="B187">
        <v>13754580</v>
      </c>
      <c r="C187">
        <v>16255</v>
      </c>
      <c r="D187">
        <v>0.403796651811129</v>
      </c>
      <c r="E187">
        <f t="shared" si="2"/>
        <v>23070283.0532288</v>
      </c>
    </row>
    <row r="188" customHeight="1" spans="1:5">
      <c r="A188">
        <v>186</v>
      </c>
      <c r="B188">
        <v>13946593</v>
      </c>
      <c r="C188">
        <v>16360</v>
      </c>
      <c r="D188">
        <v>0.405347732882016</v>
      </c>
      <c r="E188">
        <f t="shared" si="2"/>
        <v>23453358.8303513</v>
      </c>
    </row>
    <row r="189" customHeight="1" spans="1:5">
      <c r="A189">
        <v>187</v>
      </c>
      <c r="B189">
        <v>14140529</v>
      </c>
      <c r="C189">
        <v>16465</v>
      </c>
      <c r="D189">
        <v>0.406893464850071</v>
      </c>
      <c r="E189">
        <f t="shared" si="2"/>
        <v>23841465.5074159</v>
      </c>
    </row>
    <row r="190" customHeight="1" spans="1:5">
      <c r="A190">
        <v>188</v>
      </c>
      <c r="B190">
        <v>14336446</v>
      </c>
      <c r="C190">
        <v>16570</v>
      </c>
      <c r="D190">
        <v>0.408433868257105</v>
      </c>
      <c r="E190">
        <f t="shared" si="2"/>
        <v>24234730.879135</v>
      </c>
    </row>
    <row r="191" customHeight="1" spans="1:5">
      <c r="A191">
        <v>189</v>
      </c>
      <c r="B191">
        <v>14534344</v>
      </c>
      <c r="C191">
        <v>16676</v>
      </c>
      <c r="D191">
        <v>0.409968963576841</v>
      </c>
      <c r="E191">
        <f t="shared" si="2"/>
        <v>24633185.5492026</v>
      </c>
    </row>
    <row r="192" customHeight="1" spans="1:5">
      <c r="A192">
        <v>190</v>
      </c>
      <c r="B192">
        <v>14734224</v>
      </c>
      <c r="C192">
        <v>16782</v>
      </c>
      <c r="D192">
        <v>0.411498771215432</v>
      </c>
      <c r="E192">
        <f t="shared" si="2"/>
        <v>25036861.9117935</v>
      </c>
    </row>
    <row r="193" customHeight="1" spans="1:5">
      <c r="A193">
        <v>191</v>
      </c>
      <c r="B193">
        <v>14936146</v>
      </c>
      <c r="C193">
        <v>16887</v>
      </c>
      <c r="D193">
        <v>0.413023311510994</v>
      </c>
      <c r="E193">
        <f t="shared" si="2"/>
        <v>25445892.9850325</v>
      </c>
    </row>
    <row r="194" customHeight="1" spans="1:5">
      <c r="A194">
        <v>192</v>
      </c>
      <c r="B194">
        <v>15140048</v>
      </c>
      <c r="C194">
        <v>16994</v>
      </c>
      <c r="D194">
        <v>0.414542604733425</v>
      </c>
      <c r="E194">
        <f t="shared" si="2"/>
        <v>25860204.5552885</v>
      </c>
    </row>
    <row r="195" customHeight="1" spans="1:5">
      <c r="A195">
        <v>193</v>
      </c>
      <c r="B195">
        <v>15346052</v>
      </c>
      <c r="C195">
        <v>17100</v>
      </c>
      <c r="D195">
        <v>0.416056671085356</v>
      </c>
      <c r="E195">
        <f t="shared" ref="E195:E258" si="3">IFERROR(B195/(1-D195),B195)</f>
        <v>26280036.5037532</v>
      </c>
    </row>
    <row r="196" customHeight="1" spans="1:5">
      <c r="A196">
        <v>194</v>
      </c>
      <c r="B196">
        <v>15554038</v>
      </c>
      <c r="C196">
        <v>17206</v>
      </c>
      <c r="D196">
        <v>0.417565530700719</v>
      </c>
      <c r="E196">
        <f t="shared" si="3"/>
        <v>26705215.4703564</v>
      </c>
    </row>
    <row r="197" customHeight="1" spans="1:5">
      <c r="A197">
        <v>195</v>
      </c>
      <c r="B197">
        <v>15764184</v>
      </c>
      <c r="C197">
        <v>17313</v>
      </c>
      <c r="D197">
        <v>0.419069203645706</v>
      </c>
      <c r="E197">
        <f t="shared" si="3"/>
        <v>27136079.0285696</v>
      </c>
    </row>
    <row r="198" customHeight="1" spans="1:5">
      <c r="A198">
        <v>196</v>
      </c>
      <c r="B198">
        <v>15976312</v>
      </c>
      <c r="C198">
        <v>17420</v>
      </c>
      <c r="D198">
        <v>0.420567709918606</v>
      </c>
      <c r="E198">
        <f t="shared" si="3"/>
        <v>27572353.6183249</v>
      </c>
    </row>
    <row r="199" customHeight="1" spans="1:5">
      <c r="A199">
        <v>197</v>
      </c>
      <c r="B199">
        <v>16190601</v>
      </c>
      <c r="C199">
        <v>17527</v>
      </c>
      <c r="D199">
        <v>0.422061069449517</v>
      </c>
      <c r="E199">
        <f t="shared" si="3"/>
        <v>28014380.3162361</v>
      </c>
    </row>
    <row r="200" customHeight="1" spans="1:5">
      <c r="A200">
        <v>198</v>
      </c>
      <c r="B200">
        <v>16406991</v>
      </c>
      <c r="C200">
        <v>17634</v>
      </c>
      <c r="D200">
        <v>0.423549302100334</v>
      </c>
      <c r="E200">
        <f t="shared" si="3"/>
        <v>28462088.882501</v>
      </c>
    </row>
    <row r="201" customHeight="1" spans="1:5">
      <c r="A201">
        <v>199</v>
      </c>
      <c r="B201">
        <v>16625543</v>
      </c>
      <c r="C201">
        <v>17741</v>
      </c>
      <c r="D201">
        <v>0.425032427665027</v>
      </c>
      <c r="E201">
        <f t="shared" si="3"/>
        <v>28915618.549552</v>
      </c>
    </row>
    <row r="202" customHeight="1" spans="1:5">
      <c r="A202">
        <v>200</v>
      </c>
      <c r="B202">
        <v>16846195</v>
      </c>
      <c r="C202">
        <v>17849</v>
      </c>
      <c r="D202">
        <v>0.426510465869766</v>
      </c>
      <c r="E202">
        <f t="shared" si="3"/>
        <v>29374895.2638679</v>
      </c>
    </row>
    <row r="203" customHeight="1" spans="1:5">
      <c r="A203">
        <v>201</v>
      </c>
      <c r="B203">
        <v>17069008</v>
      </c>
      <c r="C203">
        <v>17957</v>
      </c>
      <c r="D203">
        <v>0.427983436371981</v>
      </c>
      <c r="E203">
        <f t="shared" si="3"/>
        <v>29840058.9866484</v>
      </c>
    </row>
    <row r="204" customHeight="1" spans="1:5">
      <c r="A204">
        <v>202</v>
      </c>
      <c r="B204">
        <v>17294042</v>
      </c>
      <c r="C204">
        <v>18065</v>
      </c>
      <c r="D204">
        <v>0.429451358761859</v>
      </c>
      <c r="E204">
        <f t="shared" si="3"/>
        <v>30311249.1206191</v>
      </c>
    </row>
    <row r="205" customHeight="1" spans="1:5">
      <c r="A205">
        <v>203</v>
      </c>
      <c r="B205">
        <v>17521177</v>
      </c>
      <c r="C205">
        <v>18173</v>
      </c>
      <c r="D205">
        <v>0.430914252560878</v>
      </c>
      <c r="E205">
        <f t="shared" si="3"/>
        <v>30788289.952516</v>
      </c>
    </row>
    <row r="206" customHeight="1" spans="1:5">
      <c r="A206">
        <v>204</v>
      </c>
      <c r="B206">
        <v>17750593</v>
      </c>
      <c r="C206">
        <v>18281</v>
      </c>
      <c r="D206">
        <v>0.432372137222753</v>
      </c>
      <c r="E206">
        <f t="shared" si="3"/>
        <v>31271532.2203375</v>
      </c>
    </row>
    <row r="207" customHeight="1" spans="1:5">
      <c r="A207">
        <v>205</v>
      </c>
      <c r="B207">
        <v>17982230</v>
      </c>
      <c r="C207">
        <v>18390</v>
      </c>
      <c r="D207">
        <v>0.433825032133341</v>
      </c>
      <c r="E207">
        <f t="shared" si="3"/>
        <v>31760906.1166318</v>
      </c>
    </row>
    <row r="208" customHeight="1" spans="1:5">
      <c r="A208">
        <v>206</v>
      </c>
      <c r="B208">
        <v>18216088</v>
      </c>
      <c r="C208">
        <v>18498</v>
      </c>
      <c r="D208">
        <v>0.435272956610385</v>
      </c>
      <c r="E208">
        <f t="shared" si="3"/>
        <v>32256447.0981646</v>
      </c>
    </row>
    <row r="209" customHeight="1" spans="1:5">
      <c r="A209">
        <v>207</v>
      </c>
      <c r="B209">
        <v>18452227</v>
      </c>
      <c r="C209">
        <v>18607</v>
      </c>
      <c r="D209">
        <v>0.436715929903682</v>
      </c>
      <c r="E209">
        <f t="shared" si="3"/>
        <v>32758297.2421798</v>
      </c>
    </row>
    <row r="210" customHeight="1" spans="1:5">
      <c r="A210">
        <v>208</v>
      </c>
      <c r="B210">
        <v>18690586</v>
      </c>
      <c r="C210">
        <v>18716</v>
      </c>
      <c r="D210">
        <v>0.438153971194988</v>
      </c>
      <c r="E210">
        <f t="shared" si="3"/>
        <v>33266384.4572381</v>
      </c>
    </row>
    <row r="211" customHeight="1" spans="1:5">
      <c r="A211">
        <v>209</v>
      </c>
      <c r="B211">
        <v>18931286</v>
      </c>
      <c r="C211">
        <v>18826</v>
      </c>
      <c r="D211">
        <v>0.439587099598447</v>
      </c>
      <c r="E211">
        <f t="shared" si="3"/>
        <v>33780960.4069342</v>
      </c>
    </row>
    <row r="212" customHeight="1" spans="1:5">
      <c r="A212">
        <v>210</v>
      </c>
      <c r="B212">
        <v>19174267</v>
      </c>
      <c r="C212">
        <v>18935</v>
      </c>
      <c r="D212">
        <v>0.44101533416011</v>
      </c>
      <c r="E212">
        <f t="shared" si="3"/>
        <v>34301955.2623865</v>
      </c>
    </row>
    <row r="213" customHeight="1" spans="1:5">
      <c r="A213">
        <v>211</v>
      </c>
      <c r="B213">
        <v>19419529</v>
      </c>
      <c r="C213">
        <v>19045</v>
      </c>
      <c r="D213">
        <v>0.442438693858502</v>
      </c>
      <c r="E213">
        <f t="shared" si="3"/>
        <v>34829405.8179706</v>
      </c>
    </row>
    <row r="214" customHeight="1" spans="1:5">
      <c r="A214">
        <v>212</v>
      </c>
      <c r="B214">
        <v>19667191</v>
      </c>
      <c r="C214">
        <v>19154</v>
      </c>
      <c r="D214">
        <v>0.443857197604277</v>
      </c>
      <c r="E214">
        <f t="shared" si="3"/>
        <v>35363562.9469242</v>
      </c>
    </row>
    <row r="215" customHeight="1" spans="1:5">
      <c r="A215">
        <v>213</v>
      </c>
      <c r="B215">
        <v>19917134</v>
      </c>
      <c r="C215">
        <v>19264</v>
      </c>
      <c r="D215">
        <v>0.445270864240406</v>
      </c>
      <c r="E215">
        <f t="shared" si="3"/>
        <v>35904250.7704726</v>
      </c>
    </row>
    <row r="216" customHeight="1" spans="1:5">
      <c r="A216">
        <v>214</v>
      </c>
      <c r="B216">
        <v>20169477</v>
      </c>
      <c r="C216">
        <v>19375</v>
      </c>
      <c r="D216">
        <v>0.446679712542098</v>
      </c>
      <c r="E216">
        <f t="shared" si="3"/>
        <v>36451721.4661762</v>
      </c>
    </row>
    <row r="217" customHeight="1" spans="1:5">
      <c r="A217">
        <v>215</v>
      </c>
      <c r="B217">
        <v>20424222</v>
      </c>
      <c r="C217">
        <v>19485</v>
      </c>
      <c r="D217">
        <v>0.448083761217251</v>
      </c>
      <c r="E217">
        <f t="shared" si="3"/>
        <v>37006017.5164362</v>
      </c>
    </row>
    <row r="218" customHeight="1" spans="1:5">
      <c r="A218">
        <v>216</v>
      </c>
      <c r="B218">
        <v>20681366</v>
      </c>
      <c r="C218">
        <v>19595</v>
      </c>
      <c r="D218">
        <v>0.449483028906001</v>
      </c>
      <c r="E218">
        <f t="shared" si="3"/>
        <v>37567172.4686372</v>
      </c>
    </row>
    <row r="219" customHeight="1" spans="1:5">
      <c r="A219">
        <v>217</v>
      </c>
      <c r="B219">
        <v>20940912</v>
      </c>
      <c r="C219">
        <v>19706</v>
      </c>
      <c r="D219">
        <v>0.450877534181418</v>
      </c>
      <c r="E219">
        <f t="shared" si="3"/>
        <v>38135230.8519798</v>
      </c>
    </row>
    <row r="220" customHeight="1" spans="1:5">
      <c r="A220">
        <v>218</v>
      </c>
      <c r="B220">
        <v>21202917</v>
      </c>
      <c r="C220">
        <v>19817</v>
      </c>
      <c r="D220">
        <v>0.4522672955487</v>
      </c>
      <c r="E220">
        <f t="shared" si="3"/>
        <v>38710335.9497957</v>
      </c>
    </row>
    <row r="221" customHeight="1" spans="1:5">
      <c r="A221">
        <v>219</v>
      </c>
      <c r="B221">
        <v>21467324</v>
      </c>
      <c r="C221">
        <v>19928</v>
      </c>
      <c r="D221">
        <v>0.453652331446119</v>
      </c>
      <c r="E221">
        <f t="shared" si="3"/>
        <v>39292423.5529759</v>
      </c>
    </row>
    <row r="222" customHeight="1" spans="1:5">
      <c r="A222">
        <v>220</v>
      </c>
      <c r="B222">
        <v>21734251</v>
      </c>
      <c r="C222">
        <v>20039</v>
      </c>
      <c r="D222">
        <v>0.455032660244473</v>
      </c>
      <c r="E222">
        <f t="shared" si="3"/>
        <v>39881749.6287943</v>
      </c>
    </row>
    <row r="223" customHeight="1" spans="1:5">
      <c r="A223">
        <v>221</v>
      </c>
      <c r="B223">
        <v>22003638</v>
      </c>
      <c r="C223">
        <v>20151</v>
      </c>
      <c r="D223">
        <v>0.456408300247792</v>
      </c>
      <c r="E223">
        <f t="shared" si="3"/>
        <v>40478244.9953342</v>
      </c>
    </row>
    <row r="224" customHeight="1" spans="1:5">
      <c r="A224">
        <v>222</v>
      </c>
      <c r="B224">
        <v>22275546</v>
      </c>
      <c r="C224">
        <v>20262</v>
      </c>
      <c r="D224">
        <v>0.457779269692541</v>
      </c>
      <c r="E224">
        <f t="shared" si="3"/>
        <v>41082062.6267257</v>
      </c>
    </row>
    <row r="225" customHeight="1" spans="1:5">
      <c r="A225">
        <v>223</v>
      </c>
      <c r="B225">
        <v>22549974</v>
      </c>
      <c r="C225">
        <v>20374</v>
      </c>
      <c r="D225">
        <v>0.45914558674858</v>
      </c>
      <c r="E225">
        <f t="shared" si="3"/>
        <v>41693242.1137839</v>
      </c>
    </row>
    <row r="226" customHeight="1" spans="1:5">
      <c r="A226">
        <v>224</v>
      </c>
      <c r="B226">
        <v>22826923</v>
      </c>
      <c r="C226">
        <v>20486</v>
      </c>
      <c r="D226">
        <v>0.460507269518633</v>
      </c>
      <c r="E226">
        <f t="shared" si="3"/>
        <v>42311826.8519253</v>
      </c>
    </row>
    <row r="227" customHeight="1" spans="1:5">
      <c r="A227">
        <v>225</v>
      </c>
      <c r="B227">
        <v>23106452</v>
      </c>
      <c r="C227">
        <v>20598</v>
      </c>
      <c r="D227">
        <v>0.461864336038989</v>
      </c>
      <c r="E227">
        <f t="shared" si="3"/>
        <v>42937968.1508604</v>
      </c>
    </row>
    <row r="228" customHeight="1" spans="1:5">
      <c r="A228">
        <v>226</v>
      </c>
      <c r="B228">
        <v>23388562</v>
      </c>
      <c r="C228">
        <v>20711</v>
      </c>
      <c r="D228">
        <v>0.46321680427874</v>
      </c>
      <c r="E228">
        <f t="shared" si="3"/>
        <v>43571710.4902538</v>
      </c>
    </row>
    <row r="229" customHeight="1" spans="1:5">
      <c r="A229">
        <v>227</v>
      </c>
      <c r="B229">
        <v>23673251</v>
      </c>
      <c r="C229">
        <v>20823</v>
      </c>
      <c r="D229">
        <v>0.464564692140735</v>
      </c>
      <c r="E229">
        <f t="shared" si="3"/>
        <v>44213092.8844579</v>
      </c>
    </row>
    <row r="230" customHeight="1" spans="1:5">
      <c r="A230">
        <v>228</v>
      </c>
      <c r="B230">
        <v>23960522</v>
      </c>
      <c r="C230">
        <v>20936</v>
      </c>
      <c r="D230">
        <v>0.465908017461184</v>
      </c>
      <c r="E230">
        <f t="shared" si="3"/>
        <v>44862163.7907823</v>
      </c>
    </row>
    <row r="231" customHeight="1" spans="1:5">
      <c r="A231">
        <v>229</v>
      </c>
      <c r="B231">
        <v>24250432</v>
      </c>
      <c r="C231">
        <v>21049</v>
      </c>
      <c r="D231">
        <v>0.467246798009889</v>
      </c>
      <c r="E231">
        <f t="shared" si="3"/>
        <v>45519073.202023</v>
      </c>
    </row>
    <row r="232" customHeight="1" spans="1:5">
      <c r="A232">
        <v>230</v>
      </c>
      <c r="B232">
        <v>24542984</v>
      </c>
      <c r="C232">
        <v>21162</v>
      </c>
      <c r="D232">
        <v>0.468581051490343</v>
      </c>
      <c r="E232">
        <f t="shared" si="3"/>
        <v>46183870.6896504</v>
      </c>
    </row>
    <row r="233" customHeight="1" spans="1:5">
      <c r="A233">
        <v>231</v>
      </c>
      <c r="B233">
        <v>24838235</v>
      </c>
      <c r="C233">
        <v>21275</v>
      </c>
      <c r="D233">
        <v>0.469910795539716</v>
      </c>
      <c r="E233">
        <f t="shared" si="3"/>
        <v>46856707.87295</v>
      </c>
    </row>
    <row r="234" customHeight="1" spans="1:5">
      <c r="A234">
        <v>232</v>
      </c>
      <c r="B234">
        <v>25136127</v>
      </c>
      <c r="C234">
        <v>21389</v>
      </c>
      <c r="D234">
        <v>0.471236047729326</v>
      </c>
      <c r="E234">
        <f t="shared" si="3"/>
        <v>47537520.0825582</v>
      </c>
    </row>
    <row r="235" customHeight="1" spans="1:5">
      <c r="A235">
        <v>233</v>
      </c>
      <c r="B235">
        <v>25436779</v>
      </c>
      <c r="C235">
        <v>21503</v>
      </c>
      <c r="D235">
        <v>0.472556825564508</v>
      </c>
      <c r="E235">
        <f t="shared" si="3"/>
        <v>48226577.2558803</v>
      </c>
    </row>
    <row r="236" customHeight="1" spans="1:5">
      <c r="A236">
        <v>234</v>
      </c>
      <c r="B236">
        <v>25740071</v>
      </c>
      <c r="C236">
        <v>21616</v>
      </c>
      <c r="D236">
        <v>0.473873146484371</v>
      </c>
      <c r="E236">
        <f t="shared" si="3"/>
        <v>48923697.4467325</v>
      </c>
    </row>
    <row r="237" customHeight="1" spans="1:5">
      <c r="A237">
        <v>235</v>
      </c>
      <c r="B237">
        <v>26046184</v>
      </c>
      <c r="C237">
        <v>21730</v>
      </c>
      <c r="D237">
        <v>0.475185027862627</v>
      </c>
      <c r="E237">
        <f t="shared" si="3"/>
        <v>49629270.090988</v>
      </c>
    </row>
    <row r="238" customHeight="1" spans="1:5">
      <c r="A238">
        <v>236</v>
      </c>
      <c r="B238">
        <v>26354996</v>
      </c>
      <c r="C238">
        <v>21845</v>
      </c>
      <c r="D238">
        <v>0.476492487007238</v>
      </c>
      <c r="E238">
        <f t="shared" si="3"/>
        <v>50343109.4032157</v>
      </c>
    </row>
    <row r="239" customHeight="1" spans="1:5">
      <c r="A239">
        <v>237</v>
      </c>
      <c r="B239">
        <v>26666570</v>
      </c>
      <c r="C239">
        <v>21959</v>
      </c>
      <c r="D239">
        <v>0.477795541160644</v>
      </c>
      <c r="E239">
        <f t="shared" si="3"/>
        <v>51065381.6692196</v>
      </c>
    </row>
    <row r="240" customHeight="1" spans="1:5">
      <c r="A240">
        <v>238</v>
      </c>
      <c r="B240">
        <v>26980963</v>
      </c>
      <c r="C240">
        <v>22074</v>
      </c>
      <c r="D240">
        <v>0.479094207499784</v>
      </c>
      <c r="E240">
        <f t="shared" si="3"/>
        <v>51796242.9837806</v>
      </c>
    </row>
    <row r="241" customHeight="1" spans="1:5">
      <c r="A241">
        <v>239</v>
      </c>
      <c r="B241">
        <v>27298177</v>
      </c>
      <c r="C241">
        <v>22188</v>
      </c>
      <c r="D241">
        <v>0.480388503136673</v>
      </c>
      <c r="E241">
        <f t="shared" si="3"/>
        <v>52535744.8108586</v>
      </c>
    </row>
    <row r="242" customHeight="1" spans="1:5">
      <c r="A242">
        <v>240</v>
      </c>
      <c r="B242">
        <v>27618211</v>
      </c>
      <c r="C242">
        <v>22303</v>
      </c>
      <c r="D242">
        <v>0.481678445117837</v>
      </c>
      <c r="E242">
        <f t="shared" si="3"/>
        <v>53283932.9946037</v>
      </c>
    </row>
    <row r="243" customHeight="1" spans="1:5">
      <c r="A243">
        <v>241</v>
      </c>
      <c r="B243">
        <v>27941125</v>
      </c>
      <c r="C243">
        <v>22418</v>
      </c>
      <c r="D243">
        <v>0.48296405042479</v>
      </c>
      <c r="E243">
        <f t="shared" si="3"/>
        <v>54040971.4700807</v>
      </c>
    </row>
    <row r="244" customHeight="1" spans="1:5">
      <c r="A244">
        <v>242</v>
      </c>
      <c r="B244">
        <v>28266859</v>
      </c>
      <c r="C244">
        <v>22534</v>
      </c>
      <c r="D244">
        <v>0.48424533597451</v>
      </c>
      <c r="E244">
        <f t="shared" si="3"/>
        <v>54806792.786663</v>
      </c>
    </row>
    <row r="245" customHeight="1" spans="1:5">
      <c r="A245">
        <v>243</v>
      </c>
      <c r="B245">
        <v>28595534</v>
      </c>
      <c r="C245">
        <v>22649</v>
      </c>
      <c r="D245">
        <v>0.485522318618759</v>
      </c>
      <c r="E245">
        <f t="shared" si="3"/>
        <v>55581680.2844164</v>
      </c>
    </row>
    <row r="246" customHeight="1" spans="1:5">
      <c r="A246">
        <v>244</v>
      </c>
      <c r="B246">
        <v>28927088</v>
      </c>
      <c r="C246">
        <v>22765</v>
      </c>
      <c r="D246">
        <v>0.486795015145037</v>
      </c>
      <c r="E246">
        <f t="shared" si="3"/>
        <v>56365563.1836372</v>
      </c>
    </row>
    <row r="247" customHeight="1" spans="1:5">
      <c r="A247">
        <v>245</v>
      </c>
      <c r="B247">
        <v>29261583</v>
      </c>
      <c r="C247">
        <v>22881</v>
      </c>
      <c r="D247">
        <v>0.488063442276353</v>
      </c>
      <c r="E247">
        <f t="shared" si="3"/>
        <v>57158611.8602531</v>
      </c>
    </row>
    <row r="248" customHeight="1" spans="1:5">
      <c r="A248">
        <v>246</v>
      </c>
      <c r="B248">
        <v>29599019</v>
      </c>
      <c r="C248">
        <v>22997</v>
      </c>
      <c r="D248">
        <v>0.489327616671037</v>
      </c>
      <c r="E248">
        <f t="shared" si="3"/>
        <v>57960876.6133982</v>
      </c>
    </row>
    <row r="249" customHeight="1" spans="1:5">
      <c r="A249">
        <v>247</v>
      </c>
      <c r="B249">
        <v>29939394</v>
      </c>
      <c r="C249">
        <v>23113</v>
      </c>
      <c r="D249">
        <v>0.490587554923671</v>
      </c>
      <c r="E249">
        <f t="shared" si="3"/>
        <v>58772403.9516034</v>
      </c>
    </row>
    <row r="250" customHeight="1" spans="1:5">
      <c r="A250">
        <v>248</v>
      </c>
      <c r="B250">
        <v>30282830</v>
      </c>
      <c r="C250">
        <v>23230</v>
      </c>
      <c r="D250">
        <v>0.491843273564321</v>
      </c>
      <c r="E250">
        <f t="shared" si="3"/>
        <v>59593484.4991826</v>
      </c>
    </row>
    <row r="251" customHeight="1" spans="1:5">
      <c r="A251">
        <v>249</v>
      </c>
      <c r="B251">
        <v>30629205</v>
      </c>
      <c r="C251">
        <v>23346</v>
      </c>
      <c r="D251">
        <v>0.493094789059474</v>
      </c>
      <c r="E251">
        <f t="shared" si="3"/>
        <v>60423930.0345122</v>
      </c>
    </row>
    <row r="252" customHeight="1" spans="1:5">
      <c r="A252">
        <v>250</v>
      </c>
      <c r="B252">
        <v>30978641</v>
      </c>
      <c r="C252">
        <v>23463</v>
      </c>
      <c r="D252">
        <v>0.494342117811841</v>
      </c>
      <c r="E252">
        <f t="shared" si="3"/>
        <v>61264032.6418814</v>
      </c>
    </row>
    <row r="253" customHeight="1" spans="1:5">
      <c r="A253">
        <v>251</v>
      </c>
      <c r="B253">
        <v>31331137</v>
      </c>
      <c r="C253">
        <v>23580</v>
      </c>
      <c r="D253">
        <v>0.495585276160173</v>
      </c>
      <c r="E253">
        <f t="shared" si="3"/>
        <v>62113843.0724099</v>
      </c>
    </row>
    <row r="254" customHeight="1" spans="1:5">
      <c r="A254">
        <v>252</v>
      </c>
      <c r="B254">
        <v>31686693</v>
      </c>
      <c r="C254">
        <v>23697</v>
      </c>
      <c r="D254">
        <v>0.496824280380181</v>
      </c>
      <c r="E254">
        <f t="shared" si="3"/>
        <v>62973414.1860845</v>
      </c>
    </row>
    <row r="255" customHeight="1" spans="1:5">
      <c r="A255">
        <v>253</v>
      </c>
      <c r="B255">
        <v>32045310</v>
      </c>
      <c r="C255">
        <v>23814</v>
      </c>
      <c r="D255">
        <v>0.498059146683805</v>
      </c>
      <c r="E255">
        <f t="shared" si="3"/>
        <v>63842800.976021</v>
      </c>
    </row>
    <row r="256" customHeight="1" spans="1:5">
      <c r="A256">
        <v>254</v>
      </c>
      <c r="B256">
        <v>32407046</v>
      </c>
      <c r="C256">
        <v>23932</v>
      </c>
      <c r="D256">
        <v>0.499289891220247</v>
      </c>
      <c r="E256">
        <f t="shared" si="3"/>
        <v>64722172.4342195</v>
      </c>
    </row>
    <row r="257" customHeight="1" spans="1:5">
      <c r="A257">
        <v>255</v>
      </c>
      <c r="B257">
        <v>32771963</v>
      </c>
      <c r="C257">
        <v>24050</v>
      </c>
      <c r="D257">
        <v>0.500516530075346</v>
      </c>
      <c r="E257">
        <f t="shared" si="3"/>
        <v>65611706.839755</v>
      </c>
    </row>
    <row r="258" customHeight="1" spans="1:5">
      <c r="A258">
        <v>256</v>
      </c>
      <c r="B258">
        <v>33139940</v>
      </c>
      <c r="C258">
        <v>24168</v>
      </c>
      <c r="D258">
        <v>0.501739079272073</v>
      </c>
      <c r="E258">
        <f t="shared" si="3"/>
        <v>66511216.5561463</v>
      </c>
    </row>
    <row r="259" customHeight="1" spans="1:5">
      <c r="A259">
        <v>257</v>
      </c>
      <c r="B259">
        <v>33511156</v>
      </c>
      <c r="C259">
        <v>24286</v>
      </c>
      <c r="D259">
        <v>0.502957554771</v>
      </c>
      <c r="E259">
        <f t="shared" ref="E259:E322" si="4">IFERROR(B259/(1-D259),B259)</f>
        <v>67421115.2823388</v>
      </c>
    </row>
    <row r="260" customHeight="1" spans="1:5">
      <c r="A260">
        <v>258</v>
      </c>
      <c r="B260">
        <v>33885553</v>
      </c>
      <c r="C260">
        <v>24404</v>
      </c>
      <c r="D260">
        <v>0.504171972469811</v>
      </c>
      <c r="E260">
        <f t="shared" si="4"/>
        <v>68341342.3980694</v>
      </c>
    </row>
    <row r="261" customHeight="1" spans="1:5">
      <c r="A261">
        <v>259</v>
      </c>
      <c r="B261">
        <v>34263191</v>
      </c>
      <c r="C261">
        <v>24522</v>
      </c>
      <c r="D261">
        <v>0.505382348203893</v>
      </c>
      <c r="E261">
        <f t="shared" si="4"/>
        <v>69272074.8553553</v>
      </c>
    </row>
    <row r="262" customHeight="1" spans="1:5">
      <c r="A262">
        <v>260</v>
      </c>
      <c r="B262">
        <v>34644008</v>
      </c>
      <c r="C262">
        <v>24641</v>
      </c>
      <c r="D262">
        <v>0.506588697746492</v>
      </c>
      <c r="E262">
        <f t="shared" si="4"/>
        <v>70213243.6808275</v>
      </c>
    </row>
    <row r="263" customHeight="1" spans="1:5">
      <c r="A263">
        <v>261</v>
      </c>
      <c r="B263">
        <v>35028125</v>
      </c>
      <c r="C263">
        <v>24760</v>
      </c>
      <c r="D263">
        <v>0.507791036808443</v>
      </c>
      <c r="E263">
        <f t="shared" si="4"/>
        <v>71165150.615853</v>
      </c>
    </row>
    <row r="264" customHeight="1" spans="1:5">
      <c r="A264">
        <v>262</v>
      </c>
      <c r="B264">
        <v>35415482</v>
      </c>
      <c r="C264">
        <v>24879</v>
      </c>
      <c r="D264">
        <v>0.508989381038978</v>
      </c>
      <c r="E264">
        <f t="shared" si="4"/>
        <v>72127731.3206365</v>
      </c>
    </row>
    <row r="265" customHeight="1" spans="1:5">
      <c r="A265">
        <v>263</v>
      </c>
      <c r="B265">
        <v>35806200</v>
      </c>
      <c r="C265">
        <v>24998</v>
      </c>
      <c r="D265">
        <v>0.510183746025561</v>
      </c>
      <c r="E265">
        <f t="shared" si="4"/>
        <v>73101289.9418167</v>
      </c>
    </row>
    <row r="266" customHeight="1" spans="1:5">
      <c r="A266">
        <v>264</v>
      </c>
      <c r="B266">
        <v>36200218</v>
      </c>
      <c r="C266">
        <v>25117</v>
      </c>
      <c r="D266">
        <v>0.511374147293843</v>
      </c>
      <c r="E266">
        <f t="shared" si="4"/>
        <v>74085760.7093696</v>
      </c>
    </row>
    <row r="267" customHeight="1" spans="1:5">
      <c r="A267">
        <v>265</v>
      </c>
      <c r="B267">
        <v>36597535</v>
      </c>
      <c r="C267">
        <v>25237</v>
      </c>
      <c r="D267">
        <v>0.512560600308042</v>
      </c>
      <c r="E267">
        <f t="shared" si="4"/>
        <v>75081199.8848024</v>
      </c>
    </row>
    <row r="268" customHeight="1" spans="1:5">
      <c r="A268">
        <v>266</v>
      </c>
      <c r="B268">
        <v>36998273</v>
      </c>
      <c r="C268">
        <v>25357</v>
      </c>
      <c r="D268">
        <v>0.51374312047152</v>
      </c>
      <c r="E268">
        <f t="shared" si="4"/>
        <v>76087916.814415</v>
      </c>
    </row>
    <row r="269" customHeight="1" spans="1:5">
      <c r="A269">
        <v>267</v>
      </c>
      <c r="B269">
        <v>37402371</v>
      </c>
      <c r="C269">
        <v>25477</v>
      </c>
      <c r="D269">
        <v>0.514921723125909</v>
      </c>
      <c r="E269">
        <f t="shared" si="4"/>
        <v>77105846.1760561</v>
      </c>
    </row>
    <row r="270" customHeight="1" spans="1:5">
      <c r="A270">
        <v>268</v>
      </c>
      <c r="B270">
        <v>37809889</v>
      </c>
      <c r="C270">
        <v>25597</v>
      </c>
      <c r="D270">
        <v>0.516096423552323</v>
      </c>
      <c r="E270">
        <f t="shared" si="4"/>
        <v>78135171.6339056</v>
      </c>
    </row>
    <row r="271" customHeight="1" spans="1:5">
      <c r="A271">
        <v>269</v>
      </c>
      <c r="B271">
        <v>38220827</v>
      </c>
      <c r="C271">
        <v>25717</v>
      </c>
      <c r="D271">
        <v>0.517267236971101</v>
      </c>
      <c r="E271">
        <f t="shared" si="4"/>
        <v>79175953.9174098</v>
      </c>
    </row>
    <row r="272" customHeight="1" spans="1:5">
      <c r="A272">
        <v>270</v>
      </c>
      <c r="B272">
        <v>38635185</v>
      </c>
      <c r="C272">
        <v>25837</v>
      </c>
      <c r="D272">
        <v>0.518434178541782</v>
      </c>
      <c r="E272">
        <f t="shared" si="4"/>
        <v>80228253.9134728</v>
      </c>
    </row>
    <row r="273" customHeight="1" spans="1:5">
      <c r="A273">
        <v>271</v>
      </c>
      <c r="B273">
        <v>39053083</v>
      </c>
      <c r="C273">
        <v>25958</v>
      </c>
      <c r="D273">
        <v>0.519597263363576</v>
      </c>
      <c r="E273">
        <f t="shared" si="4"/>
        <v>81292382.4569217</v>
      </c>
    </row>
    <row r="274" customHeight="1" spans="1:5">
      <c r="A274">
        <v>272</v>
      </c>
      <c r="B274">
        <v>39474462</v>
      </c>
      <c r="C274">
        <v>26079</v>
      </c>
      <c r="D274">
        <v>0.520756506475434</v>
      </c>
      <c r="E274">
        <f t="shared" si="4"/>
        <v>82368279.4516156</v>
      </c>
    </row>
    <row r="275" customHeight="1" spans="1:5">
      <c r="A275">
        <v>273</v>
      </c>
      <c r="B275">
        <v>39899320</v>
      </c>
      <c r="C275">
        <v>26200</v>
      </c>
      <c r="D275">
        <v>0.521911922856227</v>
      </c>
      <c r="E275">
        <f t="shared" si="4"/>
        <v>83456002.9992157</v>
      </c>
    </row>
    <row r="276" customHeight="1" spans="1:5">
      <c r="A276">
        <v>274</v>
      </c>
      <c r="B276">
        <v>40327778</v>
      </c>
      <c r="C276">
        <v>26321</v>
      </c>
      <c r="D276">
        <v>0.523063527425009</v>
      </c>
      <c r="E276">
        <f t="shared" si="4"/>
        <v>84555869.2172762</v>
      </c>
    </row>
    <row r="277" customHeight="1" spans="1:5">
      <c r="A277">
        <v>275</v>
      </c>
      <c r="B277">
        <v>40759777</v>
      </c>
      <c r="C277">
        <v>26443</v>
      </c>
      <c r="D277">
        <v>0.524211335040893</v>
      </c>
      <c r="E277">
        <f t="shared" si="4"/>
        <v>85667818.5124549</v>
      </c>
    </row>
    <row r="278" customHeight="1" spans="1:5">
      <c r="A278">
        <v>276</v>
      </c>
      <c r="B278">
        <v>41195375</v>
      </c>
      <c r="C278">
        <v>26564</v>
      </c>
      <c r="D278">
        <v>0.525355360503532</v>
      </c>
      <c r="E278">
        <f t="shared" si="4"/>
        <v>86792036.7618658</v>
      </c>
    </row>
    <row r="279" customHeight="1" spans="1:5">
      <c r="A279">
        <v>277</v>
      </c>
      <c r="B279">
        <v>41634574</v>
      </c>
      <c r="C279">
        <v>26686</v>
      </c>
      <c r="D279">
        <v>0.526495618553287</v>
      </c>
      <c r="E279">
        <f t="shared" si="4"/>
        <v>87928592.9156401</v>
      </c>
    </row>
    <row r="280" customHeight="1" spans="1:5">
      <c r="A280">
        <v>278</v>
      </c>
      <c r="B280">
        <v>42077433</v>
      </c>
      <c r="C280">
        <v>26808</v>
      </c>
      <c r="D280">
        <v>0.527632123871104</v>
      </c>
      <c r="E280">
        <f t="shared" si="4"/>
        <v>89077676.7989156</v>
      </c>
    </row>
    <row r="281" customHeight="1" spans="1:5">
      <c r="A281">
        <v>279</v>
      </c>
      <c r="B281">
        <v>42523951</v>
      </c>
      <c r="C281">
        <v>26930</v>
      </c>
      <c r="D281">
        <v>0.528764891078996</v>
      </c>
      <c r="E281">
        <f t="shared" si="4"/>
        <v>90239352.2786702</v>
      </c>
    </row>
    <row r="282" customHeight="1" spans="1:5">
      <c r="A282">
        <v>280</v>
      </c>
      <c r="B282">
        <v>42974130</v>
      </c>
      <c r="C282">
        <v>27052</v>
      </c>
      <c r="D282">
        <v>0.529893934740112</v>
      </c>
      <c r="E282">
        <f t="shared" si="4"/>
        <v>91413689.7515727</v>
      </c>
    </row>
    <row r="283" customHeight="1" spans="1:5">
      <c r="A283">
        <v>281</v>
      </c>
      <c r="B283">
        <v>43428029</v>
      </c>
      <c r="C283">
        <v>27175</v>
      </c>
      <c r="D283">
        <v>0.531019269359025</v>
      </c>
      <c r="E283">
        <f t="shared" si="4"/>
        <v>92600881.3638146</v>
      </c>
    </row>
    <row r="284" customHeight="1" spans="1:5">
      <c r="A284">
        <v>282</v>
      </c>
      <c r="B284">
        <v>43885708</v>
      </c>
      <c r="C284">
        <v>27297</v>
      </c>
      <c r="D284">
        <v>0.532140909381598</v>
      </c>
      <c r="E284">
        <f t="shared" si="4"/>
        <v>93801122.7739386</v>
      </c>
    </row>
    <row r="285" customHeight="1" spans="1:5">
      <c r="A285">
        <v>283</v>
      </c>
      <c r="B285">
        <v>44347107</v>
      </c>
      <c r="C285">
        <v>27420</v>
      </c>
      <c r="D285">
        <v>0.533258869195476</v>
      </c>
      <c r="E285">
        <f t="shared" si="4"/>
        <v>95014353.9386783</v>
      </c>
    </row>
    <row r="286" customHeight="1" spans="1:5">
      <c r="A286">
        <v>284</v>
      </c>
      <c r="B286">
        <v>44812226</v>
      </c>
      <c r="C286">
        <v>27543</v>
      </c>
      <c r="D286">
        <v>0.534373163130254</v>
      </c>
      <c r="E286">
        <f t="shared" si="4"/>
        <v>96240642.6168596</v>
      </c>
    </row>
    <row r="287" customHeight="1" spans="1:5">
      <c r="A287">
        <v>285</v>
      </c>
      <c r="B287">
        <v>45281245</v>
      </c>
      <c r="C287">
        <v>27667</v>
      </c>
      <c r="D287">
        <v>0.53548380545737</v>
      </c>
      <c r="E287">
        <f t="shared" si="4"/>
        <v>97480444.2385149</v>
      </c>
    </row>
    <row r="288" customHeight="1" spans="1:5">
      <c r="A288">
        <v>286</v>
      </c>
      <c r="B288">
        <v>45754044</v>
      </c>
      <c r="C288">
        <v>27790</v>
      </c>
      <c r="D288">
        <v>0.536590810390574</v>
      </c>
      <c r="E288">
        <f t="shared" si="4"/>
        <v>98733570.7316524</v>
      </c>
    </row>
    <row r="289" customHeight="1" spans="1:5">
      <c r="A289">
        <v>287</v>
      </c>
      <c r="B289">
        <v>46230683</v>
      </c>
      <c r="C289">
        <v>27914</v>
      </c>
      <c r="D289">
        <v>0.537694192086111</v>
      </c>
      <c r="E289">
        <f t="shared" si="4"/>
        <v>100000221.084419</v>
      </c>
    </row>
    <row r="290" customHeight="1" spans="1:5">
      <c r="A290">
        <v>288</v>
      </c>
      <c r="B290">
        <v>46711222</v>
      </c>
      <c r="C290">
        <v>28037</v>
      </c>
      <c r="D290">
        <v>0.538793964642616</v>
      </c>
      <c r="E290">
        <f t="shared" si="4"/>
        <v>101280595.696897</v>
      </c>
    </row>
    <row r="291" customHeight="1" spans="1:5">
      <c r="A291">
        <v>289</v>
      </c>
      <c r="B291">
        <v>47195661</v>
      </c>
      <c r="C291">
        <v>28161</v>
      </c>
      <c r="D291">
        <v>0.539890142101576</v>
      </c>
      <c r="E291">
        <f t="shared" si="4"/>
        <v>102574765.982126</v>
      </c>
    </row>
    <row r="292" customHeight="1" spans="1:5">
      <c r="A292">
        <v>290</v>
      </c>
      <c r="B292">
        <v>47684000</v>
      </c>
      <c r="C292">
        <v>28286</v>
      </c>
      <c r="D292">
        <v>0.540982738447525</v>
      </c>
      <c r="E292">
        <f t="shared" si="4"/>
        <v>103882803.532757</v>
      </c>
    </row>
    <row r="293" customHeight="1" spans="1:5">
      <c r="A293">
        <v>291</v>
      </c>
      <c r="B293">
        <v>48176299</v>
      </c>
      <c r="C293">
        <v>28410</v>
      </c>
      <c r="D293">
        <v>0.542071767607931</v>
      </c>
      <c r="E293">
        <f t="shared" si="4"/>
        <v>105204911.145885</v>
      </c>
    </row>
    <row r="294" customHeight="1" spans="1:5">
      <c r="A294">
        <v>292</v>
      </c>
      <c r="B294">
        <v>48672618</v>
      </c>
      <c r="C294">
        <v>28534</v>
      </c>
      <c r="D294">
        <v>0.543157243453761</v>
      </c>
      <c r="E294">
        <f t="shared" si="4"/>
        <v>106541293.043515</v>
      </c>
    </row>
    <row r="295" customHeight="1" spans="1:5">
      <c r="A295">
        <v>293</v>
      </c>
      <c r="B295">
        <v>49172898</v>
      </c>
      <c r="C295">
        <v>28659</v>
      </c>
      <c r="D295">
        <v>0.544239179799293</v>
      </c>
      <c r="E295">
        <f t="shared" si="4"/>
        <v>107891893.775216</v>
      </c>
    </row>
    <row r="296" customHeight="1" spans="1:5">
      <c r="A296">
        <v>294</v>
      </c>
      <c r="B296">
        <v>49677197</v>
      </c>
      <c r="C296">
        <v>28784</v>
      </c>
      <c r="D296">
        <v>0.545317590402668</v>
      </c>
      <c r="E296">
        <f t="shared" si="4"/>
        <v>109256914.170034</v>
      </c>
    </row>
    <row r="297" customHeight="1" spans="1:5">
      <c r="A297">
        <v>295</v>
      </c>
      <c r="B297">
        <v>50185576</v>
      </c>
      <c r="C297">
        <v>28909</v>
      </c>
      <c r="D297">
        <v>0.546392488965708</v>
      </c>
      <c r="E297">
        <f t="shared" si="4"/>
        <v>110636563.062127</v>
      </c>
    </row>
    <row r="298" customHeight="1" spans="1:5">
      <c r="A298">
        <v>296</v>
      </c>
      <c r="B298">
        <v>50698036</v>
      </c>
      <c r="C298">
        <v>29034</v>
      </c>
      <c r="D298">
        <v>0.547463889134372</v>
      </c>
      <c r="E298">
        <f t="shared" si="4"/>
        <v>112030918.158162</v>
      </c>
    </row>
    <row r="299" customHeight="1" spans="1:5">
      <c r="A299">
        <v>297</v>
      </c>
      <c r="B299">
        <v>51214575</v>
      </c>
      <c r="C299">
        <v>29160</v>
      </c>
      <c r="D299">
        <v>0.548531804498951</v>
      </c>
      <c r="E299">
        <f t="shared" si="4"/>
        <v>113440050.728625</v>
      </c>
    </row>
    <row r="300" customHeight="1" spans="1:5">
      <c r="A300">
        <v>298</v>
      </c>
      <c r="B300">
        <v>51735254</v>
      </c>
      <c r="C300">
        <v>29286</v>
      </c>
      <c r="D300">
        <v>0.549596248593969</v>
      </c>
      <c r="E300">
        <f t="shared" si="4"/>
        <v>114864172.064503</v>
      </c>
    </row>
    <row r="301" customHeight="1" spans="1:5">
      <c r="A301">
        <v>299</v>
      </c>
      <c r="B301">
        <v>52260074</v>
      </c>
      <c r="C301">
        <v>29411</v>
      </c>
      <c r="D301">
        <v>0.550657234898737</v>
      </c>
      <c r="E301">
        <f t="shared" si="4"/>
        <v>116303361.395443</v>
      </c>
    </row>
    <row r="302" customHeight="1" spans="1:5">
      <c r="A302">
        <v>300</v>
      </c>
      <c r="B302">
        <v>52789093</v>
      </c>
      <c r="C302">
        <v>29537</v>
      </c>
      <c r="D302">
        <v>0.551714776837176</v>
      </c>
      <c r="E302">
        <f t="shared" si="4"/>
        <v>117757825.313877</v>
      </c>
    </row>
    <row r="303" customHeight="1" spans="1:5">
      <c r="A303">
        <v>301</v>
      </c>
      <c r="B303">
        <v>53322373</v>
      </c>
      <c r="C303">
        <v>29664</v>
      </c>
      <c r="D303">
        <v>0.552768887778275</v>
      </c>
      <c r="E303">
        <f t="shared" si="4"/>
        <v>119227780.766657</v>
      </c>
    </row>
    <row r="304" customHeight="1" spans="1:5">
      <c r="A304">
        <v>302</v>
      </c>
      <c r="B304">
        <v>53859792</v>
      </c>
      <c r="C304">
        <v>29790</v>
      </c>
      <c r="D304">
        <v>0.553819581036372</v>
      </c>
      <c r="E304">
        <f t="shared" si="4"/>
        <v>120713033.810636</v>
      </c>
    </row>
    <row r="305" customHeight="1" spans="1:5">
      <c r="A305">
        <v>303</v>
      </c>
      <c r="B305">
        <v>54401532</v>
      </c>
      <c r="C305">
        <v>29916</v>
      </c>
      <c r="D305">
        <v>0.554866869870695</v>
      </c>
      <c r="E305">
        <f t="shared" si="4"/>
        <v>122214071.067227</v>
      </c>
    </row>
    <row r="306" customHeight="1" spans="1:5">
      <c r="A306">
        <v>304</v>
      </c>
      <c r="B306">
        <v>54947531</v>
      </c>
      <c r="C306">
        <v>30043</v>
      </c>
      <c r="D306">
        <v>0.555910767486468</v>
      </c>
      <c r="E306">
        <f t="shared" si="4"/>
        <v>123730833.753835</v>
      </c>
    </row>
    <row r="307" customHeight="1" spans="1:5">
      <c r="A307">
        <v>305</v>
      </c>
      <c r="B307">
        <v>55497851</v>
      </c>
      <c r="C307">
        <v>30170</v>
      </c>
      <c r="D307">
        <v>0.556951287034457</v>
      </c>
      <c r="E307">
        <f t="shared" si="4"/>
        <v>125263541.85418</v>
      </c>
    </row>
    <row r="308" customHeight="1" spans="1:5">
      <c r="A308">
        <v>306</v>
      </c>
      <c r="B308">
        <v>56052490</v>
      </c>
      <c r="C308">
        <v>30297</v>
      </c>
      <c r="D308">
        <v>0.557988441611247</v>
      </c>
      <c r="E308">
        <f t="shared" si="4"/>
        <v>126812272.068916</v>
      </c>
    </row>
    <row r="309" customHeight="1" spans="1:5">
      <c r="A309">
        <v>307</v>
      </c>
      <c r="B309">
        <v>56611510</v>
      </c>
      <c r="C309">
        <v>30425</v>
      </c>
      <c r="D309">
        <v>0.559022244259704</v>
      </c>
      <c r="E309">
        <f t="shared" si="4"/>
        <v>128377246.387321</v>
      </c>
    </row>
    <row r="310" customHeight="1" spans="1:5">
      <c r="A310">
        <v>308</v>
      </c>
      <c r="B310">
        <v>57174970</v>
      </c>
      <c r="C310">
        <v>30552</v>
      </c>
      <c r="D310">
        <v>0.560052707968801</v>
      </c>
      <c r="E310">
        <f t="shared" si="4"/>
        <v>129958681.495749</v>
      </c>
    </row>
    <row r="311" customHeight="1" spans="1:5">
      <c r="A311">
        <v>309</v>
      </c>
      <c r="B311">
        <v>57742809</v>
      </c>
      <c r="C311">
        <v>30680</v>
      </c>
      <c r="D311">
        <v>0.56107984567416</v>
      </c>
      <c r="E311">
        <f t="shared" si="4"/>
        <v>131556522.139409</v>
      </c>
    </row>
    <row r="312" customHeight="1" spans="1:5">
      <c r="A312">
        <v>310</v>
      </c>
      <c r="B312">
        <v>58315089</v>
      </c>
      <c r="C312">
        <v>30807</v>
      </c>
      <c r="D312">
        <v>0.562103670257977</v>
      </c>
      <c r="E312">
        <f t="shared" si="4"/>
        <v>133170992.856586</v>
      </c>
    </row>
    <row r="313" customHeight="1" spans="1:5">
      <c r="A313">
        <v>311</v>
      </c>
      <c r="B313">
        <v>58891868</v>
      </c>
      <c r="C313">
        <v>30936</v>
      </c>
      <c r="D313">
        <v>0.56312419454921</v>
      </c>
      <c r="E313">
        <f t="shared" si="4"/>
        <v>134802310.554215</v>
      </c>
    </row>
    <row r="314" customHeight="1" spans="1:5">
      <c r="A314">
        <v>312</v>
      </c>
      <c r="B314">
        <v>59473148</v>
      </c>
      <c r="C314">
        <v>31064</v>
      </c>
      <c r="D314">
        <v>0.564141431323936</v>
      </c>
      <c r="E314">
        <f t="shared" si="4"/>
        <v>136450565.101087</v>
      </c>
    </row>
    <row r="315" customHeight="1" spans="1:5">
      <c r="A315">
        <v>313</v>
      </c>
      <c r="B315">
        <v>60058928</v>
      </c>
      <c r="C315">
        <v>31192</v>
      </c>
      <c r="D315">
        <v>0.565155393305551</v>
      </c>
      <c r="E315">
        <f t="shared" si="4"/>
        <v>138115839.716971</v>
      </c>
    </row>
    <row r="316" customHeight="1" spans="1:5">
      <c r="A316">
        <v>314</v>
      </c>
      <c r="B316">
        <v>60649327</v>
      </c>
      <c r="C316">
        <v>31321</v>
      </c>
      <c r="D316">
        <v>0.56616609316477</v>
      </c>
      <c r="E316">
        <f t="shared" si="4"/>
        <v>139798494.410983</v>
      </c>
    </row>
    <row r="317" customHeight="1" spans="1:5">
      <c r="A317">
        <v>315</v>
      </c>
      <c r="B317">
        <v>61244287</v>
      </c>
      <c r="C317">
        <v>31449</v>
      </c>
      <c r="D317">
        <v>0.567173543519908</v>
      </c>
      <c r="E317">
        <f t="shared" si="4"/>
        <v>141498483.013404</v>
      </c>
    </row>
    <row r="318" customHeight="1" spans="1:5">
      <c r="A318">
        <v>316</v>
      </c>
      <c r="B318">
        <v>61843867</v>
      </c>
      <c r="C318">
        <v>31578</v>
      </c>
      <c r="D318">
        <v>0.568177756936981</v>
      </c>
      <c r="E318">
        <f t="shared" si="4"/>
        <v>143216029.265483</v>
      </c>
    </row>
    <row r="319" customHeight="1" spans="1:5">
      <c r="A319">
        <v>317</v>
      </c>
      <c r="B319">
        <v>62448067</v>
      </c>
      <c r="C319">
        <v>31708</v>
      </c>
      <c r="D319">
        <v>0.569178745930067</v>
      </c>
      <c r="E319">
        <f t="shared" si="4"/>
        <v>144951221.440582</v>
      </c>
    </row>
    <row r="320" customHeight="1" spans="1:5">
      <c r="A320">
        <v>318</v>
      </c>
      <c r="B320">
        <v>63056946</v>
      </c>
      <c r="C320">
        <v>31837</v>
      </c>
      <c r="D320">
        <v>0.570176522961581</v>
      </c>
      <c r="E320">
        <f t="shared" si="4"/>
        <v>146704285.290503</v>
      </c>
    </row>
    <row r="321" customHeight="1" spans="1:5">
      <c r="A321">
        <v>319</v>
      </c>
      <c r="B321">
        <v>63670566</v>
      </c>
      <c r="C321">
        <v>31966</v>
      </c>
      <c r="D321">
        <v>0.571171100441855</v>
      </c>
      <c r="E321">
        <f t="shared" si="4"/>
        <v>148475455.048866</v>
      </c>
    </row>
    <row r="322" customHeight="1" spans="1:5">
      <c r="A322">
        <v>320</v>
      </c>
      <c r="B322">
        <v>64288866</v>
      </c>
      <c r="C322">
        <v>32096</v>
      </c>
      <c r="D322">
        <v>0.572162490730275</v>
      </c>
      <c r="E322">
        <f t="shared" si="4"/>
        <v>150264679.012681</v>
      </c>
    </row>
    <row r="323" customHeight="1" spans="1:5">
      <c r="A323">
        <v>321</v>
      </c>
      <c r="B323">
        <v>64911966</v>
      </c>
      <c r="C323">
        <v>32226</v>
      </c>
      <c r="D323">
        <v>0.573150706134525</v>
      </c>
      <c r="E323">
        <f t="shared" ref="E323:E386" si="5">IFERROR(B323/(1-D323),B323)</f>
        <v>152072328.414013</v>
      </c>
    </row>
    <row r="324" customHeight="1" spans="1:5">
      <c r="A324">
        <v>322</v>
      </c>
      <c r="B324">
        <v>65539865</v>
      </c>
      <c r="C324">
        <v>32356</v>
      </c>
      <c r="D324">
        <v>0.574135758911459</v>
      </c>
      <c r="E324">
        <f t="shared" si="5"/>
        <v>153898493.173494</v>
      </c>
    </row>
    <row r="325" customHeight="1" spans="1:5">
      <c r="A325">
        <v>323</v>
      </c>
      <c r="B325">
        <v>66172565</v>
      </c>
      <c r="C325">
        <v>32486</v>
      </c>
      <c r="D325">
        <v>0.575117661266943</v>
      </c>
      <c r="E325">
        <f t="shared" si="5"/>
        <v>155743270.471815</v>
      </c>
    </row>
    <row r="326" customHeight="1" spans="1:5">
      <c r="A326">
        <v>324</v>
      </c>
      <c r="B326">
        <v>66810065</v>
      </c>
      <c r="C326">
        <v>32617</v>
      </c>
      <c r="D326">
        <v>0.576096425356051</v>
      </c>
      <c r="E326">
        <f t="shared" si="5"/>
        <v>157606750.677005</v>
      </c>
    </row>
    <row r="327" customHeight="1" spans="1:5">
      <c r="A327">
        <v>325</v>
      </c>
      <c r="B327">
        <v>67452485</v>
      </c>
      <c r="C327">
        <v>32747</v>
      </c>
      <c r="D327">
        <v>0.577072063283498</v>
      </c>
      <c r="E327">
        <f t="shared" si="5"/>
        <v>159489310.457197</v>
      </c>
    </row>
    <row r="328" customHeight="1" spans="1:5">
      <c r="A328">
        <v>326</v>
      </c>
      <c r="B328">
        <v>68099825</v>
      </c>
      <c r="C328">
        <v>32878</v>
      </c>
      <c r="D328">
        <v>0.578044587103577</v>
      </c>
      <c r="E328">
        <f t="shared" si="5"/>
        <v>161391044.927101</v>
      </c>
    </row>
    <row r="329" customHeight="1" spans="1:5">
      <c r="A329">
        <v>327</v>
      </c>
      <c r="B329">
        <v>68752084</v>
      </c>
      <c r="C329">
        <v>33009</v>
      </c>
      <c r="D329">
        <v>0.579014008820348</v>
      </c>
      <c r="E329">
        <f t="shared" si="5"/>
        <v>163312047.05256</v>
      </c>
    </row>
    <row r="330" customHeight="1" spans="1:5">
      <c r="A330">
        <v>328</v>
      </c>
      <c r="B330">
        <v>69409324</v>
      </c>
      <c r="C330">
        <v>33140</v>
      </c>
      <c r="D330">
        <v>0.579980340388072</v>
      </c>
      <c r="E330">
        <f t="shared" si="5"/>
        <v>165252559.997144</v>
      </c>
    </row>
    <row r="331" customHeight="1" spans="1:5">
      <c r="A331">
        <v>329</v>
      </c>
      <c r="B331">
        <v>70071544</v>
      </c>
      <c r="C331">
        <v>33272</v>
      </c>
      <c r="D331">
        <v>0.580943593711152</v>
      </c>
      <c r="E331">
        <f t="shared" si="5"/>
        <v>167212678.170349</v>
      </c>
    </row>
    <row r="332" customHeight="1" spans="1:5">
      <c r="A332">
        <v>330</v>
      </c>
      <c r="B332">
        <v>70738804</v>
      </c>
      <c r="C332">
        <v>33403</v>
      </c>
      <c r="D332">
        <v>0.581903780644397</v>
      </c>
      <c r="E332">
        <f t="shared" si="5"/>
        <v>169192642.08853</v>
      </c>
    </row>
    <row r="333" customHeight="1" spans="1:5">
      <c r="A333">
        <v>331</v>
      </c>
      <c r="B333">
        <v>71411104</v>
      </c>
      <c r="C333">
        <v>33535</v>
      </c>
      <c r="D333">
        <v>0.582860912993131</v>
      </c>
      <c r="E333">
        <f t="shared" si="5"/>
        <v>171192549.977519</v>
      </c>
    </row>
    <row r="334" customHeight="1" spans="1:5">
      <c r="A334">
        <v>332</v>
      </c>
      <c r="B334">
        <v>72088504</v>
      </c>
      <c r="C334">
        <v>33667</v>
      </c>
      <c r="D334">
        <v>0.583815002513626</v>
      </c>
      <c r="E334">
        <f t="shared" si="5"/>
        <v>173212644.461938</v>
      </c>
    </row>
    <row r="335" customHeight="1" spans="1:5">
      <c r="A335">
        <v>333</v>
      </c>
      <c r="B335">
        <v>72771003</v>
      </c>
      <c r="C335">
        <v>33799</v>
      </c>
      <c r="D335">
        <v>0.584766060913035</v>
      </c>
      <c r="E335">
        <f t="shared" si="5"/>
        <v>175253022.814108</v>
      </c>
    </row>
    <row r="336" customHeight="1" spans="1:5">
      <c r="A336">
        <v>334</v>
      </c>
      <c r="B336">
        <v>73458663</v>
      </c>
      <c r="C336">
        <v>33931</v>
      </c>
      <c r="D336">
        <v>0.585714099849667</v>
      </c>
      <c r="E336">
        <f t="shared" si="5"/>
        <v>177313934.588032</v>
      </c>
    </row>
    <row r="337" customHeight="1" spans="1:5">
      <c r="A337">
        <v>335</v>
      </c>
      <c r="B337">
        <v>74151483</v>
      </c>
      <c r="C337">
        <v>34063</v>
      </c>
      <c r="D337">
        <v>0.586659130933091</v>
      </c>
      <c r="E337">
        <f t="shared" si="5"/>
        <v>179395478.524522</v>
      </c>
    </row>
    <row r="338" customHeight="1" spans="1:5">
      <c r="A338">
        <v>336</v>
      </c>
      <c r="B338">
        <v>74849523</v>
      </c>
      <c r="C338">
        <v>34196</v>
      </c>
      <c r="D338">
        <v>0.58760116572464</v>
      </c>
      <c r="E338">
        <f t="shared" si="5"/>
        <v>181497901.495092</v>
      </c>
    </row>
    <row r="339" customHeight="1" spans="1:5">
      <c r="A339">
        <v>337</v>
      </c>
      <c r="B339">
        <v>75552843</v>
      </c>
      <c r="C339">
        <v>34329</v>
      </c>
      <c r="D339">
        <v>0.588540215737034</v>
      </c>
      <c r="E339">
        <f t="shared" si="5"/>
        <v>183621451.936877</v>
      </c>
    </row>
    <row r="340" customHeight="1" spans="1:5">
      <c r="A340">
        <v>338</v>
      </c>
      <c r="B340">
        <v>76261383</v>
      </c>
      <c r="C340">
        <v>34462</v>
      </c>
      <c r="D340">
        <v>0.589476292435132</v>
      </c>
      <c r="E340">
        <f t="shared" si="5"/>
        <v>185766087.54794</v>
      </c>
    </row>
    <row r="341" customHeight="1" spans="1:5">
      <c r="A341">
        <v>339</v>
      </c>
      <c r="B341">
        <v>76975263</v>
      </c>
      <c r="C341">
        <v>34595</v>
      </c>
      <c r="D341">
        <v>0.590409407235787</v>
      </c>
      <c r="E341">
        <f t="shared" si="5"/>
        <v>187932204.400778</v>
      </c>
    </row>
    <row r="342" customHeight="1" spans="1:5">
      <c r="A342">
        <v>340</v>
      </c>
      <c r="B342">
        <v>77694483</v>
      </c>
      <c r="C342">
        <v>34728</v>
      </c>
      <c r="D342">
        <v>0.591339571508041</v>
      </c>
      <c r="E342">
        <f t="shared" si="5"/>
        <v>190119907.83328</v>
      </c>
    </row>
    <row r="343" customHeight="1" spans="1:5">
      <c r="A343">
        <v>341</v>
      </c>
      <c r="B343">
        <v>78419102</v>
      </c>
      <c r="C343">
        <v>34862</v>
      </c>
      <c r="D343">
        <v>0.592266796573618</v>
      </c>
      <c r="E343">
        <f t="shared" si="5"/>
        <v>192329448.131783</v>
      </c>
    </row>
    <row r="344" customHeight="1" spans="1:5">
      <c r="A344">
        <v>342</v>
      </c>
      <c r="B344">
        <v>79149062</v>
      </c>
      <c r="C344">
        <v>34996</v>
      </c>
      <c r="D344">
        <v>0.593191093706558</v>
      </c>
      <c r="E344">
        <f t="shared" si="5"/>
        <v>194560789.539125</v>
      </c>
    </row>
    <row r="345" customHeight="1" spans="1:5">
      <c r="A345">
        <v>343</v>
      </c>
      <c r="B345">
        <v>79884482</v>
      </c>
      <c r="C345">
        <v>35130</v>
      </c>
      <c r="D345">
        <v>0.594112474133954</v>
      </c>
      <c r="E345">
        <f t="shared" si="5"/>
        <v>196814331.333661</v>
      </c>
    </row>
    <row r="346" customHeight="1" spans="1:5">
      <c r="A346">
        <v>344</v>
      </c>
      <c r="B346">
        <v>80625362</v>
      </c>
      <c r="C346">
        <v>35264</v>
      </c>
      <c r="D346">
        <v>0.595030949035816</v>
      </c>
      <c r="E346">
        <f t="shared" si="5"/>
        <v>199090181.849799</v>
      </c>
    </row>
    <row r="347" customHeight="1" spans="1:5">
      <c r="A347">
        <v>345</v>
      </c>
      <c r="B347">
        <v>81371762</v>
      </c>
      <c r="C347">
        <v>35398</v>
      </c>
      <c r="D347">
        <v>0.595946529545339</v>
      </c>
      <c r="E347">
        <f t="shared" si="5"/>
        <v>201388598.168546</v>
      </c>
    </row>
    <row r="348" customHeight="1" spans="1:5">
      <c r="A348">
        <v>346</v>
      </c>
      <c r="B348">
        <v>82123622</v>
      </c>
      <c r="C348">
        <v>35533</v>
      </c>
      <c r="D348">
        <v>0.596859226749078</v>
      </c>
      <c r="E348">
        <f t="shared" si="5"/>
        <v>203709541.304285</v>
      </c>
    </row>
    <row r="349" customHeight="1" spans="1:5">
      <c r="A349">
        <v>347</v>
      </c>
      <c r="B349">
        <v>82881122</v>
      </c>
      <c r="C349">
        <v>35667</v>
      </c>
      <c r="D349">
        <v>0.597769051687062</v>
      </c>
      <c r="E349">
        <f t="shared" si="5"/>
        <v>206053567.851069</v>
      </c>
    </row>
    <row r="350" customHeight="1" spans="1:5">
      <c r="A350">
        <v>348</v>
      </c>
      <c r="B350">
        <v>83644202</v>
      </c>
      <c r="C350">
        <v>35802</v>
      </c>
      <c r="D350">
        <v>0.598676015353276</v>
      </c>
      <c r="E350">
        <f t="shared" si="5"/>
        <v>208420640.679201</v>
      </c>
    </row>
    <row r="351" customHeight="1" spans="1:5">
      <c r="A351">
        <v>349</v>
      </c>
      <c r="B351">
        <v>84412862</v>
      </c>
      <c r="C351">
        <v>35937</v>
      </c>
      <c r="D351">
        <v>0.599580128695311</v>
      </c>
      <c r="E351">
        <f t="shared" si="5"/>
        <v>210810871.410945</v>
      </c>
    </row>
    <row r="352" customHeight="1" spans="1:5">
      <c r="A352">
        <v>350</v>
      </c>
      <c r="B352">
        <v>85187222</v>
      </c>
      <c r="C352">
        <v>36072</v>
      </c>
      <c r="D352">
        <v>0.600481402615153</v>
      </c>
      <c r="E352">
        <f t="shared" si="5"/>
        <v>213224672.287135</v>
      </c>
    </row>
    <row r="353" customHeight="1" spans="1:5">
      <c r="A353">
        <v>351</v>
      </c>
      <c r="B353">
        <v>85967282</v>
      </c>
      <c r="C353">
        <v>36208</v>
      </c>
      <c r="D353">
        <v>0.601379847968758</v>
      </c>
      <c r="E353">
        <f t="shared" si="5"/>
        <v>215662157.474824</v>
      </c>
    </row>
    <row r="354" customHeight="1" spans="1:5">
      <c r="A354">
        <v>352</v>
      </c>
      <c r="B354">
        <v>86753102</v>
      </c>
      <c r="C354">
        <v>36343</v>
      </c>
      <c r="D354">
        <v>0.602275475566841</v>
      </c>
      <c r="E354">
        <f t="shared" si="5"/>
        <v>218123592.261859</v>
      </c>
    </row>
    <row r="355" customHeight="1" spans="1:5">
      <c r="A355">
        <v>353</v>
      </c>
      <c r="B355">
        <v>87544621</v>
      </c>
      <c r="C355">
        <v>36479</v>
      </c>
      <c r="D355">
        <v>0.603168296174444</v>
      </c>
      <c r="E355">
        <f t="shared" si="5"/>
        <v>220608938.64086</v>
      </c>
    </row>
    <row r="356" customHeight="1" spans="1:5">
      <c r="A356">
        <v>354</v>
      </c>
      <c r="B356">
        <v>88342021</v>
      </c>
      <c r="C356">
        <v>36615</v>
      </c>
      <c r="D356">
        <v>0.604058320511656</v>
      </c>
      <c r="E356">
        <f t="shared" si="5"/>
        <v>223118771.214387</v>
      </c>
    </row>
    <row r="357" customHeight="1" spans="1:5">
      <c r="A357">
        <v>355</v>
      </c>
      <c r="B357">
        <v>89145181</v>
      </c>
      <c r="C357">
        <v>36751</v>
      </c>
      <c r="D357">
        <v>0.604945559253481</v>
      </c>
      <c r="E357">
        <f t="shared" si="5"/>
        <v>225652901.993826</v>
      </c>
    </row>
    <row r="358" customHeight="1" spans="1:5">
      <c r="A358">
        <v>356</v>
      </c>
      <c r="B358">
        <v>89954221</v>
      </c>
      <c r="C358">
        <v>36887</v>
      </c>
      <c r="D358">
        <v>0.605830023030097</v>
      </c>
      <c r="E358">
        <f t="shared" si="5"/>
        <v>228211751.923634</v>
      </c>
    </row>
    <row r="359" customHeight="1" spans="1:5">
      <c r="A359">
        <v>357</v>
      </c>
      <c r="B359">
        <v>90769201</v>
      </c>
      <c r="C359">
        <v>37024</v>
      </c>
      <c r="D359">
        <v>0.606711722427107</v>
      </c>
      <c r="E359">
        <f t="shared" si="5"/>
        <v>230795592.383698</v>
      </c>
    </row>
    <row r="360" customHeight="1" spans="1:5">
      <c r="A360">
        <v>358</v>
      </c>
      <c r="B360">
        <v>91590061</v>
      </c>
      <c r="C360">
        <v>37161</v>
      </c>
      <c r="D360">
        <v>0.607590667985427</v>
      </c>
      <c r="E360">
        <f t="shared" si="5"/>
        <v>233404390.588241</v>
      </c>
    </row>
    <row r="361" customHeight="1" spans="1:5">
      <c r="A361">
        <v>359</v>
      </c>
      <c r="B361">
        <v>92416921</v>
      </c>
      <c r="C361">
        <v>37297</v>
      </c>
      <c r="D361">
        <v>0.608466870201901</v>
      </c>
      <c r="E361">
        <f t="shared" si="5"/>
        <v>236038572.38762</v>
      </c>
    </row>
    <row r="362" customHeight="1" spans="1:5">
      <c r="A362">
        <v>360</v>
      </c>
      <c r="B362">
        <v>93249781</v>
      </c>
      <c r="C362">
        <v>37435</v>
      </c>
      <c r="D362">
        <v>0.609340339529188</v>
      </c>
      <c r="E362">
        <f t="shared" si="5"/>
        <v>238698259.471218</v>
      </c>
    </row>
    <row r="363" customHeight="1" spans="1:5">
      <c r="A363">
        <v>361</v>
      </c>
      <c r="B363">
        <v>94088701</v>
      </c>
      <c r="C363">
        <v>37572</v>
      </c>
      <c r="D363">
        <v>0.610211086376011</v>
      </c>
      <c r="E363">
        <f t="shared" si="5"/>
        <v>241383727.734142</v>
      </c>
    </row>
    <row r="364" customHeight="1" spans="1:5">
      <c r="A364">
        <v>362</v>
      </c>
      <c r="B364">
        <v>94933621</v>
      </c>
      <c r="C364">
        <v>37709</v>
      </c>
      <c r="D364">
        <v>0.611079121107408</v>
      </c>
      <c r="E364">
        <f t="shared" si="5"/>
        <v>244094946.175975</v>
      </c>
    </row>
    <row r="365" customHeight="1" spans="1:5">
      <c r="A365">
        <v>363</v>
      </c>
      <c r="B365">
        <v>95784721</v>
      </c>
      <c r="C365">
        <v>37847</v>
      </c>
      <c r="D365">
        <v>0.611944454044616</v>
      </c>
      <c r="E365">
        <f t="shared" si="5"/>
        <v>246832501.167275</v>
      </c>
    </row>
    <row r="366" customHeight="1" spans="1:5">
      <c r="A366">
        <v>364</v>
      </c>
      <c r="B366">
        <v>96641941</v>
      </c>
      <c r="C366">
        <v>37985</v>
      </c>
      <c r="D366">
        <v>0.612807095465687</v>
      </c>
      <c r="E366">
        <f t="shared" si="5"/>
        <v>249596363.642649</v>
      </c>
    </row>
    <row r="367" customHeight="1" spans="1:5">
      <c r="A367">
        <v>365</v>
      </c>
      <c r="B367">
        <v>97505341</v>
      </c>
      <c r="C367">
        <v>38123</v>
      </c>
      <c r="D367">
        <v>0.613667055605443</v>
      </c>
      <c r="E367">
        <f t="shared" si="5"/>
        <v>252386814.054405</v>
      </c>
    </row>
    <row r="368" customHeight="1" spans="1:5">
      <c r="A368">
        <v>366</v>
      </c>
      <c r="B368">
        <v>98374981</v>
      </c>
      <c r="C368">
        <v>38261</v>
      </c>
      <c r="D368">
        <v>0.614524344655433</v>
      </c>
      <c r="E368">
        <f t="shared" si="5"/>
        <v>255204134.51808</v>
      </c>
    </row>
    <row r="369" customHeight="1" spans="1:5">
      <c r="A369">
        <v>367</v>
      </c>
      <c r="B369">
        <v>99250861</v>
      </c>
      <c r="C369">
        <v>38399</v>
      </c>
      <c r="D369">
        <v>0.615378972764618</v>
      </c>
      <c r="E369">
        <f t="shared" si="5"/>
        <v>258048452.819664</v>
      </c>
    </row>
    <row r="370" customHeight="1" spans="1:5">
      <c r="A370">
        <v>368</v>
      </c>
      <c r="B370">
        <v>100133041</v>
      </c>
      <c r="C370">
        <v>38538</v>
      </c>
      <c r="D370">
        <v>0.616230950038966</v>
      </c>
      <c r="E370">
        <f t="shared" si="5"/>
        <v>260920053.376287</v>
      </c>
    </row>
    <row r="371" customHeight="1" spans="1:5">
      <c r="A371">
        <v>369</v>
      </c>
      <c r="B371">
        <v>101021521</v>
      </c>
      <c r="C371">
        <v>38676</v>
      </c>
      <c r="D371">
        <v>0.617080286542202</v>
      </c>
      <c r="E371">
        <f t="shared" si="5"/>
        <v>263819065.588885</v>
      </c>
    </row>
    <row r="372" customHeight="1" spans="1:5">
      <c r="A372">
        <v>370</v>
      </c>
      <c r="B372">
        <v>101916421</v>
      </c>
      <c r="C372">
        <v>38815</v>
      </c>
      <c r="D372">
        <v>0.61792699229548</v>
      </c>
      <c r="E372">
        <f t="shared" si="5"/>
        <v>266745933.224412</v>
      </c>
    </row>
    <row r="373" customHeight="1" spans="1:5">
      <c r="A373">
        <v>371</v>
      </c>
      <c r="B373">
        <v>102817681</v>
      </c>
      <c r="C373">
        <v>38954</v>
      </c>
      <c r="D373">
        <v>0.618771077277843</v>
      </c>
      <c r="E373">
        <f t="shared" si="5"/>
        <v>269700630.964284</v>
      </c>
    </row>
    <row r="374" customHeight="1" spans="1:5">
      <c r="A374">
        <v>372</v>
      </c>
      <c r="B374">
        <v>103725361</v>
      </c>
      <c r="C374">
        <v>39094</v>
      </c>
      <c r="D374">
        <v>0.619612551426322</v>
      </c>
      <c r="E374">
        <f t="shared" si="5"/>
        <v>272683447.860686</v>
      </c>
    </row>
    <row r="375" customHeight="1" spans="1:5">
      <c r="A375">
        <v>373</v>
      </c>
      <c r="B375">
        <v>104639521</v>
      </c>
      <c r="C375">
        <v>39233</v>
      </c>
      <c r="D375">
        <v>0.620451424636114</v>
      </c>
      <c r="E375">
        <f t="shared" si="5"/>
        <v>275694674.653115</v>
      </c>
    </row>
    <row r="376" customHeight="1" spans="1:5">
      <c r="A376">
        <v>374</v>
      </c>
      <c r="B376">
        <v>105560221</v>
      </c>
      <c r="C376">
        <v>39373</v>
      </c>
      <c r="D376">
        <v>0.621287706760745</v>
      </c>
      <c r="E376">
        <f t="shared" si="5"/>
        <v>278734603.772979</v>
      </c>
    </row>
    <row r="377" customHeight="1" spans="1:5">
      <c r="A377">
        <v>375</v>
      </c>
      <c r="B377">
        <v>106487461</v>
      </c>
      <c r="C377">
        <v>39512</v>
      </c>
      <c r="D377">
        <v>0.622121407612321</v>
      </c>
      <c r="E377">
        <f t="shared" si="5"/>
        <v>281803370.567102</v>
      </c>
    </row>
    <row r="378" customHeight="1" spans="1:5">
      <c r="A378">
        <v>376</v>
      </c>
      <c r="B378">
        <v>107421241</v>
      </c>
      <c r="C378">
        <v>39652</v>
      </c>
      <c r="D378">
        <v>0.622952536961484</v>
      </c>
      <c r="E378">
        <f t="shared" si="5"/>
        <v>284901110.683317</v>
      </c>
    </row>
    <row r="379" customHeight="1" spans="1:5">
      <c r="A379">
        <v>377</v>
      </c>
      <c r="B379">
        <v>108361681</v>
      </c>
      <c r="C379">
        <v>39793</v>
      </c>
      <c r="D379">
        <v>0.623781104537724</v>
      </c>
      <c r="E379">
        <f t="shared" si="5"/>
        <v>288028279.033809</v>
      </c>
    </row>
    <row r="380" customHeight="1" spans="1:5">
      <c r="A380">
        <v>378</v>
      </c>
      <c r="B380">
        <v>109308781</v>
      </c>
      <c r="C380">
        <v>39933</v>
      </c>
      <c r="D380">
        <v>0.624607120029754</v>
      </c>
      <c r="E380">
        <f t="shared" si="5"/>
        <v>291185013.97433</v>
      </c>
    </row>
    <row r="381" customHeight="1" spans="1:5">
      <c r="A381">
        <v>379</v>
      </c>
      <c r="B381">
        <v>110262600</v>
      </c>
      <c r="C381">
        <v>40074</v>
      </c>
      <c r="D381">
        <v>0.62543059308534</v>
      </c>
      <c r="E381">
        <f t="shared" si="5"/>
        <v>294371611.681361</v>
      </c>
    </row>
    <row r="382" customHeight="1" spans="1:5">
      <c r="A382">
        <v>380</v>
      </c>
      <c r="B382">
        <v>111223140</v>
      </c>
      <c r="C382">
        <v>40214</v>
      </c>
      <c r="D382">
        <v>0.626251533311465</v>
      </c>
      <c r="E382">
        <f t="shared" si="5"/>
        <v>297588217.512845</v>
      </c>
    </row>
    <row r="383" customHeight="1" spans="1:5">
      <c r="A383">
        <v>381</v>
      </c>
      <c r="B383">
        <v>112190460</v>
      </c>
      <c r="C383">
        <v>40355</v>
      </c>
      <c r="D383">
        <v>0.627069950274911</v>
      </c>
      <c r="E383">
        <f t="shared" si="5"/>
        <v>300835130.026939</v>
      </c>
    </row>
    <row r="384" customHeight="1" spans="1:5">
      <c r="A384">
        <v>382</v>
      </c>
      <c r="B384">
        <v>113164620</v>
      </c>
      <c r="C384">
        <v>40496</v>
      </c>
      <c r="D384">
        <v>0.627885853501882</v>
      </c>
      <c r="E384">
        <f t="shared" si="5"/>
        <v>304112652.165919</v>
      </c>
    </row>
    <row r="385" customHeight="1" spans="1:5">
      <c r="A385">
        <v>383</v>
      </c>
      <c r="B385">
        <v>114145560</v>
      </c>
      <c r="C385">
        <v>40638</v>
      </c>
      <c r="D385">
        <v>0.628699252478715</v>
      </c>
      <c r="E385">
        <f t="shared" si="5"/>
        <v>307420765.409196</v>
      </c>
    </row>
    <row r="386" customHeight="1" spans="1:5">
      <c r="A386">
        <v>384</v>
      </c>
      <c r="B386">
        <v>115133460</v>
      </c>
      <c r="C386">
        <v>40779</v>
      </c>
      <c r="D386">
        <v>0.629510156651639</v>
      </c>
      <c r="E386">
        <f t="shared" si="5"/>
        <v>310760097.927282</v>
      </c>
    </row>
    <row r="387" customHeight="1" spans="1:5">
      <c r="A387">
        <v>385</v>
      </c>
      <c r="B387">
        <v>116128260</v>
      </c>
      <c r="C387">
        <v>40921</v>
      </c>
      <c r="D387">
        <v>0.630318575426945</v>
      </c>
      <c r="E387">
        <f t="shared" ref="E387:E450" si="6">IFERROR(B387/(1-D387),B387)</f>
        <v>314130633.244872</v>
      </c>
    </row>
    <row r="388" customHeight="1" spans="1:5">
      <c r="A388">
        <v>386</v>
      </c>
      <c r="B388">
        <v>117130080</v>
      </c>
      <c r="C388">
        <v>41063</v>
      </c>
      <c r="D388">
        <v>0.631124518171555</v>
      </c>
      <c r="E388">
        <f t="shared" si="6"/>
        <v>317532841.75844</v>
      </c>
    </row>
    <row r="389" customHeight="1" spans="1:5">
      <c r="A389">
        <v>387</v>
      </c>
      <c r="B389">
        <v>118138860</v>
      </c>
      <c r="C389">
        <v>41205</v>
      </c>
      <c r="D389">
        <v>0.631927994212717</v>
      </c>
      <c r="E389">
        <f t="shared" si="6"/>
        <v>320966707.987771</v>
      </c>
    </row>
    <row r="390" customHeight="1" spans="1:5">
      <c r="A390">
        <v>388</v>
      </c>
      <c r="B390">
        <v>119154720</v>
      </c>
      <c r="C390">
        <v>41347</v>
      </c>
      <c r="D390">
        <v>0.63272901283844</v>
      </c>
      <c r="E390">
        <f t="shared" si="6"/>
        <v>324432705.455127</v>
      </c>
    </row>
    <row r="391" customHeight="1" spans="1:5">
      <c r="A391">
        <v>389</v>
      </c>
      <c r="B391">
        <v>120177660</v>
      </c>
      <c r="C391">
        <v>41489</v>
      </c>
      <c r="D391">
        <v>0.633527583297656</v>
      </c>
      <c r="E391">
        <f t="shared" si="6"/>
        <v>327930983.404982</v>
      </c>
    </row>
    <row r="392" customHeight="1" spans="1:5">
      <c r="A392">
        <v>390</v>
      </c>
      <c r="B392">
        <v>121207740</v>
      </c>
      <c r="C392">
        <v>41632</v>
      </c>
      <c r="D392">
        <v>0.63432371480019</v>
      </c>
      <c r="E392">
        <f t="shared" si="6"/>
        <v>331461855.487212</v>
      </c>
    </row>
    <row r="393" customHeight="1" spans="1:5">
      <c r="A393">
        <v>391</v>
      </c>
      <c r="B393">
        <v>122244960</v>
      </c>
      <c r="C393">
        <v>41775</v>
      </c>
      <c r="D393">
        <v>0.635117416517116</v>
      </c>
      <c r="E393">
        <f t="shared" si="6"/>
        <v>335025472.668893</v>
      </c>
    </row>
    <row r="394" customHeight="1" spans="1:5">
      <c r="A394">
        <v>392</v>
      </c>
      <c r="B394">
        <v>123289380</v>
      </c>
      <c r="C394">
        <v>41918</v>
      </c>
      <c r="D394">
        <v>0.63590869758086</v>
      </c>
      <c r="E394">
        <f t="shared" si="6"/>
        <v>338622151.039658</v>
      </c>
    </row>
    <row r="395" customHeight="1" spans="1:5">
      <c r="A395">
        <v>393</v>
      </c>
      <c r="B395">
        <v>124341120</v>
      </c>
      <c r="C395">
        <v>42061</v>
      </c>
      <c r="D395">
        <v>0.636697567085425</v>
      </c>
      <c r="E395">
        <f t="shared" si="6"/>
        <v>342252373.600914</v>
      </c>
    </row>
    <row r="396" customHeight="1" spans="1:5">
      <c r="A396">
        <v>394</v>
      </c>
      <c r="B396">
        <v>125400120</v>
      </c>
      <c r="C396">
        <v>42204</v>
      </c>
      <c r="D396">
        <v>0.637484034086361</v>
      </c>
      <c r="E396">
        <f t="shared" si="6"/>
        <v>345916130.021908</v>
      </c>
    </row>
    <row r="397" customHeight="1" spans="1:5">
      <c r="A397">
        <v>395</v>
      </c>
      <c r="B397">
        <v>126466440</v>
      </c>
      <c r="C397">
        <v>42347</v>
      </c>
      <c r="D397">
        <v>0.638268107601116</v>
      </c>
      <c r="E397">
        <f t="shared" si="6"/>
        <v>349613740.61136</v>
      </c>
    </row>
    <row r="398" customHeight="1" spans="1:5">
      <c r="A398">
        <v>396</v>
      </c>
      <c r="B398">
        <v>127540140</v>
      </c>
      <c r="C398">
        <v>42491</v>
      </c>
      <c r="D398">
        <v>0.639049796609206</v>
      </c>
      <c r="E398">
        <f t="shared" si="6"/>
        <v>353345527.449155</v>
      </c>
    </row>
    <row r="399" customHeight="1" spans="1:5">
      <c r="A399">
        <v>397</v>
      </c>
      <c r="B399">
        <v>128621280</v>
      </c>
      <c r="C399">
        <v>42635</v>
      </c>
      <c r="D399">
        <v>0.639829110052174</v>
      </c>
      <c r="E399">
        <f t="shared" si="6"/>
        <v>357111814.390752</v>
      </c>
    </row>
    <row r="400" customHeight="1" spans="1:5">
      <c r="A400">
        <v>398</v>
      </c>
      <c r="B400">
        <v>129709860</v>
      </c>
      <c r="C400">
        <v>42779</v>
      </c>
      <c r="D400">
        <v>0.640606056834012</v>
      </c>
      <c r="E400">
        <f t="shared" si="6"/>
        <v>360912760.124321</v>
      </c>
    </row>
    <row r="401" customHeight="1" spans="1:5">
      <c r="A401">
        <v>399</v>
      </c>
      <c r="B401">
        <v>130805940</v>
      </c>
      <c r="C401">
        <v>42923</v>
      </c>
      <c r="D401">
        <v>0.641380645821063</v>
      </c>
      <c r="E401">
        <f t="shared" si="6"/>
        <v>364748690.988755</v>
      </c>
    </row>
    <row r="402" customHeight="1" spans="1:5">
      <c r="A402">
        <v>400</v>
      </c>
      <c r="B402">
        <v>131909580</v>
      </c>
      <c r="C402">
        <v>43068</v>
      </c>
      <c r="D402">
        <v>0.642152885842375</v>
      </c>
      <c r="E402">
        <f t="shared" si="6"/>
        <v>368619935.109764</v>
      </c>
    </row>
    <row r="403" customHeight="1" spans="1:5">
      <c r="A403">
        <v>401</v>
      </c>
      <c r="B403">
        <v>133020840</v>
      </c>
      <c r="C403">
        <v>43212</v>
      </c>
      <c r="D403">
        <v>0.642922785689792</v>
      </c>
      <c r="E403">
        <f t="shared" si="6"/>
        <v>372526822.404409</v>
      </c>
    </row>
    <row r="404" customHeight="1" spans="1:5">
      <c r="A404">
        <v>402</v>
      </c>
      <c r="B404">
        <v>134139660</v>
      </c>
      <c r="C404">
        <v>43357</v>
      </c>
      <c r="D404">
        <v>0.643690354118177</v>
      </c>
      <c r="E404">
        <f t="shared" si="6"/>
        <v>376469347.800059</v>
      </c>
    </row>
    <row r="405" customHeight="1" spans="1:5">
      <c r="A405">
        <v>403</v>
      </c>
      <c r="B405">
        <v>135266160</v>
      </c>
      <c r="C405">
        <v>43502</v>
      </c>
      <c r="D405">
        <v>0.644455599845445</v>
      </c>
      <c r="E405">
        <f t="shared" si="6"/>
        <v>380448011.390982</v>
      </c>
    </row>
    <row r="406" customHeight="1" spans="1:5">
      <c r="A406">
        <v>404</v>
      </c>
      <c r="B406">
        <v>136400400</v>
      </c>
      <c r="C406">
        <v>43647</v>
      </c>
      <c r="D406">
        <v>0.645218531552719</v>
      </c>
      <c r="E406">
        <f t="shared" si="6"/>
        <v>384463147.40441</v>
      </c>
    </row>
    <row r="407" customHeight="1" spans="1:5">
      <c r="A407">
        <v>405</v>
      </c>
      <c r="B407">
        <v>137542380</v>
      </c>
      <c r="C407">
        <v>43793</v>
      </c>
      <c r="D407">
        <v>0.645979157884611</v>
      </c>
      <c r="E407">
        <f t="shared" si="6"/>
        <v>388514922.393099</v>
      </c>
    </row>
    <row r="408" customHeight="1" spans="1:5">
      <c r="A408">
        <v>406</v>
      </c>
      <c r="B408">
        <v>138692160</v>
      </c>
      <c r="C408">
        <v>43938</v>
      </c>
      <c r="D408">
        <v>0.646737487449321</v>
      </c>
      <c r="E408">
        <f t="shared" si="6"/>
        <v>392603673.111517</v>
      </c>
    </row>
    <row r="409" customHeight="1" spans="1:5">
      <c r="A409">
        <v>407</v>
      </c>
      <c r="B409">
        <v>139849800</v>
      </c>
      <c r="C409">
        <v>44084</v>
      </c>
      <c r="D409">
        <v>0.647493528818849</v>
      </c>
      <c r="E409">
        <f t="shared" si="6"/>
        <v>396729738.12765</v>
      </c>
    </row>
    <row r="410" customHeight="1" spans="1:5">
      <c r="A410">
        <v>408</v>
      </c>
      <c r="B410">
        <v>141015300</v>
      </c>
      <c r="C410">
        <v>44230</v>
      </c>
      <c r="D410">
        <v>0.648247290529026</v>
      </c>
      <c r="E410">
        <f t="shared" si="6"/>
        <v>400893287.25309</v>
      </c>
    </row>
    <row r="411" customHeight="1" spans="1:5">
      <c r="A411">
        <v>409</v>
      </c>
      <c r="B411">
        <v>142188780</v>
      </c>
      <c r="C411">
        <v>44376</v>
      </c>
      <c r="D411">
        <v>0.648998781079674</v>
      </c>
      <c r="E411">
        <f t="shared" si="6"/>
        <v>405094832.540384</v>
      </c>
    </row>
    <row r="412" customHeight="1" spans="1:5">
      <c r="A412">
        <v>410</v>
      </c>
      <c r="B412">
        <v>143370180</v>
      </c>
      <c r="C412">
        <v>44522</v>
      </c>
      <c r="D412">
        <v>0.64974800893488</v>
      </c>
      <c r="E412">
        <f t="shared" si="6"/>
        <v>409334375.41357</v>
      </c>
    </row>
    <row r="413" customHeight="1" spans="1:5">
      <c r="A413">
        <v>411</v>
      </c>
      <c r="B413">
        <v>144559620</v>
      </c>
      <c r="C413">
        <v>44669</v>
      </c>
      <c r="D413">
        <v>0.65049498252315</v>
      </c>
      <c r="E413">
        <f t="shared" si="6"/>
        <v>413612431.213738</v>
      </c>
    </row>
    <row r="414" customHeight="1" spans="1:5">
      <c r="A414">
        <v>412</v>
      </c>
      <c r="B414">
        <v>145757100</v>
      </c>
      <c r="C414">
        <v>44815</v>
      </c>
      <c r="D414">
        <v>0.651239710237438</v>
      </c>
      <c r="E414">
        <f t="shared" si="6"/>
        <v>417929174.503302</v>
      </c>
    </row>
    <row r="415" customHeight="1" spans="1:5">
      <c r="A415">
        <v>413</v>
      </c>
      <c r="B415">
        <v>146962680</v>
      </c>
      <c r="C415">
        <v>44962</v>
      </c>
      <c r="D415">
        <v>0.651982200435302</v>
      </c>
      <c r="E415">
        <f t="shared" si="6"/>
        <v>422284952.619727</v>
      </c>
    </row>
    <row r="416" customHeight="1" spans="1:5">
      <c r="A416">
        <v>414</v>
      </c>
      <c r="B416">
        <v>148176480</v>
      </c>
      <c r="C416">
        <v>45109</v>
      </c>
      <c r="D416">
        <v>0.652722461439176</v>
      </c>
      <c r="E416">
        <f t="shared" si="6"/>
        <v>426680287.513175</v>
      </c>
    </row>
    <row r="417" customHeight="1" spans="1:5">
      <c r="A417">
        <v>415</v>
      </c>
      <c r="B417">
        <v>149398440</v>
      </c>
      <c r="C417">
        <v>45256</v>
      </c>
      <c r="D417">
        <v>0.653460501536522</v>
      </c>
      <c r="E417">
        <f t="shared" si="6"/>
        <v>431115185.029176</v>
      </c>
    </row>
    <row r="418" customHeight="1" spans="1:5">
      <c r="A418">
        <v>416</v>
      </c>
      <c r="B418">
        <v>150628620</v>
      </c>
      <c r="C418">
        <v>45404</v>
      </c>
      <c r="D418">
        <v>0.654196328979798</v>
      </c>
      <c r="E418">
        <f t="shared" si="6"/>
        <v>435589996.935574</v>
      </c>
    </row>
    <row r="419" customHeight="1" spans="1:5">
      <c r="A419">
        <v>417</v>
      </c>
      <c r="B419">
        <v>151867080</v>
      </c>
      <c r="C419">
        <v>45551</v>
      </c>
      <c r="D419">
        <v>0.65492995198685</v>
      </c>
      <c r="E419">
        <f t="shared" si="6"/>
        <v>440105076.851563</v>
      </c>
    </row>
    <row r="420" customHeight="1" spans="1:5">
      <c r="A420">
        <v>418</v>
      </c>
      <c r="B420">
        <v>153113880</v>
      </c>
      <c r="C420">
        <v>45699</v>
      </c>
      <c r="D420">
        <v>0.655661378740885</v>
      </c>
      <c r="E420">
        <f t="shared" si="6"/>
        <v>444660780.25207</v>
      </c>
    </row>
    <row r="421" customHeight="1" spans="1:5">
      <c r="A421">
        <v>419</v>
      </c>
      <c r="B421">
        <v>154369080</v>
      </c>
      <c r="C421">
        <v>45847</v>
      </c>
      <c r="D421">
        <v>0.656390617390614</v>
      </c>
      <c r="E421">
        <f t="shared" si="6"/>
        <v>449257464.472343</v>
      </c>
    </row>
    <row r="422" customHeight="1" spans="1:5">
      <c r="A422">
        <v>420</v>
      </c>
      <c r="B422">
        <v>155632740</v>
      </c>
      <c r="C422">
        <v>45995</v>
      </c>
      <c r="D422">
        <v>0.657117676050587</v>
      </c>
      <c r="E422">
        <f t="shared" si="6"/>
        <v>453895488.712802</v>
      </c>
    </row>
    <row r="423" customHeight="1" spans="1:5">
      <c r="A423">
        <v>421</v>
      </c>
      <c r="B423">
        <v>156904800</v>
      </c>
      <c r="C423">
        <v>46143</v>
      </c>
      <c r="D423">
        <v>0.657842562801099</v>
      </c>
      <c r="E423">
        <f t="shared" si="6"/>
        <v>458574863.327577</v>
      </c>
    </row>
    <row r="424" customHeight="1" spans="1:5">
      <c r="A424">
        <v>422</v>
      </c>
      <c r="B424">
        <v>158185380</v>
      </c>
      <c r="C424">
        <v>46292</v>
      </c>
      <c r="D424">
        <v>0.658565285688517</v>
      </c>
      <c r="E424">
        <f t="shared" si="6"/>
        <v>463296124.762789</v>
      </c>
    </row>
    <row r="425" customHeight="1" spans="1:5">
      <c r="A425">
        <v>423</v>
      </c>
      <c r="B425">
        <v>159474600</v>
      </c>
      <c r="C425">
        <v>46440</v>
      </c>
      <c r="D425">
        <v>0.659285852725488</v>
      </c>
      <c r="E425">
        <f t="shared" si="6"/>
        <v>468059812.824596</v>
      </c>
    </row>
    <row r="426" customHeight="1" spans="1:5">
      <c r="A426">
        <v>424</v>
      </c>
      <c r="B426">
        <v>160772340</v>
      </c>
      <c r="C426">
        <v>46589</v>
      </c>
      <c r="D426">
        <v>0.660004271890725</v>
      </c>
      <c r="E426">
        <f t="shared" si="6"/>
        <v>472865764.796691</v>
      </c>
    </row>
    <row r="427" customHeight="1" spans="1:5">
      <c r="A427">
        <v>425</v>
      </c>
      <c r="B427">
        <v>162078780</v>
      </c>
      <c r="C427">
        <v>46738</v>
      </c>
      <c r="D427">
        <v>0.660720551129515</v>
      </c>
      <c r="E427">
        <f t="shared" si="6"/>
        <v>477714699.607023</v>
      </c>
    </row>
    <row r="428" customHeight="1" spans="1:5">
      <c r="A428">
        <v>426</v>
      </c>
      <c r="B428">
        <v>163393920</v>
      </c>
      <c r="C428">
        <v>46887</v>
      </c>
      <c r="D428">
        <v>0.661434698353803</v>
      </c>
      <c r="E428">
        <f t="shared" si="6"/>
        <v>482606809.396988</v>
      </c>
    </row>
    <row r="429" customHeight="1" spans="1:5">
      <c r="A429">
        <v>427</v>
      </c>
      <c r="B429">
        <v>164717820</v>
      </c>
      <c r="C429">
        <v>47037</v>
      </c>
      <c r="D429">
        <v>0.662146721442218</v>
      </c>
      <c r="E429">
        <f t="shared" si="6"/>
        <v>487542464.30031</v>
      </c>
    </row>
    <row r="430" customHeight="1" spans="1:5">
      <c r="A430">
        <v>428</v>
      </c>
      <c r="B430">
        <v>166050540</v>
      </c>
      <c r="C430">
        <v>47186</v>
      </c>
      <c r="D430">
        <v>0.662856628240276</v>
      </c>
      <c r="E430">
        <f t="shared" si="6"/>
        <v>492522036.347021</v>
      </c>
    </row>
    <row r="431" customHeight="1" spans="1:5">
      <c r="A431">
        <v>429</v>
      </c>
      <c r="B431">
        <v>167392080</v>
      </c>
      <c r="C431">
        <v>47336</v>
      </c>
      <c r="D431">
        <v>0.66356442656047</v>
      </c>
      <c r="E431">
        <f t="shared" si="6"/>
        <v>497545721.127753</v>
      </c>
    </row>
    <row r="432" customHeight="1" spans="1:5">
      <c r="A432">
        <v>430</v>
      </c>
      <c r="B432">
        <v>168742500</v>
      </c>
      <c r="C432">
        <v>47486</v>
      </c>
      <c r="D432">
        <v>0.664270124182525</v>
      </c>
      <c r="E432">
        <f t="shared" si="6"/>
        <v>502613893.354369</v>
      </c>
    </row>
    <row r="433" customHeight="1" spans="1:5">
      <c r="A433">
        <v>431</v>
      </c>
      <c r="B433">
        <v>170101860</v>
      </c>
      <c r="C433">
        <v>47636</v>
      </c>
      <c r="D433">
        <v>0.664973728853601</v>
      </c>
      <c r="E433">
        <f t="shared" si="6"/>
        <v>507726929.64627</v>
      </c>
    </row>
    <row r="434" customHeight="1" spans="1:5">
      <c r="A434">
        <v>432</v>
      </c>
      <c r="B434">
        <v>171470280</v>
      </c>
      <c r="C434">
        <v>47786</v>
      </c>
      <c r="D434">
        <v>0.665675248288032</v>
      </c>
      <c r="E434">
        <f t="shared" si="6"/>
        <v>512885388.000609</v>
      </c>
    </row>
    <row r="435" customHeight="1" spans="1:5">
      <c r="A435">
        <v>433</v>
      </c>
      <c r="B435">
        <v>172847700</v>
      </c>
      <c r="C435">
        <v>47937</v>
      </c>
      <c r="D435">
        <v>0.6663746901681</v>
      </c>
      <c r="E435">
        <f t="shared" si="6"/>
        <v>518089290.309212</v>
      </c>
    </row>
    <row r="436" customHeight="1" spans="1:5">
      <c r="A436">
        <v>434</v>
      </c>
      <c r="B436">
        <v>174234180</v>
      </c>
      <c r="C436">
        <v>48088</v>
      </c>
      <c r="D436">
        <v>0.667072062143545</v>
      </c>
      <c r="E436">
        <f t="shared" si="6"/>
        <v>523339017.812085</v>
      </c>
    </row>
    <row r="437" customHeight="1" spans="1:5">
      <c r="A437">
        <v>435</v>
      </c>
      <c r="B437">
        <v>175629840</v>
      </c>
      <c r="C437">
        <v>48239</v>
      </c>
      <c r="D437">
        <v>0.66776737183222</v>
      </c>
      <c r="E437">
        <f t="shared" si="6"/>
        <v>528635134.268948</v>
      </c>
    </row>
    <row r="438" customHeight="1" spans="1:5">
      <c r="A438">
        <v>436</v>
      </c>
      <c r="B438">
        <v>177034680</v>
      </c>
      <c r="C438">
        <v>48390</v>
      </c>
      <c r="D438">
        <v>0.668460626819721</v>
      </c>
      <c r="E438">
        <f t="shared" si="6"/>
        <v>533977844.929251</v>
      </c>
    </row>
    <row r="439" customHeight="1" spans="1:5">
      <c r="A439">
        <v>437</v>
      </c>
      <c r="B439">
        <v>178448760</v>
      </c>
      <c r="C439">
        <v>48541</v>
      </c>
      <c r="D439">
        <v>0.669151834660151</v>
      </c>
      <c r="E439">
        <f t="shared" si="6"/>
        <v>539367536.817671</v>
      </c>
    </row>
    <row r="440" customHeight="1" spans="1:5">
      <c r="A440">
        <v>438</v>
      </c>
      <c r="B440">
        <v>179872080</v>
      </c>
      <c r="C440">
        <v>48692</v>
      </c>
      <c r="D440">
        <v>0.669841002875633</v>
      </c>
      <c r="E440">
        <f t="shared" si="6"/>
        <v>544804417.164631</v>
      </c>
    </row>
    <row r="441" customHeight="1" spans="1:5">
      <c r="A441">
        <v>439</v>
      </c>
      <c r="B441">
        <v>181304820</v>
      </c>
      <c r="C441">
        <v>48844</v>
      </c>
      <c r="D441">
        <v>0.670528138956905</v>
      </c>
      <c r="E441">
        <f t="shared" si="6"/>
        <v>550289239.955109</v>
      </c>
    </row>
    <row r="442" customHeight="1" spans="1:5">
      <c r="A442">
        <v>440</v>
      </c>
      <c r="B442">
        <v>182746920</v>
      </c>
      <c r="C442">
        <v>48996</v>
      </c>
      <c r="D442">
        <v>0.671213250363175</v>
      </c>
      <c r="E442">
        <f t="shared" si="6"/>
        <v>555822034.196514</v>
      </c>
    </row>
    <row r="443" customHeight="1" spans="1:5">
      <c r="A443">
        <v>441</v>
      </c>
      <c r="B443">
        <v>184198440</v>
      </c>
      <c r="C443">
        <v>49148</v>
      </c>
      <c r="D443">
        <v>0.671896344522537</v>
      </c>
      <c r="E443">
        <f t="shared" si="6"/>
        <v>561403193.548547</v>
      </c>
    </row>
    <row r="444" customHeight="1" spans="1:5">
      <c r="A444">
        <v>442</v>
      </c>
      <c r="B444">
        <v>185659440</v>
      </c>
      <c r="C444">
        <v>49300</v>
      </c>
      <c r="D444">
        <v>0.672577428831719</v>
      </c>
      <c r="E444">
        <f t="shared" si="6"/>
        <v>567033113.623004</v>
      </c>
    </row>
    <row r="445" customHeight="1" spans="1:5">
      <c r="A445">
        <v>443</v>
      </c>
      <c r="B445">
        <v>187129980</v>
      </c>
      <c r="C445">
        <v>49452</v>
      </c>
      <c r="D445">
        <v>0.673256510656611</v>
      </c>
      <c r="E445">
        <f t="shared" si="6"/>
        <v>572712191.98904</v>
      </c>
    </row>
    <row r="446" customHeight="1" spans="1:5">
      <c r="A446">
        <v>444</v>
      </c>
      <c r="B446">
        <v>188610180</v>
      </c>
      <c r="C446">
        <v>49605</v>
      </c>
      <c r="D446">
        <v>0.673933597332121</v>
      </c>
      <c r="E446">
        <f t="shared" si="6"/>
        <v>578441012.188896</v>
      </c>
    </row>
    <row r="447" customHeight="1" spans="1:5">
      <c r="A447">
        <v>445</v>
      </c>
      <c r="B447">
        <v>190099920</v>
      </c>
      <c r="C447">
        <v>49757</v>
      </c>
      <c r="D447">
        <v>0.674608696162588</v>
      </c>
      <c r="E447">
        <f t="shared" si="6"/>
        <v>584219423.684989</v>
      </c>
    </row>
    <row r="448" customHeight="1" spans="1:5">
      <c r="A448">
        <v>446</v>
      </c>
      <c r="B448">
        <v>191599440</v>
      </c>
      <c r="C448">
        <v>49910</v>
      </c>
      <c r="D448">
        <v>0.67528181442153</v>
      </c>
      <c r="E448">
        <f t="shared" si="6"/>
        <v>590048381.979823</v>
      </c>
    </row>
    <row r="449" customHeight="1" spans="1:5">
      <c r="A449">
        <v>447</v>
      </c>
      <c r="B449">
        <v>193108680</v>
      </c>
      <c r="C449">
        <v>50063</v>
      </c>
      <c r="D449">
        <v>0.675952959352168</v>
      </c>
      <c r="E449">
        <f t="shared" si="6"/>
        <v>595927923.34699</v>
      </c>
    </row>
    <row r="450" customHeight="1" spans="1:5">
      <c r="A450">
        <v>448</v>
      </c>
      <c r="B450">
        <v>194627700</v>
      </c>
      <c r="C450">
        <v>50217</v>
      </c>
      <c r="D450">
        <v>0.676622138167333</v>
      </c>
      <c r="E450">
        <f t="shared" si="6"/>
        <v>601858454.060503</v>
      </c>
    </row>
    <row r="451" customHeight="1" spans="1:5">
      <c r="A451">
        <v>449</v>
      </c>
      <c r="B451">
        <v>196156620</v>
      </c>
      <c r="C451">
        <v>50370</v>
      </c>
      <c r="D451">
        <v>0.677289358049606</v>
      </c>
      <c r="E451">
        <f t="shared" ref="E451:E502" si="7">IFERROR(B451/(1-D451),B451)</f>
        <v>607840568.301285</v>
      </c>
    </row>
    <row r="452" customHeight="1" spans="1:5">
      <c r="A452">
        <v>450</v>
      </c>
      <c r="B452">
        <v>197695380</v>
      </c>
      <c r="C452">
        <v>50524</v>
      </c>
      <c r="D452">
        <v>0.677954626151665</v>
      </c>
      <c r="E452">
        <f t="shared" si="7"/>
        <v>613874304.845948</v>
      </c>
    </row>
    <row r="453" customHeight="1" spans="1:5">
      <c r="A453">
        <v>451</v>
      </c>
      <c r="B453">
        <v>199244100</v>
      </c>
      <c r="C453">
        <v>50677</v>
      </c>
      <c r="D453">
        <v>0.678617949596042</v>
      </c>
      <c r="E453">
        <f t="shared" si="7"/>
        <v>619960261.46937</v>
      </c>
    </row>
    <row r="454" customHeight="1" spans="1:5">
      <c r="A454">
        <v>452</v>
      </c>
      <c r="B454">
        <v>200802900</v>
      </c>
      <c r="C454">
        <v>50831</v>
      </c>
      <c r="D454">
        <v>0.679279335475626</v>
      </c>
      <c r="E454">
        <f t="shared" si="7"/>
        <v>626099039.479695</v>
      </c>
    </row>
    <row r="455" customHeight="1" spans="1:5">
      <c r="A455">
        <v>453</v>
      </c>
      <c r="B455">
        <v>202371720</v>
      </c>
      <c r="C455">
        <v>50986</v>
      </c>
      <c r="D455">
        <v>0.679938790853587</v>
      </c>
      <c r="E455">
        <f t="shared" si="7"/>
        <v>632290681.334721</v>
      </c>
    </row>
    <row r="456" customHeight="1" spans="1:5">
      <c r="A456">
        <v>454</v>
      </c>
      <c r="B456">
        <v>203950620</v>
      </c>
      <c r="C456">
        <v>51140</v>
      </c>
      <c r="D456">
        <v>0.680596322763554</v>
      </c>
      <c r="E456">
        <f t="shared" si="7"/>
        <v>638535604.112725</v>
      </c>
    </row>
    <row r="457" customHeight="1" spans="1:5">
      <c r="A457">
        <v>455</v>
      </c>
      <c r="B457">
        <v>205539720</v>
      </c>
      <c r="C457">
        <v>51295</v>
      </c>
      <c r="D457">
        <v>0.68125193820975</v>
      </c>
      <c r="E457">
        <f t="shared" si="7"/>
        <v>644834415.135218</v>
      </c>
    </row>
    <row r="458" customHeight="1" spans="1:5">
      <c r="A458">
        <v>456</v>
      </c>
      <c r="B458">
        <v>207139080</v>
      </c>
      <c r="C458">
        <v>51449</v>
      </c>
      <c r="D458">
        <v>0.681905644167119</v>
      </c>
      <c r="E458">
        <f t="shared" si="7"/>
        <v>651187536.659172</v>
      </c>
    </row>
    <row r="459" customHeight="1" spans="1:5">
      <c r="A459">
        <v>457</v>
      </c>
      <c r="B459">
        <v>208748640</v>
      </c>
      <c r="C459">
        <v>51604</v>
      </c>
      <c r="D459">
        <v>0.682557447581403</v>
      </c>
      <c r="E459">
        <f t="shared" si="7"/>
        <v>657595014.939058</v>
      </c>
    </row>
    <row r="460" customHeight="1" spans="1:5">
      <c r="A460">
        <v>458</v>
      </c>
      <c r="B460">
        <v>210368580</v>
      </c>
      <c r="C460">
        <v>51759</v>
      </c>
      <c r="D460">
        <v>0.683207355369483</v>
      </c>
      <c r="E460">
        <f t="shared" si="7"/>
        <v>664057652.744299</v>
      </c>
    </row>
    <row r="461" customHeight="1" spans="1:5">
      <c r="A461">
        <v>459</v>
      </c>
      <c r="B461">
        <v>211998900</v>
      </c>
      <c r="C461">
        <v>51915</v>
      </c>
      <c r="D461">
        <v>0.683855374419137</v>
      </c>
      <c r="E461">
        <f t="shared" si="7"/>
        <v>670575688.612411</v>
      </c>
    </row>
    <row r="462" customHeight="1" spans="1:5">
      <c r="A462">
        <v>460</v>
      </c>
      <c r="B462">
        <v>213639660</v>
      </c>
      <c r="C462">
        <v>52070</v>
      </c>
      <c r="D462">
        <v>0.684501511589536</v>
      </c>
      <c r="E462">
        <f t="shared" si="7"/>
        <v>677149551.734316</v>
      </c>
    </row>
    <row r="463" customHeight="1" spans="1:5">
      <c r="A463">
        <v>461</v>
      </c>
      <c r="B463">
        <v>215290920</v>
      </c>
      <c r="C463">
        <v>52226</v>
      </c>
      <c r="D463">
        <v>0.685145773711164</v>
      </c>
      <c r="E463">
        <f t="shared" si="7"/>
        <v>683779673.33524</v>
      </c>
    </row>
    <row r="464" customHeight="1" spans="1:5">
      <c r="A464">
        <v>462</v>
      </c>
      <c r="B464">
        <v>216952740</v>
      </c>
      <c r="C464">
        <v>52382</v>
      </c>
      <c r="D464">
        <v>0.685788167585992</v>
      </c>
      <c r="E464">
        <f t="shared" si="7"/>
        <v>690466486.679411</v>
      </c>
    </row>
    <row r="465" customHeight="1" spans="1:5">
      <c r="A465">
        <v>463</v>
      </c>
      <c r="B465">
        <v>218625180</v>
      </c>
      <c r="C465">
        <v>52538</v>
      </c>
      <c r="D465">
        <v>0.686428699987607</v>
      </c>
      <c r="E465">
        <f t="shared" si="7"/>
        <v>697210427.07467</v>
      </c>
    </row>
    <row r="466" customHeight="1" spans="1:5">
      <c r="A466">
        <v>464</v>
      </c>
      <c r="B466">
        <v>220308240</v>
      </c>
      <c r="C466">
        <v>52694</v>
      </c>
      <c r="D466">
        <v>0.68706737766134</v>
      </c>
      <c r="E466">
        <f t="shared" si="7"/>
        <v>704011740.142513</v>
      </c>
    </row>
    <row r="467" customHeight="1" spans="1:5">
      <c r="A467">
        <v>465</v>
      </c>
      <c r="B467">
        <v>222002040</v>
      </c>
      <c r="C467">
        <v>52850</v>
      </c>
      <c r="D467">
        <v>0.687704207324387</v>
      </c>
      <c r="E467">
        <f t="shared" si="7"/>
        <v>710871056.244415</v>
      </c>
    </row>
    <row r="468" customHeight="1" spans="1:5">
      <c r="A468">
        <v>466</v>
      </c>
      <c r="B468">
        <v>223706640</v>
      </c>
      <c r="C468">
        <v>53007</v>
      </c>
      <c r="D468">
        <v>0.688339195665934</v>
      </c>
      <c r="E468">
        <f t="shared" si="7"/>
        <v>717788816.845288</v>
      </c>
    </row>
    <row r="469" customHeight="1" spans="1:5">
      <c r="A469">
        <v>467</v>
      </c>
      <c r="B469">
        <v>225422040</v>
      </c>
      <c r="C469">
        <v>53164</v>
      </c>
      <c r="D469">
        <v>0.688972349347286</v>
      </c>
      <c r="E469">
        <f t="shared" si="7"/>
        <v>724765272.563181</v>
      </c>
    </row>
    <row r="470" customHeight="1" spans="1:5">
      <c r="A470">
        <v>468</v>
      </c>
      <c r="B470">
        <v>227148360</v>
      </c>
      <c r="C470">
        <v>53321</v>
      </c>
      <c r="D470">
        <v>0.689603675001984</v>
      </c>
      <c r="E470">
        <f t="shared" si="7"/>
        <v>731801061.115823</v>
      </c>
    </row>
    <row r="471" customHeight="1" spans="1:5">
      <c r="A471">
        <v>469</v>
      </c>
      <c r="B471">
        <v>228885600</v>
      </c>
      <c r="C471">
        <v>53478</v>
      </c>
      <c r="D471">
        <v>0.690233179235932</v>
      </c>
      <c r="E471">
        <f t="shared" si="7"/>
        <v>738896436.472547</v>
      </c>
    </row>
    <row r="472" customHeight="1" spans="1:5">
      <c r="A472">
        <v>470</v>
      </c>
      <c r="B472">
        <v>230633820</v>
      </c>
      <c r="C472">
        <v>53635</v>
      </c>
      <c r="D472">
        <v>0.690860868627519</v>
      </c>
      <c r="E472">
        <f t="shared" si="7"/>
        <v>746051847.192745</v>
      </c>
    </row>
    <row r="473" customHeight="1" spans="1:5">
      <c r="A473">
        <v>471</v>
      </c>
      <c r="B473">
        <v>232393140</v>
      </c>
      <c r="C473">
        <v>53792</v>
      </c>
      <c r="D473">
        <v>0.691486749727742</v>
      </c>
      <c r="E473">
        <f t="shared" si="7"/>
        <v>753267938.394597</v>
      </c>
    </row>
    <row r="474" customHeight="1" spans="1:5">
      <c r="A474">
        <v>472</v>
      </c>
      <c r="B474">
        <v>234163560</v>
      </c>
      <c r="C474">
        <v>53950</v>
      </c>
      <c r="D474">
        <v>0.692110829060324</v>
      </c>
      <c r="E474">
        <f t="shared" si="7"/>
        <v>760544969.10474</v>
      </c>
    </row>
    <row r="475" customHeight="1" spans="1:5">
      <c r="A475">
        <v>473</v>
      </c>
      <c r="B475">
        <v>235945200</v>
      </c>
      <c r="C475">
        <v>54108</v>
      </c>
      <c r="D475">
        <v>0.692733113121841</v>
      </c>
      <c r="E475">
        <f t="shared" si="7"/>
        <v>767883589.400767</v>
      </c>
    </row>
    <row r="476" customHeight="1" spans="1:5">
      <c r="A476">
        <v>474</v>
      </c>
      <c r="B476">
        <v>237738000</v>
      </c>
      <c r="C476">
        <v>54266</v>
      </c>
      <c r="D476">
        <v>0.693353608381834</v>
      </c>
      <c r="E476">
        <f t="shared" si="7"/>
        <v>775283866.03691</v>
      </c>
    </row>
    <row r="477" customHeight="1" spans="1:5">
      <c r="A477">
        <v>475</v>
      </c>
      <c r="B477">
        <v>239542140</v>
      </c>
      <c r="C477">
        <v>54424</v>
      </c>
      <c r="D477">
        <v>0.693972321282939</v>
      </c>
      <c r="E477">
        <f t="shared" si="7"/>
        <v>782746648.944358</v>
      </c>
    </row>
    <row r="478" customHeight="1" spans="1:5">
      <c r="A478">
        <v>476</v>
      </c>
      <c r="B478">
        <v>241357620</v>
      </c>
      <c r="C478">
        <v>54583</v>
      </c>
      <c r="D478">
        <v>0.694589258240999</v>
      </c>
      <c r="E478">
        <f t="shared" si="7"/>
        <v>790272203.95036</v>
      </c>
    </row>
    <row r="479" customHeight="1" spans="1:5">
      <c r="A479">
        <v>477</v>
      </c>
      <c r="B479">
        <v>243184500</v>
      </c>
      <c r="C479">
        <v>54741</v>
      </c>
      <c r="D479">
        <v>0.695204425645186</v>
      </c>
      <c r="E479">
        <f t="shared" si="7"/>
        <v>797860994.257442</v>
      </c>
    </row>
    <row r="480" customHeight="1" spans="1:5">
      <c r="A480">
        <v>478</v>
      </c>
      <c r="B480">
        <v>245022900</v>
      </c>
      <c r="C480">
        <v>54900</v>
      </c>
      <c r="D480">
        <v>0.695817829858121</v>
      </c>
      <c r="E480">
        <f t="shared" si="7"/>
        <v>805513682.428245</v>
      </c>
    </row>
    <row r="481" customHeight="1" spans="1:5">
      <c r="A481">
        <v>479</v>
      </c>
      <c r="B481">
        <v>246872760</v>
      </c>
      <c r="C481">
        <v>55059</v>
      </c>
      <c r="D481">
        <v>0.696429477215988</v>
      </c>
      <c r="E481">
        <f t="shared" si="7"/>
        <v>813230341.786669</v>
      </c>
    </row>
    <row r="482" customHeight="1" spans="1:5">
      <c r="A482">
        <v>480</v>
      </c>
      <c r="B482">
        <v>248734260</v>
      </c>
      <c r="C482">
        <v>55218</v>
      </c>
      <c r="D482">
        <v>0.697039374028705</v>
      </c>
      <c r="E482">
        <f t="shared" si="7"/>
        <v>821011836.777652</v>
      </c>
    </row>
    <row r="483" customHeight="1" spans="1:5">
      <c r="A483">
        <v>481</v>
      </c>
      <c r="B483">
        <v>250607400</v>
      </c>
      <c r="C483">
        <v>55378</v>
      </c>
      <c r="D483">
        <v>0.697647526579843</v>
      </c>
      <c r="E483">
        <f t="shared" si="7"/>
        <v>828858441.821805</v>
      </c>
    </row>
    <row r="484" customHeight="1" spans="1:5">
      <c r="A484">
        <v>482</v>
      </c>
      <c r="B484">
        <v>252492240</v>
      </c>
      <c r="C484">
        <v>55537</v>
      </c>
      <c r="D484">
        <v>0.698253941127081</v>
      </c>
      <c r="E484">
        <f t="shared" si="7"/>
        <v>836770630.718785</v>
      </c>
    </row>
    <row r="485" customHeight="1" spans="1:5">
      <c r="A485">
        <v>483</v>
      </c>
      <c r="B485">
        <v>254388840</v>
      </c>
      <c r="C485">
        <v>55697</v>
      </c>
      <c r="D485">
        <v>0.698858623901991</v>
      </c>
      <c r="E485">
        <f t="shared" si="7"/>
        <v>844748879.400774</v>
      </c>
    </row>
    <row r="486" customHeight="1" spans="1:5">
      <c r="A486">
        <v>484</v>
      </c>
      <c r="B486">
        <v>256297260</v>
      </c>
      <c r="C486">
        <v>55857</v>
      </c>
      <c r="D486">
        <v>0.699461581110339</v>
      </c>
      <c r="E486">
        <f t="shared" si="7"/>
        <v>852793665.937586</v>
      </c>
    </row>
    <row r="487" customHeight="1" spans="1:5">
      <c r="A487">
        <v>485</v>
      </c>
      <c r="B487">
        <v>258217620</v>
      </c>
      <c r="C487">
        <v>56017</v>
      </c>
      <c r="D487">
        <v>0.700062818932151</v>
      </c>
      <c r="E487">
        <f t="shared" si="7"/>
        <v>860905670.583029</v>
      </c>
    </row>
    <row r="488" customHeight="1" spans="1:5">
      <c r="A488">
        <v>486</v>
      </c>
      <c r="B488">
        <v>260149920</v>
      </c>
      <c r="C488">
        <v>56177</v>
      </c>
      <c r="D488">
        <v>0.700662343521836</v>
      </c>
      <c r="E488">
        <f t="shared" si="7"/>
        <v>869085176.455163</v>
      </c>
    </row>
    <row r="489" customHeight="1" spans="1:5">
      <c r="A489">
        <v>487</v>
      </c>
      <c r="B489">
        <v>262094220</v>
      </c>
      <c r="C489">
        <v>56337</v>
      </c>
      <c r="D489">
        <v>0.701260161008294</v>
      </c>
      <c r="E489">
        <f t="shared" si="7"/>
        <v>877332668.065328</v>
      </c>
    </row>
    <row r="490" customHeight="1" spans="1:5">
      <c r="A490">
        <v>488</v>
      </c>
      <c r="B490">
        <v>264050580</v>
      </c>
      <c r="C490">
        <v>56498</v>
      </c>
      <c r="D490">
        <v>0.701856277495078</v>
      </c>
      <c r="E490">
        <f t="shared" si="7"/>
        <v>885648632.080928</v>
      </c>
    </row>
    <row r="491" customHeight="1" spans="1:5">
      <c r="A491">
        <v>489</v>
      </c>
      <c r="B491">
        <v>266019120</v>
      </c>
      <c r="C491">
        <v>56659</v>
      </c>
      <c r="D491">
        <v>0.702450699060362</v>
      </c>
      <c r="E491">
        <f t="shared" si="7"/>
        <v>894033758.976855</v>
      </c>
    </row>
    <row r="492" customHeight="1" spans="1:5">
      <c r="A492">
        <v>490</v>
      </c>
      <c r="B492">
        <v>267999840</v>
      </c>
      <c r="C492">
        <v>56820</v>
      </c>
      <c r="D492">
        <v>0.703043431757202</v>
      </c>
      <c r="E492">
        <f t="shared" si="7"/>
        <v>902488338.903747</v>
      </c>
    </row>
    <row r="493" customHeight="1" spans="1:5">
      <c r="A493">
        <v>491</v>
      </c>
      <c r="B493">
        <v>269992800</v>
      </c>
      <c r="C493">
        <v>56981</v>
      </c>
      <c r="D493">
        <v>0.703634481613599</v>
      </c>
      <c r="E493">
        <f t="shared" si="7"/>
        <v>911012865.025626</v>
      </c>
    </row>
    <row r="494" customHeight="1" spans="1:5">
      <c r="A494">
        <v>492</v>
      </c>
      <c r="B494">
        <v>271998120</v>
      </c>
      <c r="C494">
        <v>57142</v>
      </c>
      <c r="D494">
        <v>0.704223854632607</v>
      </c>
      <c r="E494">
        <f t="shared" si="7"/>
        <v>919608035.536951</v>
      </c>
    </row>
    <row r="495" customHeight="1" spans="1:5">
      <c r="A495">
        <v>493</v>
      </c>
      <c r="B495">
        <v>274015800</v>
      </c>
      <c r="C495">
        <v>57304</v>
      </c>
      <c r="D495">
        <v>0.704811556792448</v>
      </c>
      <c r="E495">
        <f t="shared" si="7"/>
        <v>928274145.906636</v>
      </c>
    </row>
    <row r="496" customHeight="1" spans="1:5">
      <c r="A496">
        <v>494</v>
      </c>
      <c r="B496">
        <v>276045960</v>
      </c>
      <c r="C496">
        <v>57466</v>
      </c>
      <c r="D496">
        <v>0.705397594046666</v>
      </c>
      <c r="E496">
        <f t="shared" si="7"/>
        <v>937011899.501346</v>
      </c>
    </row>
    <row r="497" customHeight="1" spans="1:5">
      <c r="A497">
        <v>495</v>
      </c>
      <c r="B497">
        <v>278088660</v>
      </c>
      <c r="C497">
        <v>57628</v>
      </c>
      <c r="D497">
        <v>0.705981972324104</v>
      </c>
      <c r="E497">
        <f t="shared" si="7"/>
        <v>945821799.425662</v>
      </c>
    </row>
    <row r="498" customHeight="1" spans="1:5">
      <c r="A498">
        <v>496</v>
      </c>
      <c r="B498">
        <v>280143900</v>
      </c>
      <c r="C498">
        <v>57790</v>
      </c>
      <c r="D498">
        <v>0.706564697529143</v>
      </c>
      <c r="E498">
        <f t="shared" si="7"/>
        <v>954704146.505422</v>
      </c>
    </row>
    <row r="499" customHeight="1" spans="1:5">
      <c r="A499">
        <v>497</v>
      </c>
      <c r="B499">
        <v>282211800</v>
      </c>
      <c r="C499">
        <v>57952</v>
      </c>
      <c r="D499">
        <v>0.707145775541823</v>
      </c>
      <c r="E499">
        <f t="shared" si="7"/>
        <v>963659651.904059</v>
      </c>
    </row>
    <row r="500" customHeight="1" spans="1:5">
      <c r="A500">
        <v>498</v>
      </c>
      <c r="B500">
        <v>284292420</v>
      </c>
      <c r="C500">
        <v>58115</v>
      </c>
      <c r="D500">
        <v>0.707725212217802</v>
      </c>
      <c r="E500">
        <f t="shared" si="7"/>
        <v>972688825.325069</v>
      </c>
    </row>
    <row r="501" customHeight="1" spans="1:5">
      <c r="A501">
        <v>499</v>
      </c>
      <c r="B501">
        <v>286385820</v>
      </c>
      <c r="C501">
        <v>58277</v>
      </c>
      <c r="D501">
        <v>0.708303013388613</v>
      </c>
      <c r="E501">
        <f t="shared" si="7"/>
        <v>981792178.681425</v>
      </c>
    </row>
    <row r="502" customHeight="1" spans="1:5">
      <c r="A502">
        <v>500</v>
      </c>
      <c r="B502">
        <v>288492000</v>
      </c>
      <c r="C502">
        <v>58440</v>
      </c>
      <c r="D502">
        <v>0.708879184861718</v>
      </c>
      <c r="E502">
        <f t="shared" si="7"/>
        <v>990970020.000001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LibreOffice/25.2.7.2$Windows_X86_64 LibreOffice_project/5cbfd1ab6520636bb5f7b99185aa69bd7456825d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模块规划</vt:lpstr>
      <vt:lpstr>角色属性分配</vt:lpstr>
      <vt:lpstr>收容物属性分配</vt:lpstr>
      <vt:lpstr>玩家战力曲线</vt:lpstr>
      <vt:lpstr>_曲线基线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企业用户_251728386</cp:lastModifiedBy>
  <cp:revision>0</cp:revision>
  <dcterms:created xsi:type="dcterms:W3CDTF">2026-07-03T07:41:00Z</dcterms:created>
  <dcterms:modified xsi:type="dcterms:W3CDTF">2026-08-21T05:39:17Z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1C408005E6FC4E6C8CFD978D6739D89A_12</vt:lpwstr>
  </property>
  <property fmtid="{D5CDD505-2E9C-101B-9397-08002B2CF9AE}" pid="4" name="KSOProductBuildVer">
    <vt:lpwstr>2052-12.1.0.28043</vt:lpwstr>
  </property>
</Properties>
</file>